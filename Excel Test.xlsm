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sk\Downloads\OneDrive_2025-03-03\Excel Test\"/>
    </mc:Choice>
  </mc:AlternateContent>
  <bookViews>
    <workbookView xWindow="0" yWindow="0" windowWidth="23040" windowHeight="9072" activeTab="1"/>
  </bookViews>
  <sheets>
    <sheet name="Volume" sheetId="1" r:id="rId1"/>
    <sheet name="Growth" sheetId="7" r:id="rId2"/>
    <sheet name="NR Consolidation" sheetId="8" r:id="rId3"/>
  </sheets>
  <externalReferences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1" hidden="1">Growth!#REF!</definedName>
    <definedName name="_xlnm._FilterDatabase" localSheetId="0" hidden="1">Volume!$B$2:$F$49</definedName>
    <definedName name="AC_Channel">[1]Settings!$L$12</definedName>
    <definedName name="AC_Currency">[1]Settings!$L$10</definedName>
    <definedName name="AC_Entity">[1]Settings!$L$20</definedName>
    <definedName name="AC_EVA">[1]Settings!$L$15</definedName>
    <definedName name="AC_Fx">[2]Forex!$A$19:$C$25</definedName>
    <definedName name="AC_ICP">[1]Settings!$L$11</definedName>
    <definedName name="AC_Period">[1]Settings!$L$19</definedName>
    <definedName name="AC_Product">[1]Settings!$L$21</definedName>
    <definedName name="AC_RptLevel1">[1]Settings!$L$13</definedName>
    <definedName name="AC_RptLevel2">[1]Settings!$L$14</definedName>
    <definedName name="AC_Scenario">[1]Settings!$L$16</definedName>
    <definedName name="AC_Version">[1]Settings!$L$17</definedName>
    <definedName name="AC_Year">[1]Settings!$L$18</definedName>
    <definedName name="Act_Fx">[2]Forex!$A$3:$C$9</definedName>
    <definedName name="Box1_ClearAbove" localSheetId="1">#REF!</definedName>
    <definedName name="Box1_ClearAbove">#REF!</definedName>
    <definedName name="Box1_Start" localSheetId="1">#REF!</definedName>
    <definedName name="Box1_Start">#REF!</definedName>
    <definedName name="Box13_ClearAbove" localSheetId="1">#REF!</definedName>
    <definedName name="Box13_ClearAbove">#REF!</definedName>
    <definedName name="Box13_Start" localSheetId="1">#REF!</definedName>
    <definedName name="Box13_Start">#REF!</definedName>
    <definedName name="Box14_ClearAbove" localSheetId="1">#REF!</definedName>
    <definedName name="Box14_ClearAbove">#REF!</definedName>
    <definedName name="Box14_Start" localSheetId="1">#REF!</definedName>
    <definedName name="Box14_Start">#REF!</definedName>
    <definedName name="Box15_ClearAbove" localSheetId="1">#REF!</definedName>
    <definedName name="Box15_ClearAbove">#REF!</definedName>
    <definedName name="Box15_Start" localSheetId="1">#REF!</definedName>
    <definedName name="Box15_Start">#REF!</definedName>
    <definedName name="Box16_ClearAbove" localSheetId="1">#REF!</definedName>
    <definedName name="Box16_ClearAbove">#REF!</definedName>
    <definedName name="Box16_Start" localSheetId="1">#REF!</definedName>
    <definedName name="Box16_Start">#REF!</definedName>
    <definedName name="Box17_ClearAbove" localSheetId="1">#REF!</definedName>
    <definedName name="Box17_ClearAbove">#REF!</definedName>
    <definedName name="Box17_Start" localSheetId="1">#REF!</definedName>
    <definedName name="Box17_Start">#REF!</definedName>
    <definedName name="Box18_ClearAbove" localSheetId="1">#REF!</definedName>
    <definedName name="Box18_ClearAbove">#REF!</definedName>
    <definedName name="Box18_Start" localSheetId="1">#REF!</definedName>
    <definedName name="Box18_Start">#REF!</definedName>
    <definedName name="Box2_ClearAbove" localSheetId="1">#REF!</definedName>
    <definedName name="Box2_ClearAbove">#REF!</definedName>
    <definedName name="Box2_Start" localSheetId="1">#REF!</definedName>
    <definedName name="Box2_Start">#REF!</definedName>
    <definedName name="Box3_ClearAbove" localSheetId="1">#REF!</definedName>
    <definedName name="Box3_ClearAbove">#REF!</definedName>
    <definedName name="Box3_Start" localSheetId="1">#REF!</definedName>
    <definedName name="Box3_Start">#REF!</definedName>
    <definedName name="Box4_ClearAbove" localSheetId="1">#REF!</definedName>
    <definedName name="Box4_ClearAbove">#REF!</definedName>
    <definedName name="Box4_Start" localSheetId="1">#REF!</definedName>
    <definedName name="Box4_Start">#REF!</definedName>
    <definedName name="Box5_ClearAbove" localSheetId="1">'[3]Overview SB Top 20'!#REF!</definedName>
    <definedName name="Box5_ClearAbove">'[3]Overview SB Top 20'!#REF!</definedName>
    <definedName name="Box5_Start" localSheetId="1">'[3]Overview SB Top 20'!#REF!</definedName>
    <definedName name="Box5_Start">'[3]Overview SB Top 20'!#REF!</definedName>
    <definedName name="Box6_ClearAbove" localSheetId="1">'[3]Overview SB Top 20'!#REF!</definedName>
    <definedName name="Box6_ClearAbove">'[3]Overview SB Top 20'!#REF!</definedName>
    <definedName name="Box6_Start" localSheetId="1">'[3]Overview SB Top 20'!#REF!</definedName>
    <definedName name="Box6_Start">'[3]Overview SB Top 20'!#REF!</definedName>
    <definedName name="Entity">[4]Reference!$A$45:$E$75</definedName>
    <definedName name="Entity_Active">[4]Reference!$A$44</definedName>
    <definedName name="EVA">[4]Reference!$A$106:$K$108</definedName>
    <definedName name="EVA_Active">[4]Reference!$A$105</definedName>
    <definedName name="evafor3">[5]Settings!$D$30</definedName>
    <definedName name="_xlnm.Extract" localSheetId="1">Growth!$C$22</definedName>
    <definedName name="_xlnm.Extract" localSheetId="0">Volume!#REF!</definedName>
    <definedName name="Fc_Channel">[1]Settings!$H$12</definedName>
    <definedName name="Fc_Currency">[1]Settings!$H$10</definedName>
    <definedName name="Fc_Entity" localSheetId="1">#REF!</definedName>
    <definedName name="Fc_Entity">#REF!</definedName>
    <definedName name="Fc_EVA">[1]Settings!$H$15</definedName>
    <definedName name="Fc_Fx">[2]Forex!$A$27:$C$33</definedName>
    <definedName name="Fc_ICP">[1]Settings!$H$11</definedName>
    <definedName name="Fc_Period">[1]Settings!$H$19</definedName>
    <definedName name="Fc_Product">[1]Settings!$H$21</definedName>
    <definedName name="Fc_RptLevel1">[1]Settings!$H$13</definedName>
    <definedName name="Fc_RptLevel2">[1]Settings!$H$14</definedName>
    <definedName name="Fc_Scenario">[1]Settings!$H$16</definedName>
    <definedName name="Fc_Version">[1]Settings!$H$17</definedName>
    <definedName name="Fc_Year">[1]Settings!$H$18</definedName>
    <definedName name="Frequency_Active">[4]Reference!$A$27</definedName>
    <definedName name="Fx_AC_Channel">[1]Settings!$J$12</definedName>
    <definedName name="Fx_AC_Currency">[1]Settings!$J$10</definedName>
    <definedName name="Fx_AC_Entity">[1]Settings!$J$20</definedName>
    <definedName name="Fx_AC_EVA">[1]Settings!$J$15</definedName>
    <definedName name="Fx_AC_ICP">[1]Settings!$J$11</definedName>
    <definedName name="Fx_AC_Period">[1]Settings!$J$19</definedName>
    <definedName name="Fx_AC_Product">[1]Settings!$J$21</definedName>
    <definedName name="Fx_AC_RptLevel1">[1]Settings!$J$13</definedName>
    <definedName name="Fx_AC_RptLevel2">[1]Settings!$J$14</definedName>
    <definedName name="Fx_AC_Scenario">[1]Settings!$J$16</definedName>
    <definedName name="Fx_AC_Version">[1]Settings!$J$17</definedName>
    <definedName name="Fx_AC_Year">[1]Settings!$J$18</definedName>
    <definedName name="Fx_Fc_Channel">[1]Settings!$F$12</definedName>
    <definedName name="Fx_Fc_Currency">[1]Settings!$F$10</definedName>
    <definedName name="Fx_Fc_Entity" localSheetId="1">#REF!</definedName>
    <definedName name="Fx_Fc_Entity">#REF!</definedName>
    <definedName name="Fx_Fc_EVA">[1]Settings!$F$15</definedName>
    <definedName name="Fx_Fc_ICP">[1]Settings!$F$11</definedName>
    <definedName name="Fx_Fc_Period">[1]Settings!$F$19</definedName>
    <definedName name="Fx_Fc_Product">[1]Settings!$F$21</definedName>
    <definedName name="Fx_Fc_RptLevel1">[1]Settings!$F$13</definedName>
    <definedName name="Fx_Fc_RptLevel2">[1]Settings!$F$14</definedName>
    <definedName name="Fx_Fc_Scenario">[1]Settings!$F$16</definedName>
    <definedName name="Fx_Fc_Version">[1]Settings!$F$17</definedName>
    <definedName name="Fx_Fc_Year">[1]Settings!$F$18</definedName>
    <definedName name="Fx_PY_Channel">[6]Settings!$N$12</definedName>
    <definedName name="Fx_PY_Currency">[6]Settings!$N$10</definedName>
    <definedName name="Fx_PY_Entity">[6]Settings!$N$20</definedName>
    <definedName name="Fx_PY_EVA">[6]Settings!$N$15</definedName>
    <definedName name="Fx_PY_ICP">[6]Settings!$N$11</definedName>
    <definedName name="Fx_PY_Period">[6]Settings!$N$19</definedName>
    <definedName name="Fx_PY_Product">[1]Settings!$N$21</definedName>
    <definedName name="Fx_PY_RptLevel1">[6]Settings!$N$13</definedName>
    <definedName name="Fx_PY_RptLevel2">[6]Settings!$N$14</definedName>
    <definedName name="Fx_PY_Scenario">[6]Settings!$N$16</definedName>
    <definedName name="Fx_PY_Version">[6]Settings!$N$17</definedName>
    <definedName name="Fx_PY_Year">[6]Settings!$N$18</definedName>
    <definedName name="Outlook_Revenue" localSheetId="1">#REF!</definedName>
    <definedName name="Outlook_Revenue">#REF!</definedName>
    <definedName name="Period">[4]Reference!$A$8:$G$24</definedName>
    <definedName name="Period_Active">[4]Reference!$A$7</definedName>
    <definedName name="PRINT" localSheetId="1">#REF!</definedName>
    <definedName name="PRINT">#REF!</definedName>
    <definedName name="_xlnm.Print_Area" localSheetId="1">Growth!$B$2:$M$25</definedName>
    <definedName name="_xlnm.Print_Area" localSheetId="0">Volume!$H$2:$I$14</definedName>
    <definedName name="Product">[4]Reference!$A$35:$D$40</definedName>
    <definedName name="Product_Active">[4]Reference!$A$34</definedName>
    <definedName name="PY_Channel">[6]Settings!$P$12</definedName>
    <definedName name="PY_Currency">[6]Settings!$P$10</definedName>
    <definedName name="PY_Entity">[6]Settings!$P$20</definedName>
    <definedName name="PY_EVA">[6]Settings!$P$15</definedName>
    <definedName name="PY_Fx">[2]Forex!$A$11:$C$17</definedName>
    <definedName name="PY_ICP">[6]Settings!$P$11</definedName>
    <definedName name="PY_Period">[6]Settings!$P$19</definedName>
    <definedName name="PY_Product">[1]Settings!$P$21</definedName>
    <definedName name="PY_RptLevel1">[6]Settings!$P$13</definedName>
    <definedName name="PY_RptLevel2">[6]Settings!$P$14</definedName>
    <definedName name="PY_Scenario">[6]Settings!$P$16</definedName>
    <definedName name="PY_Version">[6]Settings!$P$17</definedName>
    <definedName name="PY_Year">[6]Settings!$P$18</definedName>
    <definedName name="Report">[4]Reference!$A$136:$C$149</definedName>
    <definedName name="Report_Active">[4]Reference!$A$135</definedName>
    <definedName name="Reporting_Level">[4]Reference!$B$112:$C$131</definedName>
    <definedName name="Rpt_Channel">[1]Settings!$D$12</definedName>
    <definedName name="Rpt_Currency">[1]Settings!$D$10</definedName>
    <definedName name="Rpt_Entity" localSheetId="1">#REF!</definedName>
    <definedName name="Rpt_Entity">#REF!</definedName>
    <definedName name="Rpt_EVA">[1]Settings!$D$15</definedName>
    <definedName name="Rpt_ICP">[1]Settings!$D$11</definedName>
    <definedName name="Rpt_Period">[1]Settings!$D$19</definedName>
    <definedName name="Rpt_Product">[1]Settings!$D$21</definedName>
    <definedName name="Rpt_RptLevel1">[1]Settings!$D$13</definedName>
    <definedName name="Rpt_RptLevel2">[1]Settings!$D$14</definedName>
    <definedName name="Rpt_Scenario">[1]Settings!$D$16</definedName>
    <definedName name="Rpt_Version">[1]Settings!$D$17</definedName>
    <definedName name="Rpt_Year">[1]Settings!$D$18</definedName>
    <definedName name="Scenario_Index">[4]Reference!$B$86:$F$101</definedName>
    <definedName name="Scenario_Selection">[4]Reference!$C$86:$F$101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4" i="7"/>
  <c r="E30" i="8" l="1"/>
  <c r="E29" i="8"/>
  <c r="E28" i="8"/>
  <c r="E27" i="8"/>
  <c r="E26" i="8"/>
  <c r="E25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7" i="8"/>
  <c r="P16" i="1"/>
  <c r="P15" i="1"/>
  <c r="P14" i="1"/>
  <c r="P13" i="1"/>
  <c r="P12" i="1"/>
  <c r="P11" i="1"/>
  <c r="P10" i="1"/>
  <c r="P9" i="1"/>
  <c r="P8" i="1"/>
  <c r="P7" i="1"/>
  <c r="P6" i="1"/>
  <c r="P5" i="1"/>
  <c r="P4" i="1"/>
  <c r="O16" i="1"/>
  <c r="O15" i="1"/>
  <c r="N16" i="1"/>
  <c r="N15" i="1"/>
  <c r="O14" i="1"/>
  <c r="N14" i="1"/>
  <c r="O13" i="1"/>
  <c r="N13" i="1"/>
  <c r="O12" i="1"/>
  <c r="N12" i="1"/>
  <c r="O11" i="1"/>
  <c r="N11" i="1"/>
  <c r="O10" i="1"/>
  <c r="N10" i="1"/>
  <c r="O9" i="1"/>
  <c r="N9" i="1"/>
  <c r="O8" i="1"/>
  <c r="N8" i="1"/>
  <c r="O7" i="1"/>
  <c r="N7" i="1"/>
  <c r="O6" i="1"/>
  <c r="N6" i="1"/>
  <c r="O5" i="1"/>
  <c r="N5" i="1"/>
  <c r="O4" i="1"/>
  <c r="N4" i="1"/>
  <c r="J13" i="1"/>
  <c r="J12" i="1"/>
  <c r="J11" i="1"/>
  <c r="J10" i="1"/>
  <c r="J9" i="1"/>
  <c r="J8" i="1"/>
  <c r="J7" i="1"/>
  <c r="J14" i="1"/>
  <c r="J6" i="1"/>
  <c r="J5" i="1"/>
  <c r="J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" i="1"/>
  <c r="B22" i="8" l="1"/>
  <c r="B21" i="8"/>
  <c r="B20" i="8"/>
  <c r="B19" i="8"/>
  <c r="B18" i="8"/>
  <c r="B14" i="8"/>
  <c r="B13" i="8"/>
  <c r="B12" i="8"/>
  <c r="B11" i="8"/>
  <c r="B10" i="8"/>
  <c r="E31" i="8" l="1"/>
  <c r="J15" i="1"/>
  <c r="Q9" i="1" l="1"/>
  <c r="N17" i="1" l="1"/>
  <c r="O17" i="1"/>
  <c r="F49" i="1"/>
  <c r="Q16" i="1"/>
  <c r="Q15" i="1"/>
  <c r="Q14" i="1"/>
  <c r="Q13" i="1"/>
  <c r="Q12" i="1"/>
  <c r="Q11" i="1"/>
  <c r="Q10" i="1"/>
  <c r="Q8" i="1"/>
  <c r="Q7" i="1"/>
  <c r="Q6" i="1"/>
  <c r="Q5" i="1"/>
  <c r="J16" i="1" l="1"/>
  <c r="P17" i="1"/>
  <c r="Q17" i="1" s="1"/>
  <c r="Q18" i="1" s="1"/>
  <c r="Q4" i="1"/>
</calcChain>
</file>

<file path=xl/sharedStrings.xml><?xml version="1.0" encoding="utf-8"?>
<sst xmlns="http://schemas.openxmlformats.org/spreadsheetml/2006/main" count="284" uniqueCount="78">
  <si>
    <t>Ctry</t>
  </si>
  <si>
    <t>Code</t>
  </si>
  <si>
    <t>Period</t>
  </si>
  <si>
    <t>Category</t>
  </si>
  <si>
    <t>Volume</t>
  </si>
  <si>
    <t>Country</t>
  </si>
  <si>
    <t>Total</t>
  </si>
  <si>
    <t>Q1</t>
  </si>
  <si>
    <t>Q2</t>
  </si>
  <si>
    <t>H2</t>
  </si>
  <si>
    <t>GR</t>
  </si>
  <si>
    <t>COB</t>
  </si>
  <si>
    <t>Chocolate</t>
  </si>
  <si>
    <t>BE</t>
  </si>
  <si>
    <t>1. Fill in the category that each code belongs to</t>
  </si>
  <si>
    <t>FR</t>
  </si>
  <si>
    <t>BIS</t>
  </si>
  <si>
    <t>Biscuits</t>
  </si>
  <si>
    <t>CH</t>
  </si>
  <si>
    <t>2. Fill in the volume by code</t>
  </si>
  <si>
    <t>DK</t>
  </si>
  <si>
    <t>Q4</t>
  </si>
  <si>
    <t>GGG</t>
  </si>
  <si>
    <t>G&amp;C</t>
  </si>
  <si>
    <t>DE</t>
  </si>
  <si>
    <t>3. Fill in the volume by country, quarter and Half year</t>
  </si>
  <si>
    <t>CND</t>
  </si>
  <si>
    <t>COF</t>
  </si>
  <si>
    <t>Coffee</t>
  </si>
  <si>
    <t>Q3</t>
  </si>
  <si>
    <t>GNC</t>
  </si>
  <si>
    <t>ES</t>
  </si>
  <si>
    <t>NL</t>
  </si>
  <si>
    <t>CF</t>
  </si>
  <si>
    <t>CNG</t>
  </si>
  <si>
    <t>C&amp;G</t>
  </si>
  <si>
    <t>CHO</t>
  </si>
  <si>
    <t>GB</t>
  </si>
  <si>
    <t>IE</t>
  </si>
  <si>
    <t>BS</t>
  </si>
  <si>
    <t>COC</t>
  </si>
  <si>
    <t>NO</t>
  </si>
  <si>
    <t>PT</t>
  </si>
  <si>
    <t>Check</t>
  </si>
  <si>
    <t>SE</t>
  </si>
  <si>
    <t>Volume Y1</t>
  </si>
  <si>
    <t>Volume Y0</t>
  </si>
  <si>
    <t>Growth %</t>
  </si>
  <si>
    <t>Please create a formula that will calculate the volume growth in % between the Year 1 (Y1) and the Base year (Y0) and will cover the following conditions:</t>
  </si>
  <si>
    <t>a) When the volume in base year is 0, give 100</t>
  </si>
  <si>
    <t>b) When the growth in % is more than 100 give "++"</t>
  </si>
  <si>
    <t>c) When the growth in % is less than -100 give "--"</t>
  </si>
  <si>
    <t>d) when none of the above are met, give the volume growth in %</t>
  </si>
  <si>
    <t>1. Fill in the total NR in $</t>
  </si>
  <si>
    <t>Revenues</t>
  </si>
  <si>
    <t>Currency</t>
  </si>
  <si>
    <t>Local currency</t>
  </si>
  <si>
    <t>USD</t>
  </si>
  <si>
    <t>1 USD</t>
  </si>
  <si>
    <t>Italy</t>
  </si>
  <si>
    <t>Euro</t>
  </si>
  <si>
    <t>UK</t>
  </si>
  <si>
    <t>British Pounds</t>
  </si>
  <si>
    <t>France</t>
  </si>
  <si>
    <t>Meals</t>
  </si>
  <si>
    <t>India</t>
  </si>
  <si>
    <t>Indian Rupee</t>
  </si>
  <si>
    <t>Germany</t>
  </si>
  <si>
    <t>Germany/France/Italy</t>
  </si>
  <si>
    <t>China</t>
  </si>
  <si>
    <t>Czeck Republick</t>
  </si>
  <si>
    <t>Czeck Koruna</t>
  </si>
  <si>
    <t>Gum</t>
  </si>
  <si>
    <t>Australia</t>
  </si>
  <si>
    <t>Australian Dollar</t>
  </si>
  <si>
    <t>Chinese Yuan</t>
  </si>
  <si>
    <t>Candy</t>
  </si>
  <si>
    <t>Total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</si>
</sst>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7">
    <numFmt numFmtId="41" formatCode="_ * #,##0_ ;_ * \-#,##0_ ;_ * &quot;-&quot;_ ;_ @_ "/>
    <numFmt numFmtId="43" formatCode="_ * #,##0.00_ ;_ * \-#,##0.00_ ;_ * &quot;-&quot;??_ ;_ @_ "/>
    <numFmt numFmtId="164" formatCode="&quot;$&quot;#,##0_);\(&quot;$&quot;#,##0\)"/>
    <numFmt numFmtId="165" formatCode="&quot;$&quot;#,##0_);[Red]\(&quot;$&quot;#,##0\)"/>
    <numFmt numFmtId="166" formatCode="&quot;$&quot;#,##0.00_);[Red]\(&quot;$&quot;#,##0.00\)"/>
    <numFmt numFmtId="167" formatCode="_(&quot;$&quot;* #,##0_);_(&quot;$&quot;* \(#,##0\);_(&quot;$&quot;* &quot;-&quot;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_(* #,##0.00_);_(* \(#,##0.00\);_(* &quot;-&quot;??_);_(@_)"/>
    <numFmt numFmtId="171" formatCode="&quot;$&quot;#,##0.00;[Red]\-&quot;$&quot;#,##0.00"/>
    <numFmt numFmtId="172" formatCode="_-* #,##0_-;\-* #,##0_-;_-* &quot;-&quot;_-;_-@_-"/>
    <numFmt numFmtId="173" formatCode="_-&quot;$&quot;* #,##0.00_-;\-&quot;$&quot;* #,##0.00_-;_-&quot;$&quot;* &quot;-&quot;??_-;_-@_-"/>
    <numFmt numFmtId="174" formatCode="_-* #,##0.00_-;\-* #,##0.00_-;_-* &quot;-&quot;??_-;_-@_-"/>
    <numFmt numFmtId="175" formatCode="_-&quot;£&quot;* #,##0_-;\-&quot;£&quot;* #,##0_-;_-&quot;£&quot;* &quot;-&quot;_-;_-@_-"/>
    <numFmt numFmtId="176" formatCode="#,##0;\(#,##0\);&quot;-&quot;"/>
    <numFmt numFmtId="177" formatCode="_([$€-2]* #,##0.00_);_([$€-2]* \(#,##0.00\);_([$€-2]* &quot;-&quot;??_)"/>
    <numFmt numFmtId="178" formatCode="_(* #,##0_);_(* \(#,##0\);_(* &quot;-&quot;??_);_(@_)"/>
    <numFmt numFmtId="179" formatCode="#,##0.0_);\(#,##0.0\)"/>
    <numFmt numFmtId="180" formatCode="_(* #,##0.0_);_(* \(#,##0.0\);_(* &quot;-&quot;??_);_(@_)"/>
    <numFmt numFmtId="181" formatCode="_([$€]* #,##0.00_);_([$€]* \(#,##0.00\);_([$€]* &quot;-&quot;??_);_(@_)"/>
    <numFmt numFmtId="182" formatCode="[$-409]m/d/yy\ h:mm\ AM/PM;@"/>
    <numFmt numFmtId="183" formatCode="_-[$£-809]* #,##0.0000_-;\-[$£-809]* #,##0.0000_-;_-[$£-809]* &quot;-&quot;????_-;_-@_-"/>
    <numFmt numFmtId="184" formatCode="_-[$€]* #,##0.00_-;\-[$€]* #,##0.00_-;_-[$€]* &quot;-&quot;??_-;_-@_-"/>
    <numFmt numFmtId="185" formatCode="#,##0.0\ \x"/>
    <numFmt numFmtId="186" formatCode="&quot;$&quot;* #,##0\ ;&quot;$&quot;* \(#,##0\)"/>
    <numFmt numFmtId="187" formatCode="&quot;$&quot;#,##0.0,_);[Red]\(&quot;$&quot;#,##0.0,\)"/>
    <numFmt numFmtId="188" formatCode="0.0%"/>
    <numFmt numFmtId="189" formatCode="#,##0;\(#,##0\);\ \-\ "/>
    <numFmt numFmtId="190" formatCode="#,##0.00;\(#,##0.00\);\ \-\ "/>
    <numFmt numFmtId="191" formatCode="_-* #,##0.00\ _?_._-;\-* #,##0.00\ _?_._-;_-* &quot;-&quot;??\ _?_._-;_-@_-"/>
    <numFmt numFmtId="192" formatCode="#,##0.0"/>
    <numFmt numFmtId="193" formatCode="_-#,##0_-;\(#,##0\);_-\ \ &quot;-&quot;_-;_-@_-"/>
    <numFmt numFmtId="194" formatCode="_-#,##0.00_-;\(#,##0.00\);_-\ \ &quot;-&quot;_-;_-@_-"/>
    <numFmt numFmtId="195" formatCode="mmm/dd/yyyy;_-\ &quot;N/A&quot;_-;_-\ &quot;-&quot;_-"/>
    <numFmt numFmtId="196" formatCode="mmm/yyyy;_-\ &quot;N/A&quot;_-;_-\ &quot;-&quot;_-"/>
    <numFmt numFmtId="197" formatCode="_-#,##0%_-;\(#,##0%\);_-\ &quot;-&quot;_-"/>
    <numFmt numFmtId="198" formatCode="_-#,###,_-;\(#,###,\);_-\ \ &quot;-&quot;_-;_-@_-"/>
    <numFmt numFmtId="199" formatCode="_-#,###.00,_-;\(#,###.00,\);_-\ \ &quot;-&quot;_-;_-@_-"/>
    <numFmt numFmtId="200" formatCode="_-#0&quot;.&quot;0,_-;\(#0&quot;.&quot;0,\);_-\ \ &quot;-&quot;_-;_-@_-"/>
    <numFmt numFmtId="201" formatCode="_-#0&quot;.&quot;0000_-;\(#0&quot;.&quot;0000\);_-\ \ &quot;-&quot;_-;_-@_-"/>
    <numFmt numFmtId="202" formatCode="#,##0\ &quot;K?&quot;_);[Red]\(#,##0\ &quot;K?&quot;\)"/>
    <numFmt numFmtId="203" formatCode="#,##0\ &quot;Kč&quot;_);[Red]\(#,##0\ &quot;Kč&quot;\)"/>
    <numFmt numFmtId="204" formatCode="#,##0,_);[Red]\(#,##0,\)"/>
    <numFmt numFmtId="205" formatCode="0.000_]"/>
    <numFmt numFmtId="206" formatCode="#,##0.0\ _]"/>
    <numFmt numFmtId="207" formatCode="\ #\ ###\ ###\ ##0"/>
    <numFmt numFmtId="208" formatCode="0.0000"/>
    <numFmt numFmtId="209" formatCode="_(* #,##0_);[Red]_(* \(#,##0\);_(* &quot;-&quot;??_);_(@_)"/>
    <numFmt numFmtId="210" formatCode="_(&quot;$&quot;* #,##0.0000_);_(&quot;$&quot;* \(#,##0.0000\);_(&quot;$&quot;* &quot;-&quot;??_);_(@_)"/>
    <numFmt numFmtId="211" formatCode="0.000_)"/>
    <numFmt numFmtId="212" formatCode="#,##0_ ;\-#,##0\ "/>
    <numFmt numFmtId="213" formatCode="_-[$£-809]* #,##0.00_-;\-[$£-809]* #,##0.00_-;_-[$£-809]* &quot;-&quot;??_-;_-@_-"/>
    <numFmt numFmtId="214" formatCode="[$$-409]#,##0.000_);\([$$-409]#,##0.000\)"/>
    <numFmt numFmtId="215" formatCode="[Blue]###0;[Red]\-###0"/>
    <numFmt numFmtId="216" formatCode="[Blue]###0.0;[Red]\-###0.0"/>
    <numFmt numFmtId="217" formatCode="#,##0.0_);[Red]\(#,##0.0\)"/>
    <numFmt numFmtId="218" formatCode="#\ ##0\ "/>
    <numFmt numFmtId="219" formatCode="0.000"/>
    <numFmt numFmtId="220" formatCode="\•\ @"/>
    <numFmt numFmtId="221" formatCode="_ &quot;$&quot;\ * #,##0.00_ ;_ &quot;$&quot;\ * \-#,##0.00_ ;_ &quot;$&quot;\ * &quot;-&quot;??_ ;_ @_ "/>
    <numFmt numFmtId="222" formatCode="_ &quot;£&quot;\ * #,##0.00_ ;_ &quot;£&quot;\ * \-#,##0.00_ ;_ &quot;£&quot;\ * &quot;-&quot;??_ ;_ @_ "/>
    <numFmt numFmtId="223" formatCode="General_)"/>
    <numFmt numFmtId="224" formatCode="_ &quot;$&quot;\ * #,##0_ ;_ &quot;$&quot;\ * \-#,##0_ ;_ &quot;$&quot;\ * &quot;-&quot;??_ ;_ @_ "/>
    <numFmt numFmtId="225" formatCode="#,###,;&quot;\&quot;&quot;\&quot;&quot;\&quot;\(#,###,&quot;\&quot;&quot;\&quot;&quot;\&quot;\)"/>
    <numFmt numFmtId="226" formatCode="_ &quot;£&quot;\ * #,##0_ ;_ &quot;£&quot;\ * \-#,##0_ ;_ &quot;£&quot;\ * &quot;-&quot;??_ ;_ @_ "/>
    <numFmt numFmtId="227" formatCode="_ * #,##0.0_ ;_ * \-#,##0.0_ ;_ * &quot;-&quot;??_ ;_ @_ "/>
    <numFmt numFmtId="228" formatCode="_ * #,##0_ ;_ * \-#,##0_ ;_ * &quot;-&quot;??_ ;_ @_ "/>
    <numFmt numFmtId="229" formatCode="#,##0_);[Red]\(#,##0\);&quot;-&quot;_)"/>
    <numFmt numFmtId="230" formatCode="#,##0.00_);[Red]\(#,##0.00\);&quot;-&quot;_)"/>
    <numFmt numFmtId="231" formatCode="\C&quot;$&quot;#,##0_);[Red]\(\C&quot;$&quot;#,##0\)"/>
    <numFmt numFmtId="232" formatCode="0_)"/>
    <numFmt numFmtId="233" formatCode="#,##0\ &quot;F&quot;;[Red]\-#,##0\ &quot;F&quot;"/>
    <numFmt numFmtId="234" formatCode="#,##0.0;\(#,##0.0\);&quot;-&quot;;@"/>
    <numFmt numFmtId="235" formatCode="00"/>
    <numFmt numFmtId="236" formatCode="000000"/>
    <numFmt numFmtId="237" formatCode="#,##0_);[Red]\(&quot;$&quot;#,##0\)"/>
    <numFmt numFmtId="238" formatCode="_-* #,##0.0_-;\-* #,##0.0_-;_-* &quot;-&quot;??_-;_-@_-"/>
    <numFmt numFmtId="239" formatCode="#,##0.0000_);[Red]\(#,##0.0000\)"/>
    <numFmt numFmtId="240" formatCode="#,##0.000000_);[Red]\(#,##0.000000\)"/>
    <numFmt numFmtId="241" formatCode="&quot;N$&quot;#,##0_);\(&quot;N$&quot;#,##0\)"/>
    <numFmt numFmtId="242" formatCode="&quot;S/.&quot;#,##0.00;[Red]\-&quot;S/.&quot;#,##0.00"/>
    <numFmt numFmtId="243" formatCode="_-* #,##0.00\ _P_t_s_-;\-* #,##0.00\ _P_t_s_-;_-* &quot;-&quot;??\ _P_t_s_-;_-@_-"/>
    <numFmt numFmtId="244" formatCode="_-* #,##0\ &quot;Pts&quot;_-;\-* #,##0\ &quot;Pts&quot;_-;_-* &quot;-&quot;\ &quot;Pts&quot;_-;_-@_-"/>
    <numFmt numFmtId="245" formatCode="_(&quot;$&quot;* #,##0_);[Red]_(&quot;$&quot;* \(#,##0\);_(&quot;$&quot;* &quot;-&quot;??_);_(@_)"/>
    <numFmt numFmtId="246" formatCode="_-* #,##0.00\ &quot;DM&quot;_-;\-* #,##0.00\ &quot;DM&quot;_-;_-* &quot;-&quot;??\ &quot;DM&quot;_-;_-@_-"/>
    <numFmt numFmtId="247" formatCode="_(&quot;$&quot;* #,##0.0000_);_(&quot;$&quot;* \(#,##0.0000\);_(&quot;$&quot;* &quot;-&quot;????_);_(@_)"/>
    <numFmt numFmtId="248" formatCode="0.0&quot;  &quot;"/>
    <numFmt numFmtId="249" formatCode="#,##0_)"/>
    <numFmt numFmtId="250" formatCode="0.0_W"/>
    <numFmt numFmtId="251" formatCode="#,##0_);\(#,##0\);"/>
    <numFmt numFmtId="252" formatCode="dd\.mmm\.yy"/>
    <numFmt numFmtId="253" formatCode="m/d/yy_)"/>
    <numFmt numFmtId="254" formatCode="#,##0.000_);\(#,##0.000\)"/>
    <numFmt numFmtId="255" formatCode="#,##0.000"/>
    <numFmt numFmtId="256" formatCode="_ * #,##0.00_)&quot;£&quot;_ ;_ * \(#,##0.00\)&quot;£&quot;_ ;_ * &quot;-&quot;??_)&quot;£&quot;_ ;_ @_ "/>
    <numFmt numFmtId="257" formatCode="&quot;DM&quot;\ * #,##0.00_);&quot;DM&quot;\ * \(#,##0.00\)"/>
    <numFmt numFmtId="258" formatCode="#,##0.00\ &quot;DM/a&quot;"/>
    <numFmt numFmtId="259" formatCode="0.00\ &quot;DM/t&quot;"/>
    <numFmt numFmtId="260" formatCode="_-* #,##0\ _z_?_-;\-* #,##0\ _z_?_-;_-* &quot;-&quot;\ _z_?_-;_-@_-"/>
    <numFmt numFmtId="261" formatCode="_-* #,##0.00\ _z_?_-;\-* #,##0.00\ _z_?_-;_-* &quot;-&quot;??\ _z_?_-;_-@_-"/>
    <numFmt numFmtId="262" formatCode="_-* #,##0\ _z_ł_-;\-* #,##0\ _z_ł_-;_-* &quot;-&quot;\ _z_ł_-;_-@_-"/>
    <numFmt numFmtId="263" formatCode="_-* #,##0\ _F_-;\-* #,##0\ _F_-;_-* &quot;-&quot;\ _F_-;_-@_-"/>
    <numFmt numFmtId="264" formatCode="_-* #,##0.00\ _z_ł_-;\-* #,##0.00\ _z_ł_-;_-* &quot;-&quot;??\ _z_ł_-;_-@_-"/>
    <numFmt numFmtId="265" formatCode="&quot;Fr.&quot;\ #,##0;[Red]&quot;Fr.&quot;\ \-#,##0"/>
    <numFmt numFmtId="266" formatCode="_-* #,##0.00\ _K_c_-;\-* #,##0.00\ _K_c_-;_-* &quot;-&quot;??\ _K_c_-;_-@_-"/>
    <numFmt numFmtId="267" formatCode="_-* #,##0.00\ _P_L_N_-;\-* #,##0.00\ _P_L_N_-;_-* &quot;-&quot;??\ _P_L_N_-;_-@_-"/>
    <numFmt numFmtId="268" formatCode="#,##0;[Red]\(#,##0\)"/>
    <numFmt numFmtId="269" formatCode="[Magenta]&quot;Err&quot;;[Magenta]&quot;Err&quot;;[Blue]&quot;OK&quot;"/>
    <numFmt numFmtId="270" formatCode="General&quot;.&quot;"/>
    <numFmt numFmtId="271" formatCode="0.0_)%;[Red]\(0.0%\);0.0_)%"/>
    <numFmt numFmtId="272" formatCode="#,##0;[Red]\(#,##0\);\-"/>
    <numFmt numFmtId="273" formatCode="#,##0_);[Red]\(#,##0\);\-_)"/>
    <numFmt numFmtId="274" formatCode="_-* #,##0\ _F_t_-;\-* #,##0\ _F_t_-;_-* &quot;-&quot;\ _F_t_-;_-@_-"/>
    <numFmt numFmtId="275" formatCode=";;"/>
    <numFmt numFmtId="276" formatCode="0000000"/>
    <numFmt numFmtId="277" formatCode="d/m/yy"/>
    <numFmt numFmtId="278" formatCode="0.00%;\(0.00%\)"/>
    <numFmt numFmtId="279" formatCode="____@"/>
    <numFmt numFmtId="280" formatCode="______@"/>
    <numFmt numFmtId="281" formatCode="_-* General_-;[Magenta]\(* General\)"/>
    <numFmt numFmtId="282" formatCode="_-* #,##0.00\ _F_-;\-* #,##0.00\ _F_-;_-* &quot;-&quot;??\ _F_-;_-@_-"/>
    <numFmt numFmtId="283" formatCode="#,###,;\-#,###,"/>
    <numFmt numFmtId="284" formatCode="#,##0;\-#,##0;&quot;---&quot;"/>
    <numFmt numFmtId="285" formatCode="#,##0.00\ "/>
    <numFmt numFmtId="286" formatCode="_-* #,##0.00\ &quot;Kč&quot;_-;\-* #,##0.00\ &quot;Kč&quot;_-;_-* &quot;-&quot;??\ &quot;Kč&quot;_-;_-@_-"/>
    <numFmt numFmtId="287" formatCode="_-* #,##0\ &quot;F&quot;_-;\-* #,##0\ &quot;F&quot;_-;_-* &quot;-&quot;\ &quot;F&quot;_-;_-@_-"/>
    <numFmt numFmtId="288" formatCode="0;0;"/>
    <numFmt numFmtId="289" formatCode="_(&quot;R$&quot;* #,##0_);_(&quot;R$&quot;* \(#,##0\);_(&quot;R$&quot;* &quot;-&quot;_);_(@_)"/>
    <numFmt numFmtId="290" formatCode="_-* #,##0.00\ &quot;Pts&quot;_-;\-* #,##0.00\ &quot;Pts&quot;_-;_-* &quot;-&quot;??\ &quot;Pts&quot;_-;_-@_-"/>
    <numFmt numFmtId="291" formatCode="_ * #,##0_)&quot;F&quot;_ ;_ * \(#,##0\)&quot;F&quot;_ ;_ * &quot;-&quot;_)&quot;F&quot;_ ;_ @_ "/>
    <numFmt numFmtId="292" formatCode="#.##000\ \€;\-#.##000\ \€"/>
    <numFmt numFmtId="293" formatCode="_ * #,##0_)_F_ ;_ * \(#,##0\)_F_ ;_ * &quot;-&quot;_)_F_ ;_ @_ "/>
    <numFmt numFmtId="294" formatCode="General&quot;   &quot;"/>
    <numFmt numFmtId="295" formatCode="_ * #,##0.00_)\ _F_ ;_ * \(#,##0.00\)\ _F_ ;_ * &quot;-&quot;??_)\ _F_ ;_ @_ "/>
    <numFmt numFmtId="296" formatCode="0.0000000000"/>
    <numFmt numFmtId="297" formatCode="mmmm\ d\,\ yyyy"/>
    <numFmt numFmtId="298" formatCode="_ * #,##0.00_)&quot;F&quot;_ ;_ * \(#,##0.00\)&quot;F&quot;_ ;_ * &quot;-&quot;??_)&quot;F&quot;_ ;_ @_ "/>
    <numFmt numFmtId="299" formatCode="#,##0.000000000000000000000000000000"/>
    <numFmt numFmtId="300" formatCode="#,##0.0,;[Red]\-#,##0.0,"/>
    <numFmt numFmtId="301" formatCode="00&quot;  &quot;"/>
    <numFmt numFmtId="302" formatCode="0\ \ 000.0"/>
    <numFmt numFmtId="303" formatCode="mmmm\-yy"/>
    <numFmt numFmtId="304" formatCode="#,##0.00_ ;[Red]\-#,##0.00\ "/>
    <numFmt numFmtId="305" formatCode="#,##0.00&quot; F&quot;_);[Red]\(#,##0.00&quot; F&quot;\)"/>
    <numFmt numFmtId="306" formatCode="#\ ###\ ##0"/>
    <numFmt numFmtId="307" formatCode="0.000000"/>
    <numFmt numFmtId="308" formatCode="0.00_)"/>
    <numFmt numFmtId="309" formatCode="0.00%;[Red]\-0.00%"/>
    <numFmt numFmtId="310" formatCode="&quot;$&quot;#,##0\ ;\(&quot;$&quot;#,##0\)"/>
    <numFmt numFmtId="311" formatCode="#,##0\ &quot;DM&quot;;\-#,##0\ &quot;DM&quot;"/>
    <numFmt numFmtId="312" formatCode="0.0&quot; N&quot;"/>
    <numFmt numFmtId="313" formatCode="#,##0,_);\(#,##0,\)"/>
    <numFmt numFmtId="314" formatCode="#,##0.00\ &quot;Pts&quot;;[Red]\-#,##0.00\ &quot;Pts&quot;"/>
    <numFmt numFmtId="315" formatCode="_(* #,##0.00_);[Red]_(* \(#,##0.00\);_(* &quot;-&quot;??_);_(@_)"/>
    <numFmt numFmtId="316" formatCode="@\ \ \ \ \ "/>
    <numFmt numFmtId="317" formatCode="0.0"/>
    <numFmt numFmtId="318" formatCode="#,##0,;\(#,##0,\)"/>
    <numFmt numFmtId="319" formatCode="\C&quot;$&quot;#,##0.00;[Red]\(&quot;$&quot;#,##0.00\)"/>
    <numFmt numFmtId="320" formatCode="\C&quot;€&quot;#,##0.00;[Red]\(&quot;€&quot;#,##0.00\)"/>
    <numFmt numFmtId="321" formatCode="_-* #,##0\ &quot;€&quot;_-;\-* #,##0\ &quot;€&quot;_-;_-* &quot;-&quot;\ &quot;€&quot;_-;_-@_-"/>
    <numFmt numFmtId="322" formatCode="_-* #,##0.00\ &quot;€&quot;_-;\-* #,##0.00\ &quot;€&quot;_-;_-* &quot;-&quot;??\ &quot;€&quot;_-;_-@_-"/>
    <numFmt numFmtId="323" formatCode="0.0%;\(0.0%\)"/>
    <numFmt numFmtId="324" formatCode="#,##0.0_);\(#,##0.0\);"/>
    <numFmt numFmtId="325" formatCode="#,##0&quot;£&quot;_);\(#,##0&quot;£&quot;\)"/>
    <numFmt numFmtId="326" formatCode="0%;[Red]\-0%"/>
    <numFmt numFmtId="327" formatCode="#,##0.00\ &quot;DM&quot;;\-#,##0.00\ &quot;DM&quot;"/>
    <numFmt numFmtId="328" formatCode="&quot;N$&quot;#,##0.00_);\(&quot;N$&quot;#,##0.00\)"/>
    <numFmt numFmtId="329" formatCode="#,##0.0%"/>
    <numFmt numFmtId="330" formatCode="&quot;S/.&quot;#,##0;\-&quot;S/.&quot;#,##0"/>
    <numFmt numFmtId="331" formatCode="#,##0.0%;[Red]\(#,##0.0%\)"/>
    <numFmt numFmtId="332" formatCode="#,##0\ &quot;F&quot;"/>
    <numFmt numFmtId="333" formatCode="_(* #,##0.0000_);_(* \(#,##0.0000\);_(* &quot;-&quot;??_);_(@_)"/>
    <numFmt numFmtId="334" formatCode="_(&quot;$&quot;* #,##0.000_);_(&quot;$&quot;* \(#,##0.000\);_(&quot;$&quot;* &quot;-&quot;??_);_(@_)"/>
    <numFmt numFmtId="335" formatCode="#,##0.0_ ;[Red]\-#,##0.0\ "/>
    <numFmt numFmtId="336" formatCode="mm/dd/yy"/>
    <numFmt numFmtId="337" formatCode="0.0000%"/>
    <numFmt numFmtId="338" formatCode="m/d/yy\ h:mm:ss"/>
    <numFmt numFmtId="339" formatCode="0.000000000000000000%"/>
    <numFmt numFmtId="340" formatCode="&quot;$&quot;#,##0"/>
    <numFmt numFmtId="341" formatCode="#,##0.00\ &quot;Pts&quot;;\-#,##0.00\ &quot;Pts&quot;"/>
    <numFmt numFmtId="342" formatCode="#,###,;\(#,###,\)"/>
    <numFmt numFmtId="343" formatCode="mmm\-yyyy"/>
    <numFmt numFmtId="344" formatCode="&quot;DM&quot;#,##0.00;[Red]\-&quot;DM&quot;#,##0.00"/>
    <numFmt numFmtId="345" formatCode="0.0\ &quot;t/a&quot;"/>
    <numFmt numFmtId="346" formatCode="###0.00_)"/>
    <numFmt numFmtId="347" formatCode="#,##0\ ;[Red]\(#,##0\)"/>
    <numFmt numFmtId="348" formatCode="\&gt;&quot;$&quot;#,##0\ "/>
    <numFmt numFmtId="349" formatCode="\&gt;\ &quot;$&quot;#,##0\ "/>
    <numFmt numFmtId="350" formatCode="_-* #,##0.00\ &quot;F&quot;_-;\-* #,##0.00\ &quot;F&quot;_-;_-* &quot;-&quot;??\ &quot;F&quot;_-;_-@_-"/>
    <numFmt numFmtId="351" formatCode="____________@"/>
    <numFmt numFmtId="352" formatCode="#,##0\ &quot;DM&quot;;[Red]\-#,##0\ &quot;DM&quot;"/>
    <numFmt numFmtId="353" formatCode="#,##0.00\ &quot;DM&quot;;[Red]\-#,##0.00\ &quot;DM&quot;"/>
    <numFmt numFmtId="354" formatCode="_-* #,##0\ &quot;zł&quot;_-;\-* #,##0\ &quot;zł&quot;_-;_-* &quot;-&quot;\ &quot;zł&quot;_-;_-@_-"/>
    <numFmt numFmtId="355" formatCode="_-* #,##0.00\ &quot;zł&quot;_-;\-* #,##0.00\ &quot;zł&quot;_-;_-* &quot;-&quot;??\ &quot;zł&quot;_-;_-@_-"/>
    <numFmt numFmtId="356" formatCode="###,##0"/>
    <numFmt numFmtId="357" formatCode="_-* #,##0.00\ _р_._-;\-* #,##0.00\ _р_._-;_-* &quot;-&quot;??\ _р_._-;_-@_-"/>
    <numFmt numFmtId="358" formatCode="_-* #,##0.00\ _D_M_-;\-* #,##0.00\ _D_M_-;_-* &quot;-&quot;??\ _D_M_-;_-@_-"/>
  </numFmts>
  <fonts count="256">
    <font>
      <sz val="11"/>
      <color theme="1"/>
      <name val="Verdana"/>
      <family val="2"/>
    </font>
    <font>
      <sz val="11"/>
      <color theme="1"/>
      <name val="Verdana"/>
      <family val="2"/>
    </font>
    <font>
      <b/>
      <sz val="18"/>
      <color theme="3"/>
      <name val="Cambria"/>
      <family val="2"/>
      <scheme val="major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indexed="8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0"/>
      <name val="Agfa Rotis Semisans"/>
      <charset val="178"/>
    </font>
    <font>
      <sz val="10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0"/>
      <color indexed="8"/>
      <name val="MS Sans Serif"/>
      <family val="2"/>
    </font>
    <font>
      <sz val="8.5"/>
      <name val="LinePrinter"/>
    </font>
    <font>
      <sz val="11"/>
      <color indexed="8"/>
      <name val="Calibri"/>
      <family val="2"/>
    </font>
    <font>
      <sz val="10"/>
      <name val="Helv"/>
      <family val="2"/>
    </font>
    <font>
      <sz val="12"/>
      <name val="Times New Roman"/>
      <family val="1"/>
    </font>
    <font>
      <sz val="13"/>
      <name val="Tms Rmn"/>
      <charset val="178"/>
    </font>
    <font>
      <sz val="9"/>
      <color indexed="8"/>
      <name val="?? ?????"/>
      <family val="3"/>
      <charset val="128"/>
    </font>
    <font>
      <sz val="10"/>
      <name val="Courier"/>
      <family val="3"/>
    </font>
    <font>
      <sz val="10"/>
      <name val="Arial Cyr"/>
      <charset val="204"/>
    </font>
    <font>
      <sz val="12"/>
      <name val="???"/>
      <family val="3"/>
      <charset val="255"/>
    </font>
    <font>
      <sz val="7"/>
      <name val="Helv"/>
      <family val="2"/>
      <charset val="204"/>
    </font>
    <font>
      <sz val="10"/>
      <name val="Arial CE"/>
      <charset val="238"/>
    </font>
    <font>
      <b/>
      <sz val="10"/>
      <name val="Helv"/>
      <charset val="204"/>
    </font>
    <font>
      <sz val="10"/>
      <name val="Helv"/>
      <charset val="204"/>
    </font>
    <font>
      <sz val="10"/>
      <name val="Geneva"/>
      <family val="2"/>
    </font>
    <font>
      <sz val="11"/>
      <name val="Tms Rmn"/>
      <charset val="178"/>
    </font>
    <font>
      <sz val="9"/>
      <color indexed="10"/>
      <name val="Geneva"/>
      <family val="2"/>
    </font>
    <font>
      <sz val="10"/>
      <name val="Helv"/>
      <charset val="238"/>
    </font>
    <font>
      <sz val="10"/>
      <color indexed="9"/>
      <name val="Arial"/>
      <family val="2"/>
    </font>
    <font>
      <b/>
      <i/>
      <sz val="9"/>
      <name val="Arial"/>
      <family val="2"/>
    </font>
    <font>
      <b/>
      <sz val="9"/>
      <name val="Arial"/>
      <family val="2"/>
    </font>
    <font>
      <sz val="12"/>
      <name val="????"/>
      <family val="2"/>
    </font>
    <font>
      <sz val="11"/>
      <color indexed="9"/>
      <name val="Calibri"/>
      <family val="2"/>
    </font>
    <font>
      <i/>
      <sz val="10"/>
      <name val="Arial"/>
      <family val="2"/>
    </font>
    <font>
      <sz val="10"/>
      <name val="Arial Cyr"/>
      <family val="2"/>
      <charset val="204"/>
    </font>
    <font>
      <b/>
      <sz val="10"/>
      <color indexed="1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sz val="11"/>
      <name val="Book Antiqua"/>
      <family val="1"/>
    </font>
    <font>
      <sz val="1"/>
      <color indexed="16"/>
      <name val="Courier"/>
      <family val="3"/>
    </font>
    <font>
      <sz val="10"/>
      <name val="MS Sans Serif"/>
      <family val="2"/>
    </font>
    <font>
      <sz val="10"/>
      <name val="MS Sans Serif"/>
      <family val="2"/>
      <charset val="204"/>
    </font>
    <font>
      <b/>
      <sz val="11"/>
      <name val="Book Antiqua"/>
      <family val="1"/>
    </font>
    <font>
      <b/>
      <sz val="10"/>
      <name val="Pragmatica"/>
      <charset val="204"/>
    </font>
    <font>
      <sz val="10"/>
      <color theme="1"/>
      <name val="Calibri"/>
      <family val="2"/>
      <scheme val="minor"/>
    </font>
    <font>
      <sz val="11"/>
      <color indexed="8"/>
      <name val="Arial"/>
      <family val="2"/>
    </font>
    <font>
      <sz val="11"/>
      <color indexed="8"/>
      <name val="Calibri"/>
      <family val="2"/>
      <charset val="204"/>
    </font>
    <font>
      <sz val="10"/>
      <color theme="0"/>
      <name val="Calibri"/>
      <family val="2"/>
      <scheme val="minor"/>
    </font>
    <font>
      <sz val="11"/>
      <color indexed="9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charset val="204"/>
    </font>
    <font>
      <sz val="11"/>
      <name val="‚l‚r ‚oƒSƒVƒbƒN"/>
    </font>
    <font>
      <sz val="12"/>
      <name val="Helv"/>
    </font>
    <font>
      <sz val="14"/>
      <color indexed="12"/>
      <name val="Arial Narrow"/>
      <family val="2"/>
    </font>
    <font>
      <sz val="10"/>
      <color indexed="12"/>
      <name val="Times New Roman"/>
      <family val="1"/>
    </font>
    <font>
      <sz val="10"/>
      <color indexed="12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color indexed="10"/>
      <name val="Times New Roman"/>
      <family val="1"/>
    </font>
    <font>
      <sz val="10"/>
      <name val="Tms Rmn"/>
    </font>
    <font>
      <sz val="14"/>
      <color indexed="8"/>
      <name val="Arial"/>
      <family val="2"/>
    </font>
    <font>
      <sz val="10"/>
      <name val="Geneva"/>
    </font>
    <font>
      <sz val="8"/>
      <color indexed="18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10"/>
      <color rgb="FF9C0006"/>
      <name val="Calibri"/>
      <family val="2"/>
      <scheme val="minor"/>
    </font>
    <font>
      <sz val="11"/>
      <color indexed="20"/>
      <name val="Calibri"/>
      <family val="2"/>
    </font>
    <font>
      <sz val="11"/>
      <color indexed="16"/>
      <name val="Calibri"/>
      <family val="2"/>
    </font>
    <font>
      <sz val="11"/>
      <color rgb="FF9C0006"/>
      <name val="Calibri"/>
      <family val="2"/>
      <scheme val="minor"/>
    </font>
    <font>
      <b/>
      <sz val="16"/>
      <name val="Arial (WT)"/>
      <family val="2"/>
      <charset val="162"/>
    </font>
    <font>
      <b/>
      <sz val="16"/>
      <name val="Arial (WT)"/>
      <family val="2"/>
    </font>
    <font>
      <b/>
      <sz val="11"/>
      <color indexed="52"/>
      <name val="Calibri"/>
      <family val="2"/>
    </font>
    <font>
      <u/>
      <sz val="10"/>
      <color indexed="36"/>
      <name val="Arial"/>
      <family val="2"/>
    </font>
    <font>
      <sz val="8"/>
      <color indexed="10"/>
      <name val="Arial"/>
      <family val="2"/>
    </font>
    <font>
      <sz val="8"/>
      <name val="MS Sans Serif"/>
      <family val="2"/>
    </font>
    <font>
      <sz val="11"/>
      <name val="Helvetica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8"/>
      <name val="MS Sans Serif"/>
      <family val="2"/>
    </font>
    <font>
      <sz val="7"/>
      <name val="Times New Roman"/>
      <family val="1"/>
    </font>
    <font>
      <b/>
      <sz val="10"/>
      <name val="MS Sans Serif"/>
      <family val="2"/>
    </font>
    <font>
      <sz val="8"/>
      <name val="Trebuchet MS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sz val="9"/>
      <name val="Arial"/>
      <family val="2"/>
    </font>
    <font>
      <sz val="9"/>
      <name val="Times New Roman"/>
      <family val="1"/>
    </font>
    <font>
      <b/>
      <sz val="10"/>
      <color rgb="FFFA7D00"/>
      <name val="Calibri"/>
      <family val="2"/>
      <scheme val="minor"/>
    </font>
    <font>
      <b/>
      <sz val="11"/>
      <color indexed="53"/>
      <name val="Calibri"/>
      <family val="2"/>
    </font>
    <font>
      <b/>
      <sz val="11"/>
      <color rgb="FFFA7D00"/>
      <name val="Calibri"/>
      <family val="2"/>
      <scheme val="minor"/>
    </font>
    <font>
      <sz val="8"/>
      <name val="Arial"/>
      <family val="2"/>
      <charset val="238"/>
    </font>
    <font>
      <b/>
      <sz val="10"/>
      <name val="Univers CE"/>
      <family val="2"/>
      <charset val="238"/>
    </font>
    <font>
      <b/>
      <sz val="10"/>
      <name val="Helv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0"/>
      <color indexed="12"/>
      <name val="Arial"/>
      <family val="2"/>
    </font>
    <font>
      <b/>
      <sz val="12"/>
      <name val="Times New Roman CE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name val="Arial"/>
      <family val="2"/>
    </font>
    <font>
      <b/>
      <sz val="10"/>
      <name val="Arial"/>
      <family val="2"/>
    </font>
    <font>
      <sz val="10"/>
      <color indexed="11"/>
      <name val="Times New Roman"/>
      <family val="1"/>
    </font>
    <font>
      <sz val="8"/>
      <name val="Helvetica"/>
      <family val="2"/>
    </font>
    <font>
      <sz val="10"/>
      <color indexed="10"/>
      <name val="Times New Roman"/>
      <family val="1"/>
    </font>
    <font>
      <b/>
      <u/>
      <sz val="10"/>
      <name val="Arial"/>
      <family val="2"/>
    </font>
    <font>
      <b/>
      <sz val="10"/>
      <name val="Times New Roman"/>
      <family val="1"/>
    </font>
    <font>
      <sz val="10"/>
      <name val="Century Schoolbook"/>
      <family val="1"/>
    </font>
    <font>
      <sz val="10"/>
      <name val="Univers (E1)"/>
    </font>
    <font>
      <sz val="11"/>
      <color indexed="8"/>
      <name val="Verdana"/>
      <family val="2"/>
    </font>
    <font>
      <sz val="10"/>
      <name val="Tahoma"/>
      <family val="2"/>
    </font>
    <font>
      <sz val="12"/>
      <color theme="1"/>
      <name val="Verdana"/>
      <family val="2"/>
    </font>
    <font>
      <sz val="10"/>
      <color indexed="0"/>
      <name val="MS Sans Serif"/>
      <family val="2"/>
    </font>
    <font>
      <sz val="10"/>
      <name val="BERNHARD"/>
    </font>
    <font>
      <sz val="10"/>
      <name val="Helv"/>
      <charset val="178"/>
    </font>
    <font>
      <b/>
      <i/>
      <u/>
      <sz val="10"/>
      <color indexed="62"/>
      <name val="Arial"/>
      <family val="2"/>
    </font>
    <font>
      <b/>
      <sz val="11"/>
      <color indexed="12"/>
      <name val="Arial"/>
      <family val="2"/>
    </font>
    <font>
      <sz val="10"/>
      <name val="MS Serif"/>
      <family val="1"/>
    </font>
    <font>
      <b/>
      <sz val="12"/>
      <name val="Helv"/>
    </font>
    <font>
      <sz val="10"/>
      <name val="Univers (W1)"/>
    </font>
    <font>
      <sz val="10"/>
      <name val="Book Antiqua"/>
      <family val="1"/>
    </font>
    <font>
      <sz val="8"/>
      <color indexed="8"/>
      <name val="Verdana"/>
      <family val="2"/>
    </font>
    <font>
      <sz val="8"/>
      <color theme="1"/>
      <name val="Verdana"/>
      <family val="2"/>
    </font>
    <font>
      <sz val="8"/>
      <color indexed="8"/>
      <name val="Arial"/>
      <family val="2"/>
    </font>
    <font>
      <sz val="1"/>
      <color indexed="8"/>
      <name val="Courier"/>
      <family val="3"/>
    </font>
    <font>
      <sz val="9"/>
      <name val="Helv"/>
    </font>
    <font>
      <sz val="8"/>
      <color indexed="17"/>
      <name val="Arial"/>
      <family val="2"/>
    </font>
    <font>
      <vertAlign val="superscript"/>
      <sz val="12"/>
      <name val="Helv"/>
    </font>
    <font>
      <sz val="8"/>
      <name val="Palatino"/>
      <family val="1"/>
    </font>
    <font>
      <sz val="10"/>
      <color indexed="8"/>
      <name val="Arial"/>
      <family val="2"/>
    </font>
    <font>
      <sz val="12"/>
      <name val="Arial MT"/>
    </font>
    <font>
      <sz val="8"/>
      <name val="CG Times (E1)"/>
    </font>
    <font>
      <sz val="12"/>
      <name val="Helvetica"/>
      <family val="2"/>
    </font>
    <font>
      <sz val="10"/>
      <name val="Helvetica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0"/>
      <color rgb="FF7F7F7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ms serif"/>
      <family val="1"/>
    </font>
    <font>
      <b/>
      <sz val="8"/>
      <color indexed="8"/>
      <name val="Arial"/>
      <family val="2"/>
    </font>
    <font>
      <b/>
      <sz val="10.5"/>
      <name val="Arial"/>
      <family val="2"/>
    </font>
    <font>
      <sz val="10"/>
      <color indexed="12"/>
      <name val="Verdana"/>
      <family val="2"/>
    </font>
    <font>
      <sz val="10"/>
      <color indexed="8"/>
      <name val="Verdana"/>
      <family val="2"/>
    </font>
    <font>
      <sz val="10"/>
      <color indexed="22"/>
      <name val="Arial"/>
      <family val="2"/>
    </font>
    <font>
      <sz val="8"/>
      <color indexed="18"/>
      <name val="Times New Roman"/>
      <family val="1"/>
    </font>
    <font>
      <sz val="12"/>
      <color indexed="12"/>
      <name val="Arial MT"/>
    </font>
    <font>
      <sz val="10"/>
      <color indexed="8"/>
      <name val="Geneva"/>
      <family val="2"/>
    </font>
    <font>
      <sz val="10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indexed="9"/>
      <name val="Tms Rmn"/>
    </font>
    <font>
      <b/>
      <sz val="15"/>
      <color theme="3"/>
      <name val="Calibri"/>
      <family val="2"/>
      <scheme val="minor"/>
    </font>
    <font>
      <b/>
      <sz val="15"/>
      <color indexed="56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indexed="56"/>
      <name val="Calibri"/>
      <family val="2"/>
    </font>
    <font>
      <b/>
      <sz val="11"/>
      <color theme="3"/>
      <name val="Calibri"/>
      <family val="2"/>
      <scheme val="minor"/>
    </font>
    <font>
      <b/>
      <sz val="12"/>
      <color indexed="12"/>
      <name val="Arial"/>
      <family val="2"/>
    </font>
    <font>
      <b/>
      <sz val="1"/>
      <color indexed="16"/>
      <name val="Courier"/>
      <family val="3"/>
    </font>
    <font>
      <sz val="11"/>
      <color indexed="17"/>
      <name val="Arial"/>
      <family val="2"/>
    </font>
    <font>
      <b/>
      <sz val="9"/>
      <name val="Helv"/>
    </font>
    <font>
      <sz val="8.5"/>
      <name val="Helv"/>
    </font>
    <font>
      <sz val="10"/>
      <color indexed="9"/>
      <name val="Univers (WN)"/>
    </font>
    <font>
      <u/>
      <sz val="9"/>
      <color indexed="36"/>
      <name val="Arial"/>
      <family val="2"/>
    </font>
    <font>
      <u/>
      <sz val="9"/>
      <color indexed="12"/>
      <name val="Times New Roman"/>
      <family val="1"/>
    </font>
    <font>
      <u/>
      <sz val="10"/>
      <color indexed="12"/>
      <name val="Arial"/>
      <family val="2"/>
    </font>
    <font>
      <sz val="8"/>
      <name val="Helv"/>
    </font>
    <font>
      <shadow/>
      <sz val="8"/>
      <color indexed="12"/>
      <name val="Times New Roman"/>
      <family val="1"/>
    </font>
    <font>
      <sz val="11"/>
      <color rgb="FF3F3F76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indexed="18"/>
      <name val="Univers (W1)"/>
    </font>
    <font>
      <sz val="11"/>
      <color indexed="48"/>
      <name val="Calibri"/>
      <family val="2"/>
    </font>
    <font>
      <sz val="12"/>
      <color indexed="8"/>
      <name val="Arial MT"/>
      <family val="2"/>
    </font>
    <font>
      <sz val="9"/>
      <color indexed="12"/>
      <name val="Arial"/>
      <family val="2"/>
    </font>
    <font>
      <b/>
      <sz val="8"/>
      <name val="Times New Roman"/>
      <family val="1"/>
    </font>
    <font>
      <i/>
      <sz val="16"/>
      <name val="Times New Roman"/>
      <family val="1"/>
    </font>
    <font>
      <sz val="10"/>
      <color rgb="FFFA7D00"/>
      <name val="Calibri"/>
      <family val="2"/>
      <scheme val="minor"/>
    </font>
    <font>
      <sz val="11"/>
      <color indexed="53"/>
      <name val="Calibri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</font>
    <font>
      <b/>
      <sz val="10"/>
      <name val="Book Antiqua"/>
      <family val="1"/>
    </font>
    <font>
      <b/>
      <sz val="10"/>
      <color indexed="10"/>
      <name val="Tms Rmn"/>
    </font>
    <font>
      <sz val="11"/>
      <color indexed="60"/>
      <name val="Calibri"/>
      <family val="2"/>
    </font>
    <font>
      <sz val="7"/>
      <name val="Small Fonts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6"/>
      <name val="Helv"/>
    </font>
    <font>
      <sz val="6"/>
      <color indexed="10"/>
      <name val="Helv"/>
    </font>
    <font>
      <sz val="10"/>
      <name val="HelvEEW31"/>
      <charset val="238"/>
    </font>
    <font>
      <sz val="12"/>
      <color indexed="8"/>
      <name val="Tms Rmn"/>
    </font>
    <font>
      <i/>
      <sz val="9"/>
      <name val="Arial"/>
      <family val="2"/>
    </font>
    <font>
      <b/>
      <sz val="12"/>
      <color indexed="8"/>
      <name val="Arial"/>
      <family val="2"/>
    </font>
    <font>
      <sz val="8"/>
      <color indexed="9"/>
      <name val="Times New Roman"/>
      <family val="1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2"/>
      <name val="Univers (W1)"/>
    </font>
    <font>
      <b/>
      <sz val="18"/>
      <name val="Arial"/>
      <family val="2"/>
    </font>
    <font>
      <sz val="8"/>
      <color indexed="24"/>
      <name val="Arial"/>
      <family val="2"/>
    </font>
    <font>
      <b/>
      <sz val="8"/>
      <name val="Helv"/>
    </font>
    <font>
      <sz val="10"/>
      <name val="univers"/>
    </font>
    <font>
      <sz val="12"/>
      <name val="Helv"/>
      <family val="2"/>
    </font>
    <font>
      <b/>
      <sz val="10"/>
      <color indexed="8"/>
      <name val="Arial Narrow"/>
      <family val="2"/>
    </font>
    <font>
      <b/>
      <sz val="14"/>
      <name val="Times New Roman"/>
      <family val="1"/>
    </font>
    <font>
      <sz val="8.5"/>
      <name val="MS Sans Serif"/>
      <family val="2"/>
    </font>
    <font>
      <sz val="8"/>
      <name val="Wingdings"/>
      <charset val="2"/>
    </font>
    <font>
      <b/>
      <sz val="16"/>
      <name val="Times New Roman"/>
      <family val="1"/>
    </font>
    <font>
      <sz val="14"/>
      <name val="Arial"/>
      <family val="2"/>
    </font>
    <font>
      <sz val="18"/>
      <name val="Arial"/>
      <family val="2"/>
    </font>
    <font>
      <b/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39"/>
      <name val="Arial"/>
      <family val="2"/>
    </font>
    <font>
      <b/>
      <sz val="11"/>
      <color indexed="9"/>
      <name val="Arial"/>
      <family val="2"/>
    </font>
    <font>
      <b/>
      <i/>
      <sz val="11"/>
      <color indexed="9"/>
      <name val="Arial"/>
      <family val="2"/>
    </font>
    <font>
      <b/>
      <i/>
      <sz val="22"/>
      <color indexed="15"/>
      <name val="Arial"/>
      <family val="2"/>
    </font>
    <font>
      <sz val="12"/>
      <color indexed="9"/>
      <name val="Arial"/>
      <family val="2"/>
    </font>
    <font>
      <i/>
      <sz val="12"/>
      <color indexed="9"/>
      <name val="Arial"/>
      <family val="2"/>
    </font>
    <font>
      <i/>
      <sz val="11"/>
      <color indexed="9"/>
      <name val="Arial"/>
      <family val="2"/>
    </font>
    <font>
      <b/>
      <i/>
      <sz val="12"/>
      <color indexed="8"/>
      <name val="Arial"/>
      <family val="2"/>
    </font>
    <font>
      <b/>
      <sz val="16"/>
      <color indexed="23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6"/>
      <name val="Arial"/>
      <family val="2"/>
    </font>
    <font>
      <sz val="10"/>
      <name val="Arial Narrow"/>
      <family val="2"/>
    </font>
    <font>
      <b/>
      <sz val="8.25"/>
      <name val="Helv"/>
      <family val="2"/>
    </font>
    <font>
      <b/>
      <sz val="18"/>
      <color indexed="62"/>
      <name val="Cambria"/>
      <family val="2"/>
    </font>
    <font>
      <sz val="9"/>
      <color indexed="8"/>
      <name val="Times New Roman"/>
      <family val="1"/>
    </font>
    <font>
      <b/>
      <u/>
      <sz val="14"/>
      <name val="TimesNewRomanPS"/>
    </font>
    <font>
      <sz val="12"/>
      <name val="TimesNewRomanPS"/>
    </font>
    <font>
      <b/>
      <sz val="12"/>
      <name val="TimesNewRomanPS"/>
    </font>
    <font>
      <sz val="8"/>
      <color indexed="9"/>
      <name val="Times New Roman CE"/>
      <family val="1"/>
      <charset val="238"/>
    </font>
    <font>
      <sz val="12"/>
      <name val="swiss"/>
    </font>
    <font>
      <sz val="11"/>
      <name val="돋움"/>
      <family val="2"/>
    </font>
    <font>
      <i/>
      <sz val="12"/>
      <color indexed="12"/>
      <name val="Times New Roman"/>
      <family val="1"/>
    </font>
    <font>
      <b/>
      <sz val="8"/>
      <color indexed="8"/>
      <name val="Helv"/>
    </font>
    <font>
      <b/>
      <sz val="12"/>
      <name val="Univers (WN)"/>
    </font>
    <font>
      <b/>
      <u val="doubleAccounting"/>
      <sz val="12"/>
      <color indexed="56"/>
      <name val="Helvetica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8"/>
      <name val="Tms Rmn"/>
    </font>
    <font>
      <sz val="7"/>
      <name val="Arial"/>
      <family val="2"/>
    </font>
    <font>
      <b/>
      <i/>
      <sz val="12"/>
      <name val="Times New Roman"/>
      <family val="1"/>
    </font>
    <font>
      <i/>
      <sz val="14"/>
      <name val="Times New Roman"/>
      <family val="1"/>
    </font>
    <font>
      <i/>
      <sz val="12"/>
      <name val="Times New Roman"/>
      <family val="1"/>
    </font>
    <font>
      <b/>
      <sz val="7"/>
      <name val="Helv"/>
    </font>
    <font>
      <sz val="12"/>
      <name val="宋体"/>
      <charset val="134"/>
    </font>
    <font>
      <sz val="8"/>
      <color indexed="39"/>
      <name val="Arial"/>
      <family val="2"/>
    </font>
    <font>
      <sz val="11"/>
      <color rgb="FFFF0000"/>
      <name val="Verdana"/>
      <family val="2"/>
    </font>
  </fonts>
  <fills count="1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62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10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57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gray125">
        <bgColor indexed="31"/>
      </patternFill>
    </fill>
    <fill>
      <patternFill patternType="mediumGray">
        <fgColor indexed="22"/>
      </patternFill>
    </fill>
    <fill>
      <patternFill patternType="solid">
        <fgColor indexed="5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64"/>
      </patternFill>
    </fill>
    <fill>
      <patternFill patternType="lightGray">
        <fgColor indexed="11"/>
      </patternFill>
    </fill>
    <fill>
      <patternFill patternType="solid">
        <fgColor indexed="42"/>
        <bgColor indexed="42"/>
      </patternFill>
    </fill>
    <fill>
      <patternFill patternType="solid">
        <fgColor indexed="38"/>
        <bgColor indexed="64"/>
      </patternFill>
    </fill>
    <fill>
      <patternFill patternType="solid"/>
    </fill>
    <fill>
      <patternFill patternType="solid">
        <fgColor indexed="65"/>
        <bgColor indexed="64"/>
      </patternFill>
    </fill>
    <fill>
      <patternFill patternType="lightGray"/>
    </fill>
    <fill>
      <patternFill patternType="gray0625"/>
    </fill>
    <fill>
      <patternFill patternType="solid">
        <fgColor indexed="22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42"/>
      </patternFill>
    </fill>
    <fill>
      <patternFill patternType="solid">
        <fgColor indexed="22"/>
        <bgColor indexed="24"/>
      </patternFill>
    </fill>
    <fill>
      <patternFill patternType="solid">
        <fgColor indexed="41"/>
        <bgColor indexed="64"/>
      </patternFill>
    </fill>
    <fill>
      <patternFill patternType="solid">
        <fgColor indexed="12"/>
      </patternFill>
    </fill>
    <fill>
      <patternFill patternType="solid">
        <fgColor indexed="29"/>
        <bgColor indexed="40"/>
      </patternFill>
    </fill>
    <fill>
      <patternFill patternType="solid">
        <fgColor indexed="49"/>
        <bgColor indexed="64"/>
      </patternFill>
    </fill>
    <fill>
      <patternFill patternType="solid">
        <fgColor indexed="21"/>
        <bgColor indexed="64"/>
      </patternFill>
    </fill>
    <fill>
      <patternFill patternType="darkVertical"/>
    </fill>
    <fill>
      <patternFill patternType="solid">
        <fgColor indexed="37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0"/>
      </patternFill>
    </fill>
    <fill>
      <patternFill patternType="lightUp">
        <fgColor indexed="22"/>
        <bgColor indexed="35"/>
      </patternFill>
    </fill>
    <fill>
      <patternFill patternType="lightUp">
        <fgColor indexed="48"/>
        <bgColor indexed="41"/>
      </patternFill>
    </fill>
    <fill>
      <patternFill patternType="solid">
        <fgColor indexed="35"/>
        <bgColor indexed="64"/>
      </patternFill>
    </fill>
    <fill>
      <patternFill patternType="solid">
        <fgColor indexed="41"/>
      </patternFill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</patternFill>
    </fill>
    <fill>
      <patternFill patternType="solid">
        <fgColor indexed="20"/>
      </patternFill>
    </fill>
    <fill>
      <patternFill patternType="gray0625">
        <fgColor indexed="15"/>
      </patternFill>
    </fill>
    <fill>
      <patternFill patternType="darkGray">
        <fgColor indexed="15"/>
      </patternFill>
    </fill>
    <fill>
      <patternFill patternType="solid">
        <fgColor indexed="8"/>
        <bgColor indexed="64"/>
      </patternFill>
    </fill>
    <fill>
      <patternFill patternType="gray0625">
        <fgColor indexed="22"/>
        <bgColor indexed="22"/>
      </patternFill>
    </fill>
    <fill>
      <patternFill patternType="solid">
        <fgColor indexed="22"/>
        <bgColor indexed="55"/>
      </patternFill>
    </fill>
    <fill>
      <patternFill patternType="darkGray"/>
    </fill>
  </fills>
  <borders count="10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1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tted">
        <color indexed="23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double">
        <color indexed="8"/>
      </bottom>
      <diagonal/>
    </border>
    <border>
      <left/>
      <right/>
      <top/>
      <bottom style="thin">
        <color indexed="2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3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ck">
        <color indexed="9"/>
      </top>
      <bottom style="medium">
        <color indexed="22"/>
      </bottom>
      <diagonal/>
    </border>
    <border>
      <left/>
      <right/>
      <top style="medium">
        <color indexed="41"/>
      </top>
      <bottom style="medium">
        <color indexed="48"/>
      </bottom>
      <diagonal/>
    </border>
    <border>
      <left/>
      <right/>
      <top style="medium">
        <color indexed="22"/>
      </top>
      <bottom/>
      <diagonal/>
    </border>
    <border>
      <left/>
      <right/>
      <top style="thick">
        <color indexed="9"/>
      </top>
      <bottom style="medium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 style="medium">
        <color indexed="22"/>
      </top>
      <bottom style="medium">
        <color indexed="22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9430">
    <xf numFmtId="0" fontId="0" fillId="0" borderId="0"/>
    <xf numFmtId="0" fontId="4" fillId="0" borderId="0"/>
    <xf numFmtId="177" fontId="4" fillId="0" borderId="0"/>
    <xf numFmtId="170" fontId="4" fillId="0" borderId="0" applyFont="0" applyFill="0" applyBorder="0" applyAlignment="0" applyProtection="0"/>
    <xf numFmtId="172" fontId="9" fillId="0" borderId="0" applyFont="0" applyFill="0" applyBorder="0" applyAlignment="0" applyProtection="0"/>
    <xf numFmtId="0" fontId="10" fillId="0" borderId="0"/>
    <xf numFmtId="0" fontId="10" fillId="0" borderId="0"/>
    <xf numFmtId="181" fontId="10" fillId="0" borderId="0"/>
    <xf numFmtId="177" fontId="10" fillId="0" borderId="0"/>
    <xf numFmtId="0" fontId="10" fillId="0" borderId="0"/>
    <xf numFmtId="0" fontId="11" fillId="0" borderId="0"/>
    <xf numFmtId="0" fontId="11" fillId="0" borderId="0"/>
    <xf numFmtId="182" fontId="11" fillId="0" borderId="0"/>
    <xf numFmtId="0" fontId="10" fillId="0" borderId="0"/>
    <xf numFmtId="182" fontId="11" fillId="0" borderId="0"/>
    <xf numFmtId="181" fontId="10" fillId="0" borderId="0"/>
    <xf numFmtId="0" fontId="12" fillId="0" borderId="0"/>
    <xf numFmtId="0" fontId="10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14" fillId="0" borderId="0"/>
    <xf numFmtId="183" fontId="14" fillId="0" borderId="0"/>
    <xf numFmtId="185" fontId="10" fillId="0" borderId="0"/>
    <xf numFmtId="185" fontId="10" fillId="0" borderId="0"/>
    <xf numFmtId="186" fontId="15" fillId="0" borderId="0" applyFont="0" applyFill="0" applyBorder="0" applyAlignment="0" applyProtection="0"/>
    <xf numFmtId="187" fontId="10" fillId="0" borderId="0" applyFont="0" applyFill="0" applyBorder="0" applyAlignment="0" applyProtection="0">
      <protection locked="0"/>
    </xf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1" fillId="0" borderId="0"/>
    <xf numFmtId="0" fontId="11" fillId="0" borderId="0"/>
    <xf numFmtId="177" fontId="11" fillId="0" borderId="0"/>
    <xf numFmtId="0" fontId="11" fillId="0" borderId="0"/>
    <xf numFmtId="177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7" fillId="0" borderId="0"/>
    <xf numFmtId="184" fontId="18" fillId="0" borderId="0"/>
    <xf numFmtId="0" fontId="11" fillId="0" borderId="0"/>
    <xf numFmtId="184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77" fontId="11" fillId="0" borderId="0"/>
    <xf numFmtId="0" fontId="11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8" fontId="15" fillId="0" borderId="0" applyFont="0" applyFill="0" applyBorder="0" applyAlignment="0" applyProtection="0"/>
    <xf numFmtId="10" fontId="15" fillId="0" borderId="0" applyFont="0" applyFill="0" applyBorder="0" applyAlignment="0" applyProtection="0"/>
    <xf numFmtId="10" fontId="11" fillId="0" borderId="0">
      <alignment horizontal="right"/>
    </xf>
    <xf numFmtId="37" fontId="19" fillId="0" borderId="0"/>
    <xf numFmtId="189" fontId="11" fillId="0" borderId="0" applyFont="0" applyFill="0" applyBorder="0" applyAlignment="0" applyProtection="0"/>
    <xf numFmtId="190" fontId="11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1" fillId="0" borderId="0">
      <alignment vertical="center"/>
    </xf>
    <xf numFmtId="169" fontId="20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170" fontId="20" fillId="0" borderId="0" applyFont="0" applyFill="0" applyBorder="0" applyAlignment="0" applyProtection="0"/>
    <xf numFmtId="0" fontId="11" fillId="0" borderId="0"/>
    <xf numFmtId="191" fontId="22" fillId="0" borderId="0"/>
    <xf numFmtId="168" fontId="20" fillId="0" borderId="0" applyFont="0" applyFill="0" applyBorder="0" applyAlignment="0" applyProtection="0"/>
    <xf numFmtId="168" fontId="11" fillId="0" borderId="0" applyFont="0" applyFill="0" applyBorder="0" applyAlignment="0" applyProtection="0"/>
    <xf numFmtId="174" fontId="23" fillId="0" borderId="0" applyFont="0" applyFill="0" applyBorder="0" applyAlignment="0" applyProtection="0"/>
    <xf numFmtId="192" fontId="24" fillId="0" borderId="0" applyFont="0" applyFill="0" applyBorder="0" applyAlignment="0" applyProtection="0"/>
    <xf numFmtId="0" fontId="23" fillId="0" borderId="0"/>
    <xf numFmtId="0" fontId="11" fillId="0" borderId="0"/>
    <xf numFmtId="174" fontId="25" fillId="0" borderId="0" applyFont="0" applyFill="0" applyBorder="0" applyAlignment="0" applyProtection="0"/>
    <xf numFmtId="38" fontId="25" fillId="0" borderId="0" applyFont="0" applyFill="0" applyBorder="0" applyAlignment="0" applyProtection="0"/>
    <xf numFmtId="40" fontId="25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0" fontId="11" fillId="0" borderId="0"/>
    <xf numFmtId="184" fontId="11" fillId="0" borderId="0"/>
    <xf numFmtId="37" fontId="21" fillId="0" borderId="0"/>
    <xf numFmtId="183" fontId="11" fillId="0" borderId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7" fillId="0" borderId="0"/>
    <xf numFmtId="0" fontId="13" fillId="0" borderId="0"/>
    <xf numFmtId="183" fontId="13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0" fillId="0" borderId="0"/>
    <xf numFmtId="183" fontId="10" fillId="0" borderId="0"/>
    <xf numFmtId="0" fontId="10" fillId="0" borderId="0"/>
    <xf numFmtId="183" fontId="10" fillId="0" borderId="0"/>
    <xf numFmtId="0" fontId="13" fillId="0" borderId="0"/>
    <xf numFmtId="184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17" fillId="0" borderId="0"/>
    <xf numFmtId="0" fontId="17" fillId="0" borderId="0"/>
    <xf numFmtId="0" fontId="11" fillId="0" borderId="0"/>
    <xf numFmtId="0" fontId="14" fillId="0" borderId="0"/>
    <xf numFmtId="0" fontId="13" fillId="0" borderId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4" fontId="13" fillId="0" borderId="0"/>
    <xf numFmtId="0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13" fillId="0" borderId="0"/>
    <xf numFmtId="184" fontId="13" fillId="0" borderId="0"/>
    <xf numFmtId="0" fontId="13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28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0" fontId="13" fillId="0" borderId="0"/>
    <xf numFmtId="0" fontId="11" fillId="0" borderId="0"/>
    <xf numFmtId="184" fontId="13" fillId="0" borderId="0"/>
    <xf numFmtId="184" fontId="1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/>
    <xf numFmtId="0" fontId="11" fillId="0" borderId="0"/>
    <xf numFmtId="184" fontId="13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0" fontId="10" fillId="0" borderId="0"/>
    <xf numFmtId="183" fontId="11" fillId="0" borderId="0"/>
    <xf numFmtId="184" fontId="13" fillId="0" borderId="0"/>
    <xf numFmtId="0" fontId="11" fillId="0" borderId="0"/>
    <xf numFmtId="0" fontId="11" fillId="0" borderId="0" applyFont="0" applyFill="0" applyBorder="0" applyAlignment="0" applyProtection="0"/>
    <xf numFmtId="183" fontId="13" fillId="0" borderId="0">
      <alignment horizontal="justify" vertical="center"/>
    </xf>
    <xf numFmtId="0" fontId="13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11" fillId="0" borderId="0" applyNumberFormat="0" applyFill="0" applyBorder="0" applyAlignment="0" applyProtection="0"/>
    <xf numFmtId="0" fontId="11" fillId="0" borderId="0"/>
    <xf numFmtId="184" fontId="13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37" fontId="29" fillId="0" borderId="0"/>
    <xf numFmtId="37" fontId="29" fillId="0" borderId="0"/>
    <xf numFmtId="37" fontId="29" fillId="0" borderId="0"/>
    <xf numFmtId="0" fontId="18" fillId="0" borderId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27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183" fontId="27" fillId="0" borderId="0"/>
    <xf numFmtId="0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13" fillId="0" borderId="0"/>
    <xf numFmtId="0" fontId="13" fillId="0" borderId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/>
    <xf numFmtId="0" fontId="10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7" fillId="0" borderId="0"/>
    <xf numFmtId="0" fontId="30" fillId="0" borderId="0"/>
    <xf numFmtId="0" fontId="27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37" fontId="21" fillId="0" borderId="0"/>
    <xf numFmtId="0" fontId="11" fillId="0" borderId="0"/>
    <xf numFmtId="0" fontId="11" fillId="0" borderId="0"/>
    <xf numFmtId="0" fontId="27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3" fillId="0" borderId="0"/>
    <xf numFmtId="183" fontId="13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27" fillId="0" borderId="0"/>
    <xf numFmtId="0" fontId="11" fillId="0" borderId="0"/>
    <xf numFmtId="0" fontId="17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28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1" fillId="0" borderId="0"/>
    <xf numFmtId="0" fontId="31" fillId="0" borderId="0"/>
    <xf numFmtId="0" fontId="31" fillId="0" borderId="0"/>
    <xf numFmtId="0" fontId="18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3" fillId="0" borderId="0"/>
    <xf numFmtId="0" fontId="13" fillId="0" borderId="0"/>
    <xf numFmtId="0" fontId="31" fillId="0" borderId="0"/>
    <xf numFmtId="0" fontId="21" fillId="0" borderId="0">
      <alignment vertical="center"/>
    </xf>
    <xf numFmtId="0" fontId="31" fillId="0" borderId="0"/>
    <xf numFmtId="0" fontId="31" fillId="0" borderId="0"/>
    <xf numFmtId="0" fontId="10" fillId="0" borderId="0"/>
    <xf numFmtId="0" fontId="17" fillId="0" borderId="0"/>
    <xf numFmtId="0" fontId="18" fillId="0" borderId="0"/>
    <xf numFmtId="0" fontId="31" fillId="0" borderId="0"/>
    <xf numFmtId="0" fontId="3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 applyNumberFormat="0" applyFill="0" applyBorder="0" applyAlignment="0" applyProtection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1" fillId="0" borderId="0"/>
    <xf numFmtId="0" fontId="31" fillId="0" borderId="0"/>
    <xf numFmtId="0" fontId="21" fillId="0" borderId="0">
      <alignment vertical="center"/>
    </xf>
    <xf numFmtId="0" fontId="11" fillId="0" borderId="0" applyNumberFormat="0" applyFill="0" applyBorder="0" applyAlignment="0" applyProtection="0"/>
    <xf numFmtId="0" fontId="31" fillId="0" borderId="0"/>
    <xf numFmtId="0" fontId="31" fillId="0" borderId="0"/>
    <xf numFmtId="0" fontId="27" fillId="0" borderId="0"/>
    <xf numFmtId="0" fontId="27" fillId="0" borderId="0"/>
    <xf numFmtId="0" fontId="31" fillId="0" borderId="0"/>
    <xf numFmtId="0" fontId="3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 applyNumberFormat="0" applyFill="0" applyBorder="0" applyAlignment="0" applyProtection="0"/>
    <xf numFmtId="183" fontId="11" fillId="0" borderId="0"/>
    <xf numFmtId="183" fontId="11" fillId="0" borderId="0"/>
    <xf numFmtId="0" fontId="31" fillId="0" borderId="0"/>
    <xf numFmtId="184" fontId="13" fillId="0" borderId="0"/>
    <xf numFmtId="184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0" fillId="0" borderId="0"/>
    <xf numFmtId="37" fontId="21" fillId="0" borderId="0"/>
    <xf numFmtId="0" fontId="13" fillId="0" borderId="0"/>
    <xf numFmtId="0" fontId="13" fillId="0" borderId="0"/>
    <xf numFmtId="0" fontId="13" fillId="0" borderId="0"/>
    <xf numFmtId="0" fontId="31" fillId="0" borderId="0"/>
    <xf numFmtId="0" fontId="31" fillId="0" borderId="0"/>
    <xf numFmtId="0" fontId="11" fillId="0" borderId="0"/>
    <xf numFmtId="183" fontId="13" fillId="0" borderId="0">
      <alignment horizontal="justify" vertical="center"/>
    </xf>
    <xf numFmtId="183" fontId="27" fillId="0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183" fontId="11" fillId="33" borderId="0"/>
    <xf numFmtId="183" fontId="11" fillId="33" borderId="0"/>
    <xf numFmtId="183" fontId="11" fillId="33" borderId="0"/>
    <xf numFmtId="0" fontId="11" fillId="33" borderId="0"/>
    <xf numFmtId="0" fontId="11" fillId="33" borderId="0"/>
    <xf numFmtId="183" fontId="11" fillId="33" borderId="0"/>
    <xf numFmtId="183" fontId="11" fillId="33" borderId="0"/>
    <xf numFmtId="183" fontId="11" fillId="33" borderId="0"/>
    <xf numFmtId="0" fontId="11" fillId="33" borderId="0"/>
    <xf numFmtId="183" fontId="11" fillId="33" borderId="0"/>
    <xf numFmtId="183" fontId="11" fillId="33" borderId="0"/>
    <xf numFmtId="183" fontId="11" fillId="33" borderId="0"/>
    <xf numFmtId="183" fontId="11" fillId="33" borderId="0"/>
    <xf numFmtId="183" fontId="11" fillId="33" borderId="0"/>
    <xf numFmtId="0" fontId="32" fillId="34" borderId="0"/>
    <xf numFmtId="0" fontId="32" fillId="34" borderId="0"/>
    <xf numFmtId="183" fontId="32" fillId="34" borderId="0"/>
    <xf numFmtId="0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0" borderId="0"/>
    <xf numFmtId="0" fontId="33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3" fillId="0" borderId="0"/>
    <xf numFmtId="183" fontId="33" fillId="0" borderId="0"/>
    <xf numFmtId="0" fontId="33" fillId="0" borderId="0"/>
    <xf numFmtId="183" fontId="33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3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3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33" fillId="0" borderId="0"/>
    <xf numFmtId="183" fontId="33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33" fillId="0" borderId="0"/>
    <xf numFmtId="183" fontId="3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3" fillId="0" borderId="0"/>
    <xf numFmtId="0" fontId="11" fillId="0" borderId="0"/>
    <xf numFmtId="0" fontId="34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4" fillId="0" borderId="0"/>
    <xf numFmtId="183" fontId="34" fillId="0" borderId="0"/>
    <xf numFmtId="0" fontId="34" fillId="0" borderId="0"/>
    <xf numFmtId="183" fontId="34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4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4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34" fillId="0" borderId="0"/>
    <xf numFmtId="183" fontId="34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34" fillId="0" borderId="0"/>
    <xf numFmtId="183" fontId="34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4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7" fillId="0" borderId="0"/>
    <xf numFmtId="0" fontId="13" fillId="0" borderId="0"/>
    <xf numFmtId="0" fontId="13" fillId="0" borderId="0"/>
    <xf numFmtId="0" fontId="13" fillId="0" borderId="0"/>
    <xf numFmtId="0" fontId="28" fillId="0" borderId="0"/>
    <xf numFmtId="0" fontId="13" fillId="0" borderId="0"/>
    <xf numFmtId="0" fontId="28" fillId="0" borderId="0"/>
    <xf numFmtId="0" fontId="13" fillId="0" borderId="0"/>
    <xf numFmtId="0" fontId="17" fillId="0" borderId="0"/>
    <xf numFmtId="0" fontId="30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0" borderId="0"/>
    <xf numFmtId="183" fontId="13" fillId="0" borderId="0">
      <alignment horizontal="justify" vertical="center"/>
    </xf>
    <xf numFmtId="183" fontId="13" fillId="0" borderId="0">
      <alignment horizontal="justify" vertical="center"/>
    </xf>
    <xf numFmtId="0" fontId="13" fillId="0" borderId="0"/>
    <xf numFmtId="184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8" fillId="0" borderId="0"/>
    <xf numFmtId="184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4" fontId="13" fillId="0" borderId="0"/>
    <xf numFmtId="0" fontId="11" fillId="0" borderId="0"/>
    <xf numFmtId="0" fontId="11" fillId="0" borderId="0"/>
    <xf numFmtId="184" fontId="35" fillId="0" borderId="0"/>
    <xf numFmtId="0" fontId="11" fillId="0" borderId="0"/>
    <xf numFmtId="0" fontId="11" fillId="0" borderId="0" applyFont="0" applyFill="0" applyBorder="0" applyAlignment="0" applyProtection="0"/>
    <xf numFmtId="184" fontId="11" fillId="0" borderId="0"/>
    <xf numFmtId="0" fontId="13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31" fillId="0" borderId="0"/>
    <xf numFmtId="0" fontId="13" fillId="0" borderId="0"/>
    <xf numFmtId="0" fontId="31" fillId="0" borderId="0"/>
    <xf numFmtId="4" fontId="11" fillId="37" borderId="0"/>
    <xf numFmtId="4" fontId="11" fillId="37" borderId="0"/>
    <xf numFmtId="0" fontId="28" fillId="0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0" fontId="10" fillId="0" borderId="0"/>
    <xf numFmtId="184" fontId="13" fillId="0" borderId="0"/>
    <xf numFmtId="184" fontId="13" fillId="0" borderId="0"/>
    <xf numFmtId="0" fontId="21" fillId="0" borderId="0">
      <alignment vertical="center"/>
    </xf>
    <xf numFmtId="0" fontId="31" fillId="0" borderId="0"/>
    <xf numFmtId="0" fontId="31" fillId="0" borderId="0"/>
    <xf numFmtId="0" fontId="31" fillId="0" borderId="0"/>
    <xf numFmtId="0" fontId="31" fillId="0" borderId="0"/>
    <xf numFmtId="0" fontId="27" fillId="0" borderId="0"/>
    <xf numFmtId="183" fontId="27" fillId="0" borderId="0"/>
    <xf numFmtId="0" fontId="11" fillId="0" borderId="0"/>
    <xf numFmtId="0" fontId="11" fillId="0" borderId="0"/>
    <xf numFmtId="0" fontId="11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4" fontId="13" fillId="0" borderId="0"/>
    <xf numFmtId="0" fontId="13" fillId="0" borderId="0"/>
    <xf numFmtId="0" fontId="13" fillId="0" borderId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27" fillId="0" borderId="0"/>
    <xf numFmtId="183" fontId="11" fillId="0" borderId="0"/>
    <xf numFmtId="0" fontId="11" fillId="0" borderId="0"/>
    <xf numFmtId="0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8" fillId="0" borderId="0"/>
    <xf numFmtId="0" fontId="17" fillId="0" borderId="0"/>
    <xf numFmtId="0" fontId="17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2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31" fillId="0" borderId="0"/>
    <xf numFmtId="184" fontId="13" fillId="0" borderId="0"/>
    <xf numFmtId="184" fontId="11" fillId="0" borderId="0"/>
    <xf numFmtId="184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4" fontId="11" fillId="0" borderId="0"/>
    <xf numFmtId="0" fontId="11" fillId="0" borderId="0"/>
    <xf numFmtId="0" fontId="13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7" fillId="38" borderId="0"/>
    <xf numFmtId="0" fontId="37" fillId="38" borderId="0"/>
    <xf numFmtId="0" fontId="27" fillId="0" borderId="0"/>
    <xf numFmtId="0" fontId="28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84" fontId="11" fillId="0" borderId="0" applyNumberFormat="0" applyFill="0" applyBorder="0" applyAlignment="0" applyProtection="0"/>
    <xf numFmtId="37" fontId="21" fillId="0" borderId="0"/>
    <xf numFmtId="0" fontId="11" fillId="0" borderId="0" applyNumberFormat="0" applyFill="0" applyBorder="0" applyAlignment="0" applyProtection="0"/>
    <xf numFmtId="0" fontId="36" fillId="0" borderId="0"/>
    <xf numFmtId="0" fontId="13" fillId="0" borderId="0"/>
    <xf numFmtId="0" fontId="36" fillId="0" borderId="0"/>
    <xf numFmtId="0" fontId="10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17" fillId="0" borderId="0"/>
    <xf numFmtId="0" fontId="21" fillId="0" borderId="0">
      <alignment vertical="center"/>
    </xf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27" fillId="0" borderId="0"/>
    <xf numFmtId="0" fontId="2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28" fillId="0" borderId="0"/>
    <xf numFmtId="0" fontId="28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27" fillId="0" borderId="0"/>
    <xf numFmtId="0" fontId="27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37" fontId="2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/>
    <xf numFmtId="0" fontId="38" fillId="0" borderId="0"/>
    <xf numFmtId="0" fontId="18" fillId="0" borderId="0"/>
    <xf numFmtId="0" fontId="30" fillId="0" borderId="0"/>
    <xf numFmtId="0" fontId="17" fillId="0" borderId="0"/>
    <xf numFmtId="37" fontId="21" fillId="0" borderId="0"/>
    <xf numFmtId="37" fontId="21" fillId="0" borderId="0"/>
    <xf numFmtId="0" fontId="11" fillId="0" borderId="0"/>
    <xf numFmtId="0" fontId="11" fillId="0" borderId="0"/>
    <xf numFmtId="0" fontId="14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181" fontId="10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184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3" fillId="0" borderId="0"/>
    <xf numFmtId="0" fontId="27" fillId="0" borderId="0"/>
    <xf numFmtId="0" fontId="36" fillId="0" borderId="0"/>
    <xf numFmtId="0" fontId="13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28" fillId="0" borderId="0"/>
    <xf numFmtId="0" fontId="28" fillId="0" borderId="0"/>
    <xf numFmtId="0" fontId="17" fillId="0" borderId="0"/>
    <xf numFmtId="0" fontId="11" fillId="0" borderId="0"/>
    <xf numFmtId="0" fontId="11" fillId="0" borderId="0"/>
    <xf numFmtId="0" fontId="13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184" fontId="18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>
      <protection locked="0"/>
    </xf>
    <xf numFmtId="0" fontId="36" fillId="0" borderId="0"/>
    <xf numFmtId="0" fontId="11" fillId="0" borderId="0" applyNumberFormat="0" applyFill="0" applyBorder="0" applyAlignment="0">
      <protection locked="0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1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0" fontId="27" fillId="0" borderId="0"/>
    <xf numFmtId="0" fontId="36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21" fillId="0" borderId="0">
      <alignment vertical="center"/>
    </xf>
    <xf numFmtId="0" fontId="21" fillId="0" borderId="0">
      <alignment vertical="center"/>
    </xf>
    <xf numFmtId="0" fontId="2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27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0" fillId="0" borderId="0"/>
    <xf numFmtId="0" fontId="11" fillId="0" borderId="0"/>
    <xf numFmtId="0" fontId="36" fillId="0" borderId="0"/>
    <xf numFmtId="37" fontId="21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6" fillId="0" borderId="0"/>
    <xf numFmtId="0" fontId="11" fillId="0" borderId="0"/>
    <xf numFmtId="0" fontId="10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11" fillId="0" borderId="0"/>
    <xf numFmtId="0" fontId="11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13" fillId="0" borderId="0"/>
    <xf numFmtId="0" fontId="17" fillId="0" borderId="0"/>
    <xf numFmtId="0" fontId="17" fillId="0" borderId="0"/>
    <xf numFmtId="0" fontId="13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7" fillId="0" borderId="0"/>
    <xf numFmtId="0" fontId="1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3" fillId="0" borderId="0"/>
    <xf numFmtId="184" fontId="18" fillId="0" borderId="0"/>
    <xf numFmtId="0" fontId="27" fillId="0" borderId="0"/>
    <xf numFmtId="0" fontId="36" fillId="0" borderId="0"/>
    <xf numFmtId="0" fontId="11" fillId="0" borderId="0" applyNumberFormat="0" applyFill="0" applyBorder="0" applyAlignment="0" applyProtection="0"/>
    <xf numFmtId="0" fontId="10" fillId="0" borderId="0"/>
    <xf numFmtId="0" fontId="13" fillId="0" borderId="0"/>
    <xf numFmtId="0" fontId="31" fillId="0" borderId="0"/>
    <xf numFmtId="0" fontId="31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11" fillId="33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2" fillId="34" borderId="0"/>
    <xf numFmtId="0" fontId="32" fillId="34" borderId="0"/>
    <xf numFmtId="0" fontId="36" fillId="0" borderId="0"/>
    <xf numFmtId="0" fontId="32" fillId="34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0" borderId="0"/>
    <xf numFmtId="0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0" fontId="36" fillId="0" borderId="0"/>
    <xf numFmtId="0" fontId="33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3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0" fontId="11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21" fillId="0" borderId="0">
      <alignment vertical="center"/>
    </xf>
    <xf numFmtId="0" fontId="21" fillId="0" borderId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184" fontId="13" fillId="0" borderId="0"/>
    <xf numFmtId="0" fontId="18" fillId="0" borderId="0" applyNumberFormat="0" applyFill="0" applyBorder="0" applyAlignment="0" applyProtection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3" fillId="0" borderId="0"/>
    <xf numFmtId="184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184" fontId="28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1" fillId="0" borderId="0"/>
    <xf numFmtId="0" fontId="31" fillId="0" borderId="0"/>
    <xf numFmtId="0" fontId="13" fillId="0" borderId="0"/>
    <xf numFmtId="0" fontId="13" fillId="0" borderId="0"/>
    <xf numFmtId="0" fontId="10" fillId="0" borderId="0"/>
    <xf numFmtId="0" fontId="13" fillId="0" borderId="0"/>
    <xf numFmtId="0" fontId="11" fillId="0" borderId="0"/>
    <xf numFmtId="0" fontId="11" fillId="0" borderId="0"/>
    <xf numFmtId="0" fontId="11" fillId="0" borderId="0" applyFont="0" applyFill="0" applyBorder="0" applyAlignment="0" applyProtection="0"/>
    <xf numFmtId="0" fontId="18" fillId="0" borderId="0"/>
    <xf numFmtId="0" fontId="36" fillId="0" borderId="0"/>
    <xf numFmtId="0" fontId="36" fillId="0" borderId="0"/>
    <xf numFmtId="0" fontId="21" fillId="0" borderId="0">
      <alignment vertical="center"/>
    </xf>
    <xf numFmtId="0" fontId="36" fillId="0" borderId="0"/>
    <xf numFmtId="0" fontId="36" fillId="0" borderId="0"/>
    <xf numFmtId="0" fontId="21" fillId="0" borderId="0">
      <alignment vertical="center"/>
    </xf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0" applyNumberFormat="0" applyFill="0" applyBorder="0" applyProtection="0">
      <alignment horizontal="left"/>
    </xf>
    <xf numFmtId="0" fontId="11" fillId="0" borderId="0" applyNumberFormat="0" applyFill="0" applyBorder="0" applyAlignment="0" applyProtection="0"/>
    <xf numFmtId="0" fontId="13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7" fillId="0" borderId="0"/>
    <xf numFmtId="0" fontId="36" fillId="0" borderId="0"/>
    <xf numFmtId="0" fontId="36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11" fillId="0" borderId="0"/>
    <xf numFmtId="0" fontId="13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8" fillId="0" borderId="0"/>
    <xf numFmtId="0" fontId="36" fillId="0" borderId="0"/>
    <xf numFmtId="0" fontId="36" fillId="0" borderId="0"/>
    <xf numFmtId="0" fontId="10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7" fillId="0" borderId="0"/>
    <xf numFmtId="0" fontId="36" fillId="0" borderId="0"/>
    <xf numFmtId="0" fontId="36" fillId="0" borderId="0"/>
    <xf numFmtId="0" fontId="36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7" fillId="0" borderId="0"/>
    <xf numFmtId="0" fontId="36" fillId="0" borderId="0"/>
    <xf numFmtId="0" fontId="36" fillId="0" borderId="0"/>
    <xf numFmtId="184" fontId="13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93" fontId="10" fillId="0" borderId="0" applyFill="0" applyBorder="0" applyProtection="0">
      <alignment horizontal="right"/>
    </xf>
    <xf numFmtId="0" fontId="36" fillId="0" borderId="0"/>
    <xf numFmtId="194" fontId="10" fillId="0" borderId="0" applyFill="0" applyBorder="0" applyProtection="0">
      <alignment horizontal="right"/>
    </xf>
    <xf numFmtId="0" fontId="36" fillId="0" borderId="0"/>
    <xf numFmtId="195" fontId="40" fillId="0" borderId="0" applyFill="0" applyBorder="0" applyProtection="0">
      <alignment horizontal="center"/>
    </xf>
    <xf numFmtId="0" fontId="36" fillId="0" borderId="0"/>
    <xf numFmtId="196" fontId="40" fillId="0" borderId="0" applyFill="0" applyBorder="0" applyProtection="0">
      <alignment horizontal="center"/>
    </xf>
    <xf numFmtId="0" fontId="36" fillId="0" borderId="0"/>
    <xf numFmtId="197" fontId="41" fillId="0" borderId="0" applyFill="0" applyBorder="0" applyProtection="0">
      <alignment horizontal="right"/>
    </xf>
    <xf numFmtId="0" fontId="36" fillId="0" borderId="0"/>
    <xf numFmtId="198" fontId="10" fillId="0" borderId="0" applyFill="0" applyBorder="0" applyProtection="0">
      <alignment horizontal="right"/>
    </xf>
    <xf numFmtId="0" fontId="36" fillId="0" borderId="0"/>
    <xf numFmtId="199" fontId="10" fillId="0" borderId="0" applyFill="0" applyBorder="0" applyProtection="0">
      <alignment horizontal="right"/>
    </xf>
    <xf numFmtId="0" fontId="36" fillId="0" borderId="0"/>
    <xf numFmtId="200" fontId="10" fillId="0" borderId="0" applyFill="0" applyBorder="0" applyProtection="0">
      <alignment horizontal="right"/>
    </xf>
    <xf numFmtId="0" fontId="36" fillId="0" borderId="0"/>
    <xf numFmtId="201" fontId="10" fillId="0" borderId="0" applyFill="0" applyBorder="0" applyProtection="0">
      <alignment horizontal="right"/>
    </xf>
    <xf numFmtId="0" fontId="36" fillId="0" borderId="0"/>
    <xf numFmtId="0" fontId="42" fillId="0" borderId="0" applyFont="0" applyFill="0" applyBorder="0" applyAlignment="0" applyProtection="0"/>
    <xf numFmtId="175" fontId="42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84" fontId="11" fillId="0" borderId="0"/>
    <xf numFmtId="0" fontId="11" fillId="0" borderId="0"/>
    <xf numFmtId="0" fontId="43" fillId="0" borderId="0">
      <protection locked="0"/>
    </xf>
    <xf numFmtId="0" fontId="43" fillId="0" borderId="0">
      <protection locked="0"/>
    </xf>
    <xf numFmtId="0" fontId="36" fillId="0" borderId="0"/>
    <xf numFmtId="0" fontId="36" fillId="0" borderId="0"/>
    <xf numFmtId="0" fontId="42" fillId="0" borderId="0"/>
    <xf numFmtId="1" fontId="44" fillId="0" borderId="0"/>
    <xf numFmtId="0" fontId="36" fillId="0" borderId="0"/>
    <xf numFmtId="0" fontId="11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202" fontId="25" fillId="0" borderId="0" applyFont="0" applyFill="0" applyBorder="0" applyAlignment="0" applyProtection="0"/>
    <xf numFmtId="203" fontId="25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6" fillId="0" borderId="0">
      <alignment horizontal="centerContinuous"/>
    </xf>
    <xf numFmtId="204" fontId="10" fillId="0" borderId="0" applyFont="0" applyFill="0" applyBorder="0" applyAlignment="0" applyProtection="0">
      <protection locked="0"/>
    </xf>
    <xf numFmtId="0" fontId="47" fillId="0" borderId="0"/>
    <xf numFmtId="0" fontId="36" fillId="0" borderId="0"/>
    <xf numFmtId="0" fontId="47" fillId="0" borderId="0"/>
    <xf numFmtId="0" fontId="16" fillId="39" borderId="0" applyNumberFormat="0" applyBorder="0" applyAlignment="0" applyProtection="0"/>
    <xf numFmtId="0" fontId="16" fillId="40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4" borderId="0" applyNumberFormat="0" applyBorder="0" applyAlignment="0" applyProtection="0"/>
    <xf numFmtId="181" fontId="48" fillId="9" borderId="0" applyNumberFormat="0" applyBorder="0" applyAlignment="0" applyProtection="0"/>
    <xf numFmtId="0" fontId="16" fillId="3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0" fontId="49" fillId="3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16" fillId="3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16" fillId="39" borderId="0" applyNumberFormat="0" applyBorder="0" applyAlignment="0" applyProtection="0"/>
    <xf numFmtId="181" fontId="4" fillId="9" borderId="0" applyNumberFormat="0" applyBorder="0" applyAlignment="0" applyProtection="0"/>
    <xf numFmtId="181" fontId="4" fillId="9" borderId="0" applyNumberFormat="0" applyBorder="0" applyAlignment="0" applyProtection="0"/>
    <xf numFmtId="0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48" fillId="13" borderId="0" applyNumberFormat="0" applyBorder="0" applyAlignment="0" applyProtection="0"/>
    <xf numFmtId="0" fontId="16" fillId="40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0" fontId="49" fillId="40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16" fillId="40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16" fillId="40" borderId="0" applyNumberFormat="0" applyBorder="0" applyAlignment="0" applyProtection="0"/>
    <xf numFmtId="181" fontId="4" fillId="13" borderId="0" applyNumberFormat="0" applyBorder="0" applyAlignment="0" applyProtection="0"/>
    <xf numFmtId="181" fontId="4" fillId="13" borderId="0" applyNumberFormat="0" applyBorder="0" applyAlignment="0" applyProtection="0"/>
    <xf numFmtId="0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48" fillId="17" borderId="0" applyNumberFormat="0" applyBorder="0" applyAlignment="0" applyProtection="0"/>
    <xf numFmtId="0" fontId="16" fillId="41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0" fontId="49" fillId="41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16" fillId="41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16" fillId="41" borderId="0" applyNumberFormat="0" applyBorder="0" applyAlignment="0" applyProtection="0"/>
    <xf numFmtId="181" fontId="4" fillId="17" borderId="0" applyNumberFormat="0" applyBorder="0" applyAlignment="0" applyProtection="0"/>
    <xf numFmtId="181" fontId="4" fillId="17" borderId="0" applyNumberFormat="0" applyBorder="0" applyAlignment="0" applyProtection="0"/>
    <xf numFmtId="0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48" fillId="21" borderId="0" applyNumberFormat="0" applyBorder="0" applyAlignment="0" applyProtection="0"/>
    <xf numFmtId="0" fontId="16" fillId="42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0" fontId="49" fillId="42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16" fillId="42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16" fillId="42" borderId="0" applyNumberFormat="0" applyBorder="0" applyAlignment="0" applyProtection="0"/>
    <xf numFmtId="181" fontId="4" fillId="21" borderId="0" applyNumberFormat="0" applyBorder="0" applyAlignment="0" applyProtection="0"/>
    <xf numFmtId="181" fontId="4" fillId="21" borderId="0" applyNumberFormat="0" applyBorder="0" applyAlignment="0" applyProtection="0"/>
    <xf numFmtId="0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48" fillId="25" borderId="0" applyNumberFormat="0" applyBorder="0" applyAlignment="0" applyProtection="0"/>
    <xf numFmtId="0" fontId="16" fillId="43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0" fontId="49" fillId="43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16" fillId="43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16" fillId="43" borderId="0" applyNumberFormat="0" applyBorder="0" applyAlignment="0" applyProtection="0"/>
    <xf numFmtId="181" fontId="4" fillId="25" borderId="0" applyNumberFormat="0" applyBorder="0" applyAlignment="0" applyProtection="0"/>
    <xf numFmtId="181" fontId="4" fillId="25" borderId="0" applyNumberFormat="0" applyBorder="0" applyAlignment="0" applyProtection="0"/>
    <xf numFmtId="0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48" fillId="29" borderId="0" applyNumberFormat="0" applyBorder="0" applyAlignment="0" applyProtection="0"/>
    <xf numFmtId="0" fontId="16" fillId="44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0" fontId="49" fillId="44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181" fontId="16" fillId="44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181" fontId="16" fillId="44" borderId="0" applyNumberFormat="0" applyBorder="0" applyAlignment="0" applyProtection="0"/>
    <xf numFmtId="181" fontId="4" fillId="29" borderId="0" applyNumberFormat="0" applyBorder="0" applyAlignment="0" applyProtection="0"/>
    <xf numFmtId="181" fontId="4" fillId="29" borderId="0" applyNumberFormat="0" applyBorder="0" applyAlignment="0" applyProtection="0"/>
    <xf numFmtId="0" fontId="48" fillId="29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0" fontId="4" fillId="9" borderId="0" applyNumberFormat="0" applyBorder="0" applyAlignment="0" applyProtection="0"/>
    <xf numFmtId="0" fontId="36" fillId="0" borderId="0"/>
    <xf numFmtId="0" fontId="4" fillId="13" borderId="0" applyNumberFormat="0" applyBorder="0" applyAlignment="0" applyProtection="0"/>
    <xf numFmtId="0" fontId="36" fillId="0" borderId="0"/>
    <xf numFmtId="0" fontId="4" fillId="17" borderId="0" applyNumberFormat="0" applyBorder="0" applyAlignment="0" applyProtection="0"/>
    <xf numFmtId="0" fontId="36" fillId="0" borderId="0"/>
    <xf numFmtId="0" fontId="4" fillId="21" borderId="0" applyNumberFormat="0" applyBorder="0" applyAlignment="0" applyProtection="0"/>
    <xf numFmtId="0" fontId="36" fillId="0" borderId="0"/>
    <xf numFmtId="0" fontId="4" fillId="25" borderId="0" applyNumberFormat="0" applyBorder="0" applyAlignment="0" applyProtection="0"/>
    <xf numFmtId="0" fontId="36" fillId="0" borderId="0"/>
    <xf numFmtId="0" fontId="4" fillId="29" borderId="0" applyNumberFormat="0" applyBorder="0" applyAlignment="0" applyProtection="0"/>
    <xf numFmtId="0" fontId="36" fillId="0" borderId="0"/>
    <xf numFmtId="0" fontId="16" fillId="45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46" borderId="0" applyNumberFormat="0" applyBorder="0" applyAlignment="0" applyProtection="0"/>
    <xf numFmtId="0" fontId="36" fillId="0" borderId="0"/>
    <xf numFmtId="0" fontId="16" fillId="45" borderId="0" applyNumberFormat="0" applyBorder="0" applyAlignment="0" applyProtection="0"/>
    <xf numFmtId="0" fontId="36" fillId="0" borderId="0"/>
    <xf numFmtId="0" fontId="16" fillId="43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39" borderId="0" applyNumberFormat="0" applyBorder="0" applyAlignment="0" applyProtection="0"/>
    <xf numFmtId="0" fontId="36" fillId="0" borderId="0"/>
    <xf numFmtId="0" fontId="16" fillId="40" borderId="0" applyNumberFormat="0" applyBorder="0" applyAlignment="0" applyProtection="0"/>
    <xf numFmtId="0" fontId="36" fillId="0" borderId="0"/>
    <xf numFmtId="0" fontId="16" fillId="41" borderId="0" applyNumberFormat="0" applyBorder="0" applyAlignment="0" applyProtection="0"/>
    <xf numFmtId="0" fontId="36" fillId="0" borderId="0"/>
    <xf numFmtId="0" fontId="16" fillId="42" borderId="0" applyNumberFormat="0" applyBorder="0" applyAlignment="0" applyProtection="0"/>
    <xf numFmtId="0" fontId="36" fillId="0" borderId="0"/>
    <xf numFmtId="0" fontId="16" fillId="43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50" fillId="39" borderId="0" applyNumberFormat="0" applyBorder="0" applyAlignment="0" applyProtection="0"/>
    <xf numFmtId="0" fontId="50" fillId="40" borderId="0" applyNumberFormat="0" applyBorder="0" applyAlignment="0" applyProtection="0"/>
    <xf numFmtId="0" fontId="50" fillId="41" borderId="0" applyNumberFormat="0" applyBorder="0" applyAlignment="0" applyProtection="0"/>
    <xf numFmtId="0" fontId="50" fillId="42" borderId="0" applyNumberFormat="0" applyBorder="0" applyAlignment="0" applyProtection="0"/>
    <xf numFmtId="0" fontId="50" fillId="43" borderId="0" applyNumberFormat="0" applyBorder="0" applyAlignment="0" applyProtection="0"/>
    <xf numFmtId="0" fontId="50" fillId="44" borderId="0" applyNumberFormat="0" applyBorder="0" applyAlignment="0" applyProtection="0"/>
    <xf numFmtId="180" fontId="11" fillId="0" borderId="0" applyProtection="0">
      <protection locked="0"/>
    </xf>
    <xf numFmtId="0" fontId="36" fillId="0" borderId="0"/>
    <xf numFmtId="0" fontId="36" fillId="0" borderId="0"/>
    <xf numFmtId="0" fontId="16" fillId="47" borderId="0" applyNumberFormat="0" applyBorder="0" applyAlignment="0" applyProtection="0"/>
    <xf numFmtId="0" fontId="16" fillId="48" borderId="0" applyNumberFormat="0" applyBorder="0" applyAlignment="0" applyProtection="0"/>
    <xf numFmtId="0" fontId="16" fillId="49" borderId="0" applyNumberFormat="0" applyBorder="0" applyAlignment="0" applyProtection="0"/>
    <xf numFmtId="0" fontId="16" fillId="42" borderId="0" applyNumberFormat="0" applyBorder="0" applyAlignment="0" applyProtection="0"/>
    <xf numFmtId="0" fontId="16" fillId="47" borderId="0" applyNumberFormat="0" applyBorder="0" applyAlignment="0" applyProtection="0"/>
    <xf numFmtId="0" fontId="16" fillId="50" borderId="0" applyNumberFormat="0" applyBorder="0" applyAlignment="0" applyProtection="0"/>
    <xf numFmtId="181" fontId="48" fillId="10" borderId="0" applyNumberFormat="0" applyBorder="0" applyAlignment="0" applyProtection="0"/>
    <xf numFmtId="0" fontId="16" fillId="47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0" fontId="49" fillId="47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16" fillId="47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16" fillId="4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0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48" fillId="14" borderId="0" applyNumberFormat="0" applyBorder="0" applyAlignment="0" applyProtection="0"/>
    <xf numFmtId="0" fontId="16" fillId="48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0" fontId="49" fillId="48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16" fillId="48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16" fillId="4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0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48" fillId="18" borderId="0" applyNumberFormat="0" applyBorder="0" applyAlignment="0" applyProtection="0"/>
    <xf numFmtId="0" fontId="16" fillId="49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0" fontId="49" fillId="49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16" fillId="49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16" fillId="4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0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48" fillId="22" borderId="0" applyNumberFormat="0" applyBorder="0" applyAlignment="0" applyProtection="0"/>
    <xf numFmtId="0" fontId="16" fillId="4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0" fontId="49" fillId="4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16" fillId="4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16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0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48" fillId="26" borderId="0" applyNumberFormat="0" applyBorder="0" applyAlignment="0" applyProtection="0"/>
    <xf numFmtId="0" fontId="16" fillId="47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0" fontId="49" fillId="47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16" fillId="47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16" fillId="47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0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48" fillId="30" borderId="0" applyNumberFormat="0" applyBorder="0" applyAlignment="0" applyProtection="0"/>
    <xf numFmtId="0" fontId="16" fillId="5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0" fontId="49" fillId="5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181" fontId="16" fillId="5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181" fontId="16" fillId="5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0" fontId="48" fillId="3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0" fontId="4" fillId="10" borderId="0" applyNumberFormat="0" applyBorder="0" applyAlignment="0" applyProtection="0"/>
    <xf numFmtId="0" fontId="36" fillId="0" borderId="0"/>
    <xf numFmtId="0" fontId="4" fillId="14" borderId="0" applyNumberFormat="0" applyBorder="0" applyAlignment="0" applyProtection="0"/>
    <xf numFmtId="0" fontId="36" fillId="0" borderId="0"/>
    <xf numFmtId="0" fontId="4" fillId="18" borderId="0" applyNumberFormat="0" applyBorder="0" applyAlignment="0" applyProtection="0"/>
    <xf numFmtId="0" fontId="36" fillId="0" borderId="0"/>
    <xf numFmtId="0" fontId="4" fillId="22" borderId="0" applyNumberFormat="0" applyBorder="0" applyAlignment="0" applyProtection="0"/>
    <xf numFmtId="0" fontId="36" fillId="0" borderId="0"/>
    <xf numFmtId="0" fontId="4" fillId="26" borderId="0" applyNumberFormat="0" applyBorder="0" applyAlignment="0" applyProtection="0"/>
    <xf numFmtId="0" fontId="36" fillId="0" borderId="0"/>
    <xf numFmtId="0" fontId="4" fillId="30" borderId="0" applyNumberFormat="0" applyBorder="0" applyAlignment="0" applyProtection="0"/>
    <xf numFmtId="0" fontId="36" fillId="0" borderId="0"/>
    <xf numFmtId="0" fontId="16" fillId="51" borderId="0" applyNumberFormat="0" applyBorder="0" applyAlignment="0" applyProtection="0"/>
    <xf numFmtId="0" fontId="36" fillId="0" borderId="0"/>
    <xf numFmtId="0" fontId="16" fillId="48" borderId="0" applyNumberFormat="0" applyBorder="0" applyAlignment="0" applyProtection="0"/>
    <xf numFmtId="0" fontId="36" fillId="0" borderId="0"/>
    <xf numFmtId="0" fontId="16" fillId="46" borderId="0" applyNumberFormat="0" applyBorder="0" applyAlignment="0" applyProtection="0"/>
    <xf numFmtId="0" fontId="36" fillId="0" borderId="0"/>
    <xf numFmtId="0" fontId="16" fillId="51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48" borderId="0" applyNumberFormat="0" applyBorder="0" applyAlignment="0" applyProtection="0"/>
    <xf numFmtId="0" fontId="36" fillId="0" borderId="0"/>
    <xf numFmtId="0" fontId="16" fillId="49" borderId="0" applyNumberFormat="0" applyBorder="0" applyAlignment="0" applyProtection="0"/>
    <xf numFmtId="0" fontId="36" fillId="0" borderId="0"/>
    <xf numFmtId="0" fontId="16" fillId="42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50" borderId="0" applyNumberFormat="0" applyBorder="0" applyAlignment="0" applyProtection="0"/>
    <xf numFmtId="0" fontId="36" fillId="0" borderId="0"/>
    <xf numFmtId="0" fontId="50" fillId="47" borderId="0" applyNumberFormat="0" applyBorder="0" applyAlignment="0" applyProtection="0"/>
    <xf numFmtId="0" fontId="50" fillId="48" borderId="0" applyNumberFormat="0" applyBorder="0" applyAlignment="0" applyProtection="0"/>
    <xf numFmtId="0" fontId="50" fillId="49" borderId="0" applyNumberFormat="0" applyBorder="0" applyAlignment="0" applyProtection="0"/>
    <xf numFmtId="0" fontId="50" fillId="42" borderId="0" applyNumberFormat="0" applyBorder="0" applyAlignment="0" applyProtection="0"/>
    <xf numFmtId="0" fontId="50" fillId="47" borderId="0" applyNumberFormat="0" applyBorder="0" applyAlignment="0" applyProtection="0"/>
    <xf numFmtId="0" fontId="50" fillId="50" borderId="0" applyNumberFormat="0" applyBorder="0" applyAlignment="0" applyProtection="0"/>
    <xf numFmtId="0" fontId="36" fillId="52" borderId="0" applyNumberFormat="0" applyBorder="0" applyAlignment="0" applyProtection="0"/>
    <xf numFmtId="0" fontId="36" fillId="48" borderId="0" applyNumberFormat="0" applyBorder="0" applyAlignment="0" applyProtection="0"/>
    <xf numFmtId="0" fontId="36" fillId="49" borderId="0" applyNumberFormat="0" applyBorder="0" applyAlignment="0" applyProtection="0"/>
    <xf numFmtId="0" fontId="36" fillId="53" borderId="0" applyNumberFormat="0" applyBorder="0" applyAlignment="0" applyProtection="0"/>
    <xf numFmtId="0" fontId="36" fillId="54" borderId="0" applyNumberFormat="0" applyBorder="0" applyAlignment="0" applyProtection="0"/>
    <xf numFmtId="0" fontId="36" fillId="55" borderId="0" applyNumberFormat="0" applyBorder="0" applyAlignment="0" applyProtection="0"/>
    <xf numFmtId="181" fontId="51" fillId="11" borderId="0" applyNumberFormat="0" applyBorder="0" applyAlignment="0" applyProtection="0"/>
    <xf numFmtId="0" fontId="36" fillId="52" borderId="0" applyNumberFormat="0" applyBorder="0" applyAlignment="0" applyProtection="0"/>
    <xf numFmtId="181" fontId="51" fillId="11" borderId="0" applyNumberFormat="0" applyBorder="0" applyAlignment="0" applyProtection="0"/>
    <xf numFmtId="0" fontId="52" fillId="52" borderId="0" applyNumberFormat="0" applyBorder="0" applyAlignment="0" applyProtection="0"/>
    <xf numFmtId="181" fontId="51" fillId="11" borderId="0" applyNumberFormat="0" applyBorder="0" applyAlignment="0" applyProtection="0"/>
    <xf numFmtId="181" fontId="36" fillId="52" borderId="0" applyNumberFormat="0" applyBorder="0" applyAlignment="0" applyProtection="0"/>
    <xf numFmtId="181" fontId="51" fillId="11" borderId="0" applyNumberFormat="0" applyBorder="0" applyAlignment="0" applyProtection="0"/>
    <xf numFmtId="181" fontId="36" fillId="52" borderId="0" applyNumberFormat="0" applyBorder="0" applyAlignment="0" applyProtection="0"/>
    <xf numFmtId="181" fontId="53" fillId="11" borderId="0" applyNumberFormat="0" applyBorder="0" applyAlignment="0" applyProtection="0"/>
    <xf numFmtId="0" fontId="51" fillId="11" borderId="0" applyNumberFormat="0" applyBorder="0" applyAlignment="0" applyProtection="0"/>
    <xf numFmtId="181" fontId="51" fillId="11" borderId="0" applyNumberFormat="0" applyBorder="0" applyAlignment="0" applyProtection="0"/>
    <xf numFmtId="181" fontId="51" fillId="11" borderId="0" applyNumberFormat="0" applyBorder="0" applyAlignment="0" applyProtection="0"/>
    <xf numFmtId="181" fontId="51" fillId="15" borderId="0" applyNumberFormat="0" applyBorder="0" applyAlignment="0" applyProtection="0"/>
    <xf numFmtId="0" fontId="36" fillId="48" borderId="0" applyNumberFormat="0" applyBorder="0" applyAlignment="0" applyProtection="0"/>
    <xf numFmtId="181" fontId="51" fillId="15" borderId="0" applyNumberFormat="0" applyBorder="0" applyAlignment="0" applyProtection="0"/>
    <xf numFmtId="0" fontId="52" fillId="48" borderId="0" applyNumberFormat="0" applyBorder="0" applyAlignment="0" applyProtection="0"/>
    <xf numFmtId="181" fontId="51" fillId="15" borderId="0" applyNumberFormat="0" applyBorder="0" applyAlignment="0" applyProtection="0"/>
    <xf numFmtId="181" fontId="36" fillId="48" borderId="0" applyNumberFormat="0" applyBorder="0" applyAlignment="0" applyProtection="0"/>
    <xf numFmtId="181" fontId="51" fillId="15" borderId="0" applyNumberFormat="0" applyBorder="0" applyAlignment="0" applyProtection="0"/>
    <xf numFmtId="181" fontId="36" fillId="48" borderId="0" applyNumberFormat="0" applyBorder="0" applyAlignment="0" applyProtection="0"/>
    <xf numFmtId="181" fontId="53" fillId="15" borderId="0" applyNumberFormat="0" applyBorder="0" applyAlignment="0" applyProtection="0"/>
    <xf numFmtId="0" fontId="51" fillId="15" borderId="0" applyNumberFormat="0" applyBorder="0" applyAlignment="0" applyProtection="0"/>
    <xf numFmtId="181" fontId="51" fillId="15" borderId="0" applyNumberFormat="0" applyBorder="0" applyAlignment="0" applyProtection="0"/>
    <xf numFmtId="181" fontId="51" fillId="15" borderId="0" applyNumberFormat="0" applyBorder="0" applyAlignment="0" applyProtection="0"/>
    <xf numFmtId="181" fontId="51" fillId="19" borderId="0" applyNumberFormat="0" applyBorder="0" applyAlignment="0" applyProtection="0"/>
    <xf numFmtId="0" fontId="36" fillId="49" borderId="0" applyNumberFormat="0" applyBorder="0" applyAlignment="0" applyProtection="0"/>
    <xf numFmtId="181" fontId="51" fillId="19" borderId="0" applyNumberFormat="0" applyBorder="0" applyAlignment="0" applyProtection="0"/>
    <xf numFmtId="0" fontId="52" fillId="49" borderId="0" applyNumberFormat="0" applyBorder="0" applyAlignment="0" applyProtection="0"/>
    <xf numFmtId="181" fontId="51" fillId="19" borderId="0" applyNumberFormat="0" applyBorder="0" applyAlignment="0" applyProtection="0"/>
    <xf numFmtId="181" fontId="36" fillId="49" borderId="0" applyNumberFormat="0" applyBorder="0" applyAlignment="0" applyProtection="0"/>
    <xf numFmtId="181" fontId="51" fillId="19" borderId="0" applyNumberFormat="0" applyBorder="0" applyAlignment="0" applyProtection="0"/>
    <xf numFmtId="181" fontId="36" fillId="49" borderId="0" applyNumberFormat="0" applyBorder="0" applyAlignment="0" applyProtection="0"/>
    <xf numFmtId="181" fontId="53" fillId="19" borderId="0" applyNumberFormat="0" applyBorder="0" applyAlignment="0" applyProtection="0"/>
    <xf numFmtId="0" fontId="51" fillId="19" borderId="0" applyNumberFormat="0" applyBorder="0" applyAlignment="0" applyProtection="0"/>
    <xf numFmtId="181" fontId="51" fillId="19" borderId="0" applyNumberFormat="0" applyBorder="0" applyAlignment="0" applyProtection="0"/>
    <xf numFmtId="181" fontId="51" fillId="19" borderId="0" applyNumberFormat="0" applyBorder="0" applyAlignment="0" applyProtection="0"/>
    <xf numFmtId="181" fontId="51" fillId="23" borderId="0" applyNumberFormat="0" applyBorder="0" applyAlignment="0" applyProtection="0"/>
    <xf numFmtId="0" fontId="36" fillId="53" borderId="0" applyNumberFormat="0" applyBorder="0" applyAlignment="0" applyProtection="0"/>
    <xf numFmtId="181" fontId="51" fillId="23" borderId="0" applyNumberFormat="0" applyBorder="0" applyAlignment="0" applyProtection="0"/>
    <xf numFmtId="0" fontId="52" fillId="53" borderId="0" applyNumberFormat="0" applyBorder="0" applyAlignment="0" applyProtection="0"/>
    <xf numFmtId="181" fontId="51" fillId="23" borderId="0" applyNumberFormat="0" applyBorder="0" applyAlignment="0" applyProtection="0"/>
    <xf numFmtId="181" fontId="36" fillId="53" borderId="0" applyNumberFormat="0" applyBorder="0" applyAlignment="0" applyProtection="0"/>
    <xf numFmtId="181" fontId="51" fillId="23" borderId="0" applyNumberFormat="0" applyBorder="0" applyAlignment="0" applyProtection="0"/>
    <xf numFmtId="181" fontId="36" fillId="53" borderId="0" applyNumberFormat="0" applyBorder="0" applyAlignment="0" applyProtection="0"/>
    <xf numFmtId="181" fontId="53" fillId="23" borderId="0" applyNumberFormat="0" applyBorder="0" applyAlignment="0" applyProtection="0"/>
    <xf numFmtId="0" fontId="51" fillId="23" borderId="0" applyNumberFormat="0" applyBorder="0" applyAlignment="0" applyProtection="0"/>
    <xf numFmtId="181" fontId="51" fillId="23" borderId="0" applyNumberFormat="0" applyBorder="0" applyAlignment="0" applyProtection="0"/>
    <xf numFmtId="181" fontId="51" fillId="23" borderId="0" applyNumberFormat="0" applyBorder="0" applyAlignment="0" applyProtection="0"/>
    <xf numFmtId="181" fontId="51" fillId="27" borderId="0" applyNumberFormat="0" applyBorder="0" applyAlignment="0" applyProtection="0"/>
    <xf numFmtId="0" fontId="36" fillId="54" borderId="0" applyNumberFormat="0" applyBorder="0" applyAlignment="0" applyProtection="0"/>
    <xf numFmtId="181" fontId="51" fillId="27" borderId="0" applyNumberFormat="0" applyBorder="0" applyAlignment="0" applyProtection="0"/>
    <xf numFmtId="0" fontId="52" fillId="54" borderId="0" applyNumberFormat="0" applyBorder="0" applyAlignment="0" applyProtection="0"/>
    <xf numFmtId="181" fontId="51" fillId="27" borderId="0" applyNumberFormat="0" applyBorder="0" applyAlignment="0" applyProtection="0"/>
    <xf numFmtId="181" fontId="36" fillId="54" borderId="0" applyNumberFormat="0" applyBorder="0" applyAlignment="0" applyProtection="0"/>
    <xf numFmtId="181" fontId="51" fillId="27" borderId="0" applyNumberFormat="0" applyBorder="0" applyAlignment="0" applyProtection="0"/>
    <xf numFmtId="181" fontId="36" fillId="54" borderId="0" applyNumberFormat="0" applyBorder="0" applyAlignment="0" applyProtection="0"/>
    <xf numFmtId="181" fontId="53" fillId="27" borderId="0" applyNumberFormat="0" applyBorder="0" applyAlignment="0" applyProtection="0"/>
    <xf numFmtId="0" fontId="51" fillId="27" borderId="0" applyNumberFormat="0" applyBorder="0" applyAlignment="0" applyProtection="0"/>
    <xf numFmtId="181" fontId="51" fillId="27" borderId="0" applyNumberFormat="0" applyBorder="0" applyAlignment="0" applyProtection="0"/>
    <xf numFmtId="181" fontId="51" fillId="27" borderId="0" applyNumberFormat="0" applyBorder="0" applyAlignment="0" applyProtection="0"/>
    <xf numFmtId="181" fontId="51" fillId="31" borderId="0" applyNumberFormat="0" applyBorder="0" applyAlignment="0" applyProtection="0"/>
    <xf numFmtId="0" fontId="36" fillId="55" borderId="0" applyNumberFormat="0" applyBorder="0" applyAlignment="0" applyProtection="0"/>
    <xf numFmtId="181" fontId="51" fillId="31" borderId="0" applyNumberFormat="0" applyBorder="0" applyAlignment="0" applyProtection="0"/>
    <xf numFmtId="0" fontId="52" fillId="55" borderId="0" applyNumberFormat="0" applyBorder="0" applyAlignment="0" applyProtection="0"/>
    <xf numFmtId="181" fontId="51" fillId="31" borderId="0" applyNumberFormat="0" applyBorder="0" applyAlignment="0" applyProtection="0"/>
    <xf numFmtId="181" fontId="36" fillId="55" borderId="0" applyNumberFormat="0" applyBorder="0" applyAlignment="0" applyProtection="0"/>
    <xf numFmtId="181" fontId="51" fillId="31" borderId="0" applyNumberFormat="0" applyBorder="0" applyAlignment="0" applyProtection="0"/>
    <xf numFmtId="181" fontId="36" fillId="55" borderId="0" applyNumberFormat="0" applyBorder="0" applyAlignment="0" applyProtection="0"/>
    <xf numFmtId="181" fontId="53" fillId="31" borderId="0" applyNumberFormat="0" applyBorder="0" applyAlignment="0" applyProtection="0"/>
    <xf numFmtId="0" fontId="51" fillId="31" borderId="0" applyNumberFormat="0" applyBorder="0" applyAlignment="0" applyProtection="0"/>
    <xf numFmtId="181" fontId="51" fillId="31" borderId="0" applyNumberFormat="0" applyBorder="0" applyAlignment="0" applyProtection="0"/>
    <xf numFmtId="181" fontId="51" fillId="31" borderId="0" applyNumberFormat="0" applyBorder="0" applyAlignment="0" applyProtection="0"/>
    <xf numFmtId="0" fontId="53" fillId="11" borderId="0" applyNumberFormat="0" applyBorder="0" applyAlignment="0" applyProtection="0"/>
    <xf numFmtId="0" fontId="36" fillId="0" borderId="0"/>
    <xf numFmtId="0" fontId="53" fillId="15" borderId="0" applyNumberFormat="0" applyBorder="0" applyAlignment="0" applyProtection="0"/>
    <xf numFmtId="0" fontId="36" fillId="0" borderId="0"/>
    <xf numFmtId="0" fontId="53" fillId="19" borderId="0" applyNumberFormat="0" applyBorder="0" applyAlignment="0" applyProtection="0"/>
    <xf numFmtId="0" fontId="36" fillId="0" borderId="0"/>
    <xf numFmtId="0" fontId="53" fillId="23" borderId="0" applyNumberFormat="0" applyBorder="0" applyAlignment="0" applyProtection="0"/>
    <xf numFmtId="0" fontId="36" fillId="0" borderId="0"/>
    <xf numFmtId="0" fontId="53" fillId="27" borderId="0" applyNumberFormat="0" applyBorder="0" applyAlignment="0" applyProtection="0"/>
    <xf numFmtId="0" fontId="36" fillId="0" borderId="0"/>
    <xf numFmtId="0" fontId="53" fillId="31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48" borderId="0" applyNumberFormat="0" applyBorder="0" applyAlignment="0" applyProtection="0"/>
    <xf numFmtId="0" fontId="36" fillId="0" borderId="0"/>
    <xf numFmtId="0" fontId="36" fillId="56" borderId="0" applyNumberFormat="0" applyBorder="0" applyAlignment="0" applyProtection="0"/>
    <xf numFmtId="0" fontId="36" fillId="0" borderId="0"/>
    <xf numFmtId="0" fontId="36" fillId="51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44" borderId="0" applyNumberFormat="0" applyBorder="0" applyAlignment="0" applyProtection="0"/>
    <xf numFmtId="0" fontId="36" fillId="0" borderId="0"/>
    <xf numFmtId="0" fontId="36" fillId="52" borderId="0" applyNumberFormat="0" applyBorder="0" applyAlignment="0" applyProtection="0"/>
    <xf numFmtId="0" fontId="36" fillId="0" borderId="0"/>
    <xf numFmtId="0" fontId="36" fillId="48" borderId="0" applyNumberFormat="0" applyBorder="0" applyAlignment="0" applyProtection="0"/>
    <xf numFmtId="0" fontId="36" fillId="0" borderId="0"/>
    <xf numFmtId="0" fontId="36" fillId="49" borderId="0" applyNumberFormat="0" applyBorder="0" applyAlignment="0" applyProtection="0"/>
    <xf numFmtId="0" fontId="36" fillId="0" borderId="0"/>
    <xf numFmtId="0" fontId="36" fillId="53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55" borderId="0" applyNumberFormat="0" applyBorder="0" applyAlignment="0" applyProtection="0"/>
    <xf numFmtId="0" fontId="36" fillId="0" borderId="0"/>
    <xf numFmtId="0" fontId="54" fillId="52" borderId="0" applyNumberFormat="0" applyBorder="0" applyAlignment="0" applyProtection="0"/>
    <xf numFmtId="0" fontId="54" fillId="48" borderId="0" applyNumberFormat="0" applyBorder="0" applyAlignment="0" applyProtection="0"/>
    <xf numFmtId="0" fontId="54" fillId="49" borderId="0" applyNumberFormat="0" applyBorder="0" applyAlignment="0" applyProtection="0"/>
    <xf numFmtId="0" fontId="54" fillId="53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5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56" fillId="0" borderId="8" applyBorder="0"/>
    <xf numFmtId="0" fontId="56" fillId="0" borderId="8" applyBorder="0"/>
    <xf numFmtId="0" fontId="16" fillId="57" borderId="0" applyNumberFormat="0" applyBorder="0" applyAlignment="0" applyProtection="0"/>
    <xf numFmtId="0" fontId="36" fillId="0" borderId="0"/>
    <xf numFmtId="0" fontId="16" fillId="58" borderId="0" applyNumberFormat="0" applyBorder="0" applyAlignment="0" applyProtection="0"/>
    <xf numFmtId="0" fontId="36" fillId="0" borderId="0"/>
    <xf numFmtId="0" fontId="36" fillId="59" borderId="0" applyNumberFormat="0" applyBorder="0" applyAlignment="0" applyProtection="0"/>
    <xf numFmtId="0" fontId="36" fillId="0" borderId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81" fontId="51" fillId="8" borderId="0" applyNumberFormat="0" applyBorder="0" applyAlignment="0" applyProtection="0"/>
    <xf numFmtId="181" fontId="36" fillId="61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0" fontId="16" fillId="62" borderId="0" applyNumberFormat="0" applyBorder="0" applyAlignment="0" applyProtection="0"/>
    <xf numFmtId="0" fontId="36" fillId="0" borderId="0"/>
    <xf numFmtId="0" fontId="16" fillId="63" borderId="0" applyNumberFormat="0" applyBorder="0" applyAlignment="0" applyProtection="0"/>
    <xf numFmtId="0" fontId="36" fillId="0" borderId="0"/>
    <xf numFmtId="0" fontId="36" fillId="64" borderId="0" applyNumberFormat="0" applyBorder="0" applyAlignment="0" applyProtection="0"/>
    <xf numFmtId="0" fontId="36" fillId="0" borderId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81" fontId="51" fillId="12" borderId="0" applyNumberFormat="0" applyBorder="0" applyAlignment="0" applyProtection="0"/>
    <xf numFmtId="181" fontId="36" fillId="66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0" fontId="16" fillId="67" borderId="0" applyNumberFormat="0" applyBorder="0" applyAlignment="0" applyProtection="0"/>
    <xf numFmtId="0" fontId="36" fillId="0" borderId="0"/>
    <xf numFmtId="0" fontId="16" fillId="68" borderId="0" applyNumberFormat="0" applyBorder="0" applyAlignment="0" applyProtection="0"/>
    <xf numFmtId="0" fontId="36" fillId="0" borderId="0"/>
    <xf numFmtId="0" fontId="36" fillId="69" borderId="0" applyNumberFormat="0" applyBorder="0" applyAlignment="0" applyProtection="0"/>
    <xf numFmtId="0" fontId="36" fillId="0" borderId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81" fontId="51" fillId="16" borderId="0" applyNumberFormat="0" applyBorder="0" applyAlignment="0" applyProtection="0"/>
    <xf numFmtId="181" fontId="36" fillId="70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0" fontId="16" fillId="68" borderId="0" applyNumberFormat="0" applyBorder="0" applyAlignment="0" applyProtection="0"/>
    <xf numFmtId="0" fontId="36" fillId="0" borderId="0"/>
    <xf numFmtId="0" fontId="16" fillId="69" borderId="0" applyNumberFormat="0" applyBorder="0" applyAlignment="0" applyProtection="0"/>
    <xf numFmtId="0" fontId="36" fillId="0" borderId="0"/>
    <xf numFmtId="0" fontId="36" fillId="69" borderId="0" applyNumberFormat="0" applyBorder="0" applyAlignment="0" applyProtection="0"/>
    <xf numFmtId="0" fontId="36" fillId="0" borderId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81" fontId="51" fillId="20" borderId="0" applyNumberFormat="0" applyBorder="0" applyAlignment="0" applyProtection="0"/>
    <xf numFmtId="181" fontId="36" fillId="53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0" fontId="16" fillId="57" borderId="0" applyNumberFormat="0" applyBorder="0" applyAlignment="0" applyProtection="0"/>
    <xf numFmtId="0" fontId="36" fillId="0" borderId="0"/>
    <xf numFmtId="0" fontId="16" fillId="58" borderId="0" applyNumberFormat="0" applyBorder="0" applyAlignment="0" applyProtection="0"/>
    <xf numFmtId="0" fontId="36" fillId="0" borderId="0"/>
    <xf numFmtId="0" fontId="36" fillId="58" borderId="0" applyNumberFormat="0" applyBorder="0" applyAlignment="0" applyProtection="0"/>
    <xf numFmtId="0" fontId="36" fillId="0" borderId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81" fontId="51" fillId="24" borderId="0" applyNumberFormat="0" applyBorder="0" applyAlignment="0" applyProtection="0"/>
    <xf numFmtId="181" fontId="36" fillId="5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0" fontId="16" fillId="73" borderId="0" applyNumberFormat="0" applyBorder="0" applyAlignment="0" applyProtection="0"/>
    <xf numFmtId="0" fontId="36" fillId="0" borderId="0"/>
    <xf numFmtId="0" fontId="16" fillId="63" borderId="0" applyNumberFormat="0" applyBorder="0" applyAlignment="0" applyProtection="0"/>
    <xf numFmtId="0" fontId="36" fillId="0" borderId="0"/>
    <xf numFmtId="0" fontId="36" fillId="74" borderId="0" applyNumberFormat="0" applyBorder="0" applyAlignment="0" applyProtection="0"/>
    <xf numFmtId="0" fontId="36" fillId="0" borderId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81" fontId="51" fillId="28" borderId="0" applyNumberFormat="0" applyBorder="0" applyAlignment="0" applyProtection="0"/>
    <xf numFmtId="181" fontId="36" fillId="76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0" fontId="57" fillId="0" borderId="0" applyBorder="0"/>
    <xf numFmtId="0" fontId="57" fillId="0" borderId="0" applyBorder="0"/>
    <xf numFmtId="181" fontId="57" fillId="0" borderId="0" applyBorder="0"/>
    <xf numFmtId="205" fontId="58" fillId="0" borderId="13"/>
    <xf numFmtId="0" fontId="59" fillId="0" borderId="0" applyNumberFormat="0" applyFill="0" applyBorder="0" applyAlignment="0">
      <protection locked="0"/>
    </xf>
    <xf numFmtId="0" fontId="60" fillId="0" borderId="0"/>
    <xf numFmtId="0" fontId="60" fillId="0" borderId="0" applyFont="0" applyFill="0" applyBorder="0" applyAlignment="0" applyProtection="0">
      <alignment horizontal="right"/>
    </xf>
    <xf numFmtId="0" fontId="60" fillId="0" borderId="0" applyFont="0" applyFill="0" applyBorder="0" applyAlignment="0" applyProtection="0">
      <alignment horizontal="right"/>
    </xf>
    <xf numFmtId="181" fontId="60" fillId="0" borderId="0" applyFont="0" applyFill="0" applyBorder="0" applyAlignment="0" applyProtection="0">
      <alignment horizontal="right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181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206" fontId="10" fillId="0" borderId="14" applyBorder="0"/>
    <xf numFmtId="0" fontId="36" fillId="0" borderId="0"/>
    <xf numFmtId="0" fontId="53" fillId="8" borderId="0" applyNumberFormat="0" applyBorder="0" applyAlignment="0" applyProtection="0"/>
    <xf numFmtId="0" fontId="36" fillId="0" borderId="0"/>
    <xf numFmtId="0" fontId="53" fillId="12" borderId="0" applyNumberFormat="0" applyBorder="0" applyAlignment="0" applyProtection="0"/>
    <xf numFmtId="0" fontId="36" fillId="0" borderId="0"/>
    <xf numFmtId="0" fontId="53" fillId="16" borderId="0" applyNumberFormat="0" applyBorder="0" applyAlignment="0" applyProtection="0"/>
    <xf numFmtId="0" fontId="36" fillId="0" borderId="0"/>
    <xf numFmtId="0" fontId="53" fillId="20" borderId="0" applyNumberFormat="0" applyBorder="0" applyAlignment="0" applyProtection="0"/>
    <xf numFmtId="0" fontId="36" fillId="0" borderId="0"/>
    <xf numFmtId="0" fontId="53" fillId="24" borderId="0" applyNumberFormat="0" applyBorder="0" applyAlignment="0" applyProtection="0"/>
    <xf numFmtId="0" fontId="16" fillId="47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53" fillId="28" borderId="0" applyNumberFormat="0" applyBorder="0" applyAlignment="0" applyProtection="0"/>
    <xf numFmtId="0" fontId="36" fillId="0" borderId="0"/>
    <xf numFmtId="207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0" fontId="61" fillId="0" borderId="0" applyProtection="0">
      <alignment horizontal="center" vertical="center"/>
    </xf>
    <xf numFmtId="0" fontId="62" fillId="0" borderId="21" applyProtection="0">
      <alignment horizontal="center" vertical="center"/>
    </xf>
    <xf numFmtId="0" fontId="36" fillId="0" borderId="0"/>
    <xf numFmtId="208" fontId="63" fillId="0" borderId="0" applyFont="0" applyFill="0" applyBorder="0" applyAlignment="0" applyProtection="0">
      <alignment horizontal="right"/>
    </xf>
    <xf numFmtId="165" fontId="11" fillId="0" borderId="0"/>
    <xf numFmtId="209" fontId="10" fillId="0" borderId="9" applyFill="0" applyBorder="0" applyAlignment="0"/>
    <xf numFmtId="169" fontId="10" fillId="0" borderId="22" applyFont="0" applyFill="0" applyBorder="0"/>
    <xf numFmtId="210" fontId="10" fillId="0" borderId="22" applyFont="0" applyFill="0" applyBorder="0" applyAlignment="0"/>
    <xf numFmtId="209" fontId="10" fillId="0" borderId="0" applyFill="0" applyBorder="0" applyAlignment="0">
      <protection locked="0"/>
    </xf>
    <xf numFmtId="0" fontId="60" fillId="0" borderId="0">
      <alignment horizontal="center" wrapText="1"/>
      <protection locked="0"/>
    </xf>
    <xf numFmtId="3" fontId="6" fillId="0" borderId="0" applyNumberFormat="0" applyFill="0" applyBorder="0" applyAlignment="0" applyProtection="0"/>
    <xf numFmtId="3" fontId="64" fillId="0" borderId="0" applyNumberFormat="0" applyFill="0" applyBorder="0" applyAlignment="0" applyProtection="0"/>
    <xf numFmtId="0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65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181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66" fillId="0" borderId="23"/>
    <xf numFmtId="0" fontId="36" fillId="0" borderId="0"/>
    <xf numFmtId="0" fontId="36" fillId="0" borderId="0"/>
    <xf numFmtId="0" fontId="36" fillId="0" borderId="0"/>
    <xf numFmtId="10" fontId="18" fillId="0" borderId="0">
      <alignment horizontal="right"/>
    </xf>
    <xf numFmtId="0" fontId="67" fillId="51" borderId="24" applyNumberFormat="0" applyAlignment="0" applyProtection="0"/>
    <xf numFmtId="0" fontId="36" fillId="0" borderId="0"/>
    <xf numFmtId="0" fontId="36" fillId="0" borderId="0"/>
    <xf numFmtId="0" fontId="36" fillId="0" borderId="0"/>
    <xf numFmtId="0" fontId="67" fillId="51" borderId="24" applyNumberFormat="0" applyAlignment="0" applyProtection="0"/>
    <xf numFmtId="211" fontId="10" fillId="0" borderId="0"/>
    <xf numFmtId="0" fontId="36" fillId="0" borderId="0"/>
    <xf numFmtId="37" fontId="21" fillId="0" borderId="0"/>
    <xf numFmtId="9" fontId="28" fillId="0" borderId="0" applyFont="0" applyFill="0" applyBorder="0" applyAlignment="0" applyProtection="0"/>
    <xf numFmtId="0" fontId="36" fillId="0" borderId="0"/>
    <xf numFmtId="0" fontId="68" fillId="0" borderId="0" applyNumberFormat="0" applyFill="0" applyBorder="0" applyAlignment="0" applyProtection="0"/>
    <xf numFmtId="212" fontId="11" fillId="51" borderId="0"/>
    <xf numFmtId="181" fontId="69" fillId="3" borderId="0" applyNumberFormat="0" applyBorder="0" applyAlignment="0" applyProtection="0"/>
    <xf numFmtId="181" fontId="69" fillId="3" borderId="0" applyNumberFormat="0" applyBorder="0" applyAlignment="0" applyProtection="0"/>
    <xf numFmtId="0" fontId="70" fillId="40" borderId="0" applyNumberFormat="0" applyBorder="0" applyAlignment="0" applyProtection="0"/>
    <xf numFmtId="181" fontId="69" fillId="3" borderId="0" applyNumberFormat="0" applyBorder="0" applyAlignment="0" applyProtection="0"/>
    <xf numFmtId="181" fontId="70" fillId="40" borderId="0" applyNumberFormat="0" applyBorder="0" applyAlignment="0" applyProtection="0"/>
    <xf numFmtId="0" fontId="71" fillId="63" borderId="0" applyNumberFormat="0" applyBorder="0" applyAlignment="0" applyProtection="0"/>
    <xf numFmtId="0" fontId="71" fillId="63" borderId="0" applyNumberFormat="0" applyBorder="0" applyAlignment="0" applyProtection="0"/>
    <xf numFmtId="181" fontId="69" fillId="3" borderId="0" applyNumberFormat="0" applyBorder="0" applyAlignment="0" applyProtection="0"/>
    <xf numFmtId="181" fontId="70" fillId="40" borderId="0" applyNumberFormat="0" applyBorder="0" applyAlignment="0" applyProtection="0"/>
    <xf numFmtId="181" fontId="69" fillId="3" borderId="0" applyNumberFormat="0" applyBorder="0" applyAlignment="0" applyProtection="0"/>
    <xf numFmtId="181" fontId="70" fillId="40" borderId="0" applyNumberFormat="0" applyBorder="0" applyAlignment="0" applyProtection="0"/>
    <xf numFmtId="181" fontId="72" fillId="3" borderId="0" applyNumberFormat="0" applyBorder="0" applyAlignment="0" applyProtection="0"/>
    <xf numFmtId="0" fontId="69" fillId="3" borderId="0" applyNumberFormat="0" applyBorder="0" applyAlignment="0" applyProtection="0"/>
    <xf numFmtId="181" fontId="69" fillId="3" borderId="0" applyNumberFormat="0" applyBorder="0" applyAlignment="0" applyProtection="0"/>
    <xf numFmtId="181" fontId="69" fillId="3" borderId="0" applyNumberFormat="0" applyBorder="0" applyAlignment="0" applyProtection="0"/>
    <xf numFmtId="37" fontId="73" fillId="0" borderId="0">
      <alignment horizontal="centerContinuous" wrapText="1"/>
    </xf>
    <xf numFmtId="37" fontId="74" fillId="0" borderId="0">
      <alignment horizontal="centerContinuous" wrapText="1"/>
    </xf>
    <xf numFmtId="0" fontId="75" fillId="51" borderId="25" applyNumberFormat="0" applyAlignment="0" applyProtection="0"/>
    <xf numFmtId="0" fontId="36" fillId="0" borderId="0"/>
    <xf numFmtId="0" fontId="36" fillId="0" borderId="0"/>
    <xf numFmtId="0" fontId="36" fillId="0" borderId="0"/>
    <xf numFmtId="0" fontId="76" fillId="0" borderId="0" applyNumberFormat="0" applyFill="0" applyBorder="0" applyAlignment="0" applyProtection="0">
      <alignment vertical="top"/>
      <protection locked="0"/>
    </xf>
    <xf numFmtId="0" fontId="36" fillId="0" borderId="0"/>
    <xf numFmtId="2" fontId="77" fillId="77" borderId="0" applyAlignment="0">
      <alignment horizontal="right"/>
    </xf>
    <xf numFmtId="213" fontId="12" fillId="0" borderId="9" applyFont="0" applyFill="0" applyBorder="0" applyAlignment="0"/>
    <xf numFmtId="214" fontId="10" fillId="0" borderId="9" applyFont="0" applyFill="0" applyBorder="0" applyAlignment="0"/>
    <xf numFmtId="183" fontId="11" fillId="0" borderId="0" applyFont="0" applyFill="0" applyBorder="0" applyAlignment="0"/>
    <xf numFmtId="0" fontId="36" fillId="0" borderId="0"/>
    <xf numFmtId="213" fontId="11" fillId="0" borderId="9" applyFill="0" applyBorder="0" applyAlignment="0"/>
    <xf numFmtId="174" fontId="11" fillId="0" borderId="0" applyFont="0" applyFill="0" applyBorder="0" applyAlignment="0" applyProtection="0"/>
    <xf numFmtId="179" fontId="11" fillId="0" borderId="0" applyNumberFormat="0" applyFont="0" applyAlignment="0" applyProtection="0"/>
    <xf numFmtId="0" fontId="36" fillId="0" borderId="0"/>
    <xf numFmtId="0" fontId="36" fillId="0" borderId="0"/>
    <xf numFmtId="215" fontId="44" fillId="0" borderId="0" applyFont="0" applyFill="0" applyBorder="0" applyAlignment="0" applyProtection="0"/>
    <xf numFmtId="216" fontId="78" fillId="0" borderId="26"/>
    <xf numFmtId="168" fontId="79" fillId="78" borderId="18" applyNumberFormat="0" applyFont="0" applyBorder="0" applyAlignment="0"/>
    <xf numFmtId="168" fontId="79" fillId="78" borderId="18" applyNumberFormat="0" applyFont="0" applyBorder="0" applyAlignment="0"/>
    <xf numFmtId="168" fontId="79" fillId="78" borderId="18" applyNumberFormat="0" applyFont="0" applyBorder="0" applyAlignment="0"/>
    <xf numFmtId="168" fontId="79" fillId="78" borderId="18" applyNumberFormat="0" applyFont="0" applyBorder="0" applyAlignment="0"/>
    <xf numFmtId="0" fontId="80" fillId="79" borderId="0" applyFont="0" applyAlignment="0"/>
    <xf numFmtId="0" fontId="11" fillId="33" borderId="0">
      <alignment vertical="top"/>
    </xf>
    <xf numFmtId="0" fontId="11" fillId="33" borderId="0">
      <alignment vertical="top"/>
    </xf>
    <xf numFmtId="181" fontId="11" fillId="33" borderId="0">
      <alignment vertical="top"/>
    </xf>
    <xf numFmtId="0" fontId="11" fillId="33" borderId="0">
      <alignment vertical="top"/>
    </xf>
    <xf numFmtId="217" fontId="81" fillId="0" borderId="0" applyNumberFormat="0" applyFill="0" applyBorder="0" applyAlignment="0"/>
    <xf numFmtId="0" fontId="82" fillId="0" borderId="0"/>
    <xf numFmtId="218" fontId="83" fillId="0" borderId="0" applyFill="0" applyBorder="0" applyProtection="0"/>
    <xf numFmtId="164" fontId="84" fillId="0" borderId="11" applyAlignment="0" applyProtection="0"/>
    <xf numFmtId="164" fontId="84" fillId="0" borderId="11" applyAlignment="0" applyProtection="0"/>
    <xf numFmtId="219" fontId="11" fillId="0" borderId="27" applyNumberFormat="0" applyFont="0" applyFill="0" applyAlignment="0" applyProtection="0">
      <alignment horizontal="center"/>
    </xf>
    <xf numFmtId="219" fontId="11" fillId="0" borderId="27" applyNumberFormat="0" applyFont="0" applyFill="0" applyAlignment="0" applyProtection="0">
      <alignment horizontal="center"/>
    </xf>
    <xf numFmtId="179" fontId="85" fillId="0" borderId="9" applyNumberFormat="0" applyFont="0" applyFill="0" applyAlignment="0" applyProtection="0">
      <protection locked="0"/>
    </xf>
    <xf numFmtId="0" fontId="86" fillId="41" borderId="0" applyNumberFormat="0" applyBorder="0" applyAlignment="0" applyProtection="0"/>
    <xf numFmtId="220" fontId="11" fillId="0" borderId="0"/>
    <xf numFmtId="0" fontId="87" fillId="0" borderId="28" applyNumberFormat="0" applyFill="0" applyAlignment="0" applyProtection="0"/>
    <xf numFmtId="0" fontId="88" fillId="0" borderId="29" applyNumberFormat="0" applyFill="0" applyAlignment="0" applyProtection="0"/>
    <xf numFmtId="0" fontId="89" fillId="0" borderId="30" applyNumberFormat="0" applyFill="0" applyAlignment="0" applyProtection="0"/>
    <xf numFmtId="0" fontId="89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181" fontId="90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81" fontId="91" fillId="0" borderId="0" applyNumberFormat="0" applyFill="0" applyBorder="0" applyAlignment="0" applyProtection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222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44" fillId="0" borderId="0" applyFill="0" applyBorder="0" applyAlignment="0"/>
    <xf numFmtId="219" fontId="93" fillId="0" borderId="0" applyFill="0" applyBorder="0" applyAlignment="0"/>
    <xf numFmtId="181" fontId="44" fillId="0" borderId="0" applyFill="0" applyBorder="0" applyAlignment="0"/>
    <xf numFmtId="0" fontId="11" fillId="0" borderId="0" applyFill="0" applyBorder="0" applyAlignment="0"/>
    <xf numFmtId="224" fontId="11" fillId="0" borderId="0" applyFill="0" applyBorder="0" applyAlignment="0"/>
    <xf numFmtId="225" fontId="11" fillId="0" borderId="0" applyFill="0" applyBorder="0" applyAlignment="0"/>
    <xf numFmtId="226" fontId="11" fillId="0" borderId="0" applyFill="0" applyBorder="0" applyAlignment="0"/>
    <xf numFmtId="0" fontId="44" fillId="0" borderId="0" applyFill="0" applyBorder="0" applyAlignment="0"/>
    <xf numFmtId="227" fontId="11" fillId="0" borderId="0" applyFill="0" applyBorder="0" applyAlignment="0"/>
    <xf numFmtId="181" fontId="44" fillId="0" borderId="0" applyFill="0" applyBorder="0" applyAlignment="0"/>
    <xf numFmtId="227" fontId="11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0" fontId="92" fillId="0" borderId="0" applyFill="0" applyBorder="0" applyAlignment="0"/>
    <xf numFmtId="222" fontId="11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229" fontId="11" fillId="0" borderId="0" applyFill="0" applyBorder="0"/>
    <xf numFmtId="230" fontId="11" fillId="0" borderId="0" applyFill="0" applyBorder="0"/>
    <xf numFmtId="9" fontId="11" fillId="0" borderId="0" applyFill="0" applyBorder="0"/>
    <xf numFmtId="0" fontId="75" fillId="51" borderId="25" applyNumberFormat="0" applyAlignment="0" applyProtection="0"/>
    <xf numFmtId="181" fontId="94" fillId="5" borderId="4" applyNumberFormat="0" applyAlignment="0" applyProtection="0"/>
    <xf numFmtId="181" fontId="94" fillId="5" borderId="4" applyNumberFormat="0" applyAlignment="0" applyProtection="0"/>
    <xf numFmtId="0" fontId="75" fillId="51" borderId="25" applyNumberFormat="0" applyAlignment="0" applyProtection="0"/>
    <xf numFmtId="181" fontId="94" fillId="5" borderId="4" applyNumberFormat="0" applyAlignment="0" applyProtection="0"/>
    <xf numFmtId="181" fontId="75" fillId="51" borderId="25" applyNumberFormat="0" applyAlignment="0" applyProtection="0"/>
    <xf numFmtId="0" fontId="95" fillId="80" borderId="25" applyNumberFormat="0" applyAlignment="0" applyProtection="0"/>
    <xf numFmtId="0" fontId="95" fillId="80" borderId="25" applyNumberFormat="0" applyAlignment="0" applyProtection="0"/>
    <xf numFmtId="181" fontId="94" fillId="5" borderId="4" applyNumberFormat="0" applyAlignment="0" applyProtection="0"/>
    <xf numFmtId="181" fontId="75" fillId="51" borderId="25" applyNumberFormat="0" applyAlignment="0" applyProtection="0"/>
    <xf numFmtId="181" fontId="94" fillId="5" borderId="4" applyNumberFormat="0" applyAlignment="0" applyProtection="0"/>
    <xf numFmtId="181" fontId="75" fillId="51" borderId="25" applyNumberFormat="0" applyAlignment="0" applyProtection="0"/>
    <xf numFmtId="181" fontId="96" fillId="5" borderId="4" applyNumberFormat="0" applyAlignment="0" applyProtection="0"/>
    <xf numFmtId="0" fontId="94" fillId="5" borderId="4" applyNumberFormat="0" applyAlignment="0" applyProtection="0"/>
    <xf numFmtId="181" fontId="94" fillId="5" borderId="4" applyNumberFormat="0" applyAlignment="0" applyProtection="0"/>
    <xf numFmtId="181" fontId="94" fillId="5" borderId="4" applyNumberFormat="0" applyAlignment="0" applyProtection="0"/>
    <xf numFmtId="0" fontId="75" fillId="51" borderId="25" applyNumberFormat="0" applyAlignment="0" applyProtection="0"/>
    <xf numFmtId="231" fontId="58" fillId="0" borderId="0"/>
    <xf numFmtId="0" fontId="30" fillId="0" borderId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232" fontId="11" fillId="0" borderId="0" applyNumberFormat="0" applyFill="0" applyBorder="0" applyAlignment="0" applyProtection="0"/>
    <xf numFmtId="232" fontId="11" fillId="0" borderId="0" applyNumberFormat="0" applyFill="0" applyBorder="0" applyAlignment="0" applyProtection="0"/>
    <xf numFmtId="232" fontId="11" fillId="0" borderId="0" applyNumberFormat="0" applyFill="0" applyBorder="0" applyAlignment="0" applyProtection="0"/>
    <xf numFmtId="233" fontId="98" fillId="81" borderId="32" applyNumberFormat="0" applyFont="0" applyFill="0" applyBorder="0" applyAlignment="0">
      <alignment horizontal="center"/>
    </xf>
    <xf numFmtId="0" fontId="99" fillId="0" borderId="0"/>
    <xf numFmtId="0" fontId="99" fillId="0" borderId="0"/>
    <xf numFmtId="181" fontId="99" fillId="0" borderId="0"/>
    <xf numFmtId="0" fontId="100" fillId="82" borderId="33" applyNumberFormat="0" applyAlignment="0" applyProtection="0"/>
    <xf numFmtId="0" fontId="101" fillId="0" borderId="34" applyNumberFormat="0" applyFill="0" applyAlignment="0" applyProtection="0"/>
    <xf numFmtId="0" fontId="43" fillId="0" borderId="35">
      <protection locked="0"/>
    </xf>
    <xf numFmtId="0" fontId="43" fillId="0" borderId="35">
      <protection locked="0"/>
    </xf>
    <xf numFmtId="208" fontId="102" fillId="83" borderId="0"/>
    <xf numFmtId="0" fontId="101" fillId="0" borderId="34" applyNumberFormat="0" applyFill="0" applyAlignment="0" applyProtection="0"/>
    <xf numFmtId="0" fontId="101" fillId="0" borderId="34" applyNumberFormat="0" applyFill="0" applyAlignment="0" applyProtection="0"/>
    <xf numFmtId="0" fontId="103" fillId="0" borderId="36" applyFont="0" applyBorder="0"/>
    <xf numFmtId="0" fontId="103" fillId="0" borderId="36" applyFont="0" applyBorder="0"/>
    <xf numFmtId="38" fontId="11" fillId="0" borderId="0" applyNumberFormat="0" applyFont="0" applyFill="0" applyBorder="0" applyProtection="0">
      <alignment horizontal="centerContinuous"/>
    </xf>
    <xf numFmtId="234" fontId="11" fillId="0" borderId="0">
      <alignment vertical="top"/>
    </xf>
    <xf numFmtId="234" fontId="11" fillId="0" borderId="0">
      <alignment vertical="top"/>
    </xf>
    <xf numFmtId="234" fontId="11" fillId="0" borderId="0">
      <alignment vertical="top"/>
    </xf>
    <xf numFmtId="0" fontId="11" fillId="37" borderId="13"/>
    <xf numFmtId="181" fontId="104" fillId="6" borderId="6" applyNumberFormat="0" applyAlignment="0" applyProtection="0"/>
    <xf numFmtId="181" fontId="104" fillId="6" borderId="6" applyNumberFormat="0" applyAlignment="0" applyProtection="0"/>
    <xf numFmtId="0" fontId="100" fillId="82" borderId="33" applyNumberFormat="0" applyAlignment="0" applyProtection="0"/>
    <xf numFmtId="181" fontId="104" fillId="6" borderId="6" applyNumberFormat="0" applyAlignment="0" applyProtection="0"/>
    <xf numFmtId="181" fontId="100" fillId="82" borderId="33" applyNumberFormat="0" applyAlignment="0" applyProtection="0"/>
    <xf numFmtId="0" fontId="100" fillId="64" borderId="33" applyNumberFormat="0" applyAlignment="0" applyProtection="0"/>
    <xf numFmtId="0" fontId="100" fillId="64" borderId="33" applyNumberFormat="0" applyAlignment="0" applyProtection="0"/>
    <xf numFmtId="181" fontId="104" fillId="6" borderId="6" applyNumberFormat="0" applyAlignment="0" applyProtection="0"/>
    <xf numFmtId="181" fontId="100" fillId="82" borderId="33" applyNumberFormat="0" applyAlignment="0" applyProtection="0"/>
    <xf numFmtId="181" fontId="104" fillId="6" borderId="6" applyNumberFormat="0" applyAlignment="0" applyProtection="0"/>
    <xf numFmtId="181" fontId="100" fillId="82" borderId="33" applyNumberFormat="0" applyAlignment="0" applyProtection="0"/>
    <xf numFmtId="181" fontId="105" fillId="6" borderId="6" applyNumberFormat="0" applyAlignment="0" applyProtection="0"/>
    <xf numFmtId="0" fontId="104" fillId="6" borderId="6" applyNumberFormat="0" applyAlignment="0" applyProtection="0"/>
    <xf numFmtId="181" fontId="104" fillId="6" borderId="6" applyNumberFormat="0" applyAlignment="0" applyProtection="0"/>
    <xf numFmtId="181" fontId="104" fillId="6" borderId="6" applyNumberForma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06" fillId="84" borderId="37" applyFont="0" applyFill="0" applyBorder="0"/>
    <xf numFmtId="235" fontId="107" fillId="0" borderId="10" applyFont="0" applyFill="0" applyBorder="0" applyAlignment="0" applyProtection="0"/>
    <xf numFmtId="236" fontId="59" fillId="0" borderId="0" applyFont="0" applyFill="0" applyBorder="0" applyAlignment="0" applyProtection="0">
      <alignment horizontal="right"/>
    </xf>
    <xf numFmtId="0" fontId="12" fillId="0" borderId="18"/>
    <xf numFmtId="38" fontId="58" fillId="0" borderId="0" applyNumberFormat="0" applyFill="0" applyBorder="0" applyAlignment="0" applyProtection="0">
      <protection locked="0"/>
    </xf>
    <xf numFmtId="38" fontId="108" fillId="0" borderId="0" applyNumberFormat="0" applyFill="0" applyBorder="0" applyAlignment="0" applyProtection="0"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168" fontId="109" fillId="0" borderId="0" applyFont="0" applyFill="0" applyBorder="0" applyAlignment="0" applyProtection="0"/>
    <xf numFmtId="38" fontId="110" fillId="0" borderId="0" applyNumberFormat="0" applyFill="0" applyBorder="0" applyAlignment="0" applyProtection="0">
      <protection locked="0"/>
    </xf>
    <xf numFmtId="0" fontId="12" fillId="79" borderId="9">
      <alignment horizontal="center" vertical="center" wrapText="1"/>
    </xf>
    <xf numFmtId="0" fontId="56" fillId="0" borderId="0">
      <alignment horizontal="center" vertical="center" wrapText="1"/>
    </xf>
    <xf numFmtId="0" fontId="106" fillId="0" borderId="19">
      <alignment horizontal="center"/>
    </xf>
    <xf numFmtId="49" fontId="111" fillId="0" borderId="0">
      <alignment horizontal="center"/>
    </xf>
    <xf numFmtId="0" fontId="112" fillId="0" borderId="12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17" fontId="10" fillId="0" borderId="0"/>
    <xf numFmtId="217" fontId="10" fillId="0" borderId="0" applyFont="0" applyFill="0" applyBorder="0" applyAlignment="0" applyProtection="0">
      <protection locked="0"/>
    </xf>
    <xf numFmtId="40" fontId="10" fillId="0" borderId="0" applyFont="0" applyFill="0" applyBorder="0" applyAlignment="0" applyProtection="0">
      <protection locked="0"/>
    </xf>
    <xf numFmtId="172" fontId="11" fillId="0" borderId="0" applyFont="0" applyFill="0" applyBorder="0" applyAlignment="0" applyProtection="0"/>
    <xf numFmtId="0" fontId="92" fillId="0" borderId="0" applyFont="0" applyFill="0" applyBorder="0" applyAlignment="0" applyProtection="0"/>
    <xf numFmtId="221" fontId="11" fillId="0" borderId="0" applyFont="0" applyFill="0" applyBorder="0" applyAlignment="0" applyProtection="0"/>
    <xf numFmtId="0" fontId="92" fillId="0" borderId="0" applyFont="0" applyFill="0" applyBorder="0" applyAlignment="0" applyProtection="0"/>
    <xf numFmtId="37" fontId="114" fillId="0" borderId="0" applyFont="0" applyFill="0" applyBorder="0" applyAlignment="0" applyProtection="0"/>
    <xf numFmtId="217" fontId="114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7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0" fontId="115" fillId="0" borderId="0" applyFont="0" applyFill="0" applyBorder="0" applyAlignment="0" applyProtection="0"/>
    <xf numFmtId="174" fontId="11" fillId="0" borderId="0" applyFont="0" applyFill="0" applyBorder="0" applyAlignment="0" applyProtection="0"/>
    <xf numFmtId="170" fontId="4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6" fillId="0" borderId="0" applyFont="0" applyFill="0" applyBorder="0" applyAlignment="0" applyProtection="0"/>
    <xf numFmtId="174" fontId="11" fillId="0" borderId="0" applyFont="0" applyFill="0" applyBorder="0" applyAlignment="0" applyProtection="0"/>
    <xf numFmtId="238" fontId="1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6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16" fillId="0" borderId="0" applyFont="0" applyFill="0" applyBorder="0" applyAlignment="0" applyProtection="0"/>
    <xf numFmtId="239" fontId="11" fillId="0" borderId="8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5" fillId="0" borderId="0" applyFont="0" applyFill="0" applyBorder="0" applyAlignment="0" applyProtection="0"/>
    <xf numFmtId="170" fontId="117" fillId="0" borderId="0" applyFont="0" applyFill="0" applyBorder="0" applyAlignment="0" applyProtection="0"/>
    <xf numFmtId="170" fontId="16" fillId="0" borderId="0" applyFont="0" applyFill="0" applyBorder="0" applyAlignment="0" applyProtection="0"/>
    <xf numFmtId="170" fontId="116" fillId="0" borderId="0" applyFont="0" applyFill="0" applyBorder="0" applyAlignment="0" applyProtection="0"/>
    <xf numFmtId="240" fontId="102" fillId="0" borderId="0" applyFont="0" applyFill="0" applyBorder="0" applyAlignment="0" applyProtection="0">
      <alignment horizontal="centerContinuous"/>
      <protection locked="0"/>
    </xf>
    <xf numFmtId="170" fontId="16" fillId="0" borderId="0" applyFont="0" applyFill="0" applyBorder="0" applyAlignment="0" applyProtection="0"/>
    <xf numFmtId="170" fontId="116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6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6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6" fillId="0" borderId="0" applyFont="0" applyFill="0" applyBorder="0" applyAlignment="0" applyProtection="0"/>
    <xf numFmtId="172" fontId="60" fillId="0" borderId="38" applyFont="0" applyFill="0" applyBorder="0" applyAlignment="0" applyProtection="0">
      <alignment horizontal="right"/>
    </xf>
    <xf numFmtId="0" fontId="118" fillId="0" borderId="0" applyNumberFormat="0" applyFill="0" applyBorder="0" applyAlignment="0" applyProtection="0"/>
    <xf numFmtId="0" fontId="119" fillId="0" borderId="0"/>
    <xf numFmtId="0" fontId="119" fillId="0" borderId="0"/>
    <xf numFmtId="181" fontId="119" fillId="0" borderId="0"/>
    <xf numFmtId="0" fontId="13" fillId="0" borderId="0"/>
    <xf numFmtId="0" fontId="13" fillId="0" borderId="0"/>
    <xf numFmtId="181" fontId="13" fillId="0" borderId="0"/>
    <xf numFmtId="0" fontId="120" fillId="0" borderId="0"/>
    <xf numFmtId="3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/>
    <xf numFmtId="0" fontId="119" fillId="0" borderId="0"/>
    <xf numFmtId="181" fontId="119" fillId="0" borderId="0"/>
    <xf numFmtId="223" fontId="11" fillId="0" borderId="0"/>
    <xf numFmtId="0" fontId="120" fillId="0" borderId="0"/>
    <xf numFmtId="0" fontId="120" fillId="0" borderId="0"/>
    <xf numFmtId="0" fontId="13" fillId="0" borderId="0"/>
    <xf numFmtId="0" fontId="13" fillId="0" borderId="0"/>
    <xf numFmtId="181" fontId="13" fillId="0" borderId="0"/>
    <xf numFmtId="0" fontId="11" fillId="46" borderId="39" applyNumberFormat="0" applyFont="0" applyAlignment="0" applyProtection="0"/>
    <xf numFmtId="0" fontId="121" fillId="0" borderId="0">
      <alignment wrapText="1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22" fillId="0" borderId="0">
      <alignment horizontal="left" vertical="center" indent="1"/>
    </xf>
    <xf numFmtId="0" fontId="122" fillId="0" borderId="0">
      <alignment horizontal="left" vertical="center" indent="1"/>
    </xf>
    <xf numFmtId="181" fontId="122" fillId="0" borderId="0">
      <alignment horizontal="left" vertical="center" indent="1"/>
    </xf>
    <xf numFmtId="0" fontId="123" fillId="0" borderId="0" applyNumberFormat="0" applyAlignment="0">
      <alignment horizontal="left"/>
    </xf>
    <xf numFmtId="0" fontId="123" fillId="0" borderId="0" applyNumberFormat="0" applyAlignment="0">
      <alignment horizontal="left"/>
    </xf>
    <xf numFmtId="0" fontId="36" fillId="54" borderId="0" applyNumberFormat="0" applyBorder="0" applyAlignment="0" applyProtection="0"/>
    <xf numFmtId="0" fontId="36" fillId="66" borderId="0" applyNumberFormat="0" applyBorder="0" applyAlignment="0" applyProtection="0"/>
    <xf numFmtId="0" fontId="36" fillId="70" borderId="0" applyNumberFormat="0" applyBorder="0" applyAlignment="0" applyProtection="0"/>
    <xf numFmtId="0" fontId="36" fillId="85" borderId="0" applyNumberFormat="0" applyBorder="0" applyAlignment="0" applyProtection="0"/>
    <xf numFmtId="0" fontId="36" fillId="54" borderId="0" applyNumberFormat="0" applyBorder="0" applyAlignment="0" applyProtection="0"/>
    <xf numFmtId="0" fontId="36" fillId="76" borderId="0" applyNumberFormat="0" applyBorder="0" applyAlignment="0" applyProtection="0"/>
    <xf numFmtId="0" fontId="124" fillId="0" borderId="0">
      <alignment horizontal="left" vertical="center" wrapText="1"/>
    </xf>
    <xf numFmtId="0" fontId="86" fillId="41" borderId="0" applyNumberFormat="0" applyBorder="0" applyAlignment="0" applyProtection="0"/>
    <xf numFmtId="0" fontId="21" fillId="0" borderId="0" applyNumberFormat="0" applyAlignment="0"/>
    <xf numFmtId="0" fontId="21" fillId="0" borderId="0" applyNumberFormat="0" applyAlignment="0"/>
    <xf numFmtId="0" fontId="80" fillId="33" borderId="9">
      <alignment wrapText="1"/>
    </xf>
    <xf numFmtId="0" fontId="99" fillId="0" borderId="40">
      <alignment horizontal="left"/>
    </xf>
    <xf numFmtId="0" fontId="99" fillId="0" borderId="40">
      <alignment horizontal="left"/>
    </xf>
    <xf numFmtId="241" fontId="125" fillId="0" borderId="0"/>
    <xf numFmtId="0" fontId="11" fillId="0" borderId="0"/>
    <xf numFmtId="242" fontId="125" fillId="0" borderId="0"/>
    <xf numFmtId="242" fontId="125" fillId="0" borderId="0"/>
    <xf numFmtId="243" fontId="125" fillId="0" borderId="0"/>
    <xf numFmtId="243" fontId="125" fillId="0" borderId="0"/>
    <xf numFmtId="243" fontId="125" fillId="0" borderId="0"/>
    <xf numFmtId="241" fontId="125" fillId="0" borderId="0"/>
    <xf numFmtId="0" fontId="125" fillId="0" borderId="0"/>
    <xf numFmtId="244" fontId="125" fillId="0" borderId="0"/>
    <xf numFmtId="165" fontId="10" fillId="0" borderId="0" applyFont="0" applyFill="0" applyBorder="0" applyAlignment="0" applyProtection="0">
      <protection locked="0"/>
    </xf>
    <xf numFmtId="0" fontId="11" fillId="0" borderId="0" applyFont="0" applyFill="0" applyBorder="0" applyAlignment="0" applyProtection="0"/>
    <xf numFmtId="166" fontId="10" fillId="0" borderId="0" applyFont="0" applyFill="0" applyBorder="0" applyAlignment="0" applyProtection="0">
      <protection locked="0"/>
    </xf>
    <xf numFmtId="167" fontId="112" fillId="0" borderId="41" applyBorder="0"/>
    <xf numFmtId="0" fontId="92" fillId="0" borderId="0" applyFont="0" applyFill="0" applyBorder="0" applyAlignment="0" applyProtection="0"/>
    <xf numFmtId="223" fontId="93" fillId="0" borderId="0" applyFont="0" applyFill="0" applyBorder="0" applyAlignment="0" applyProtection="0"/>
    <xf numFmtId="181" fontId="92" fillId="0" borderId="0" applyFont="0" applyFill="0" applyBorder="0" applyAlignment="0" applyProtection="0"/>
    <xf numFmtId="166" fontId="126" fillId="0" borderId="0" applyBorder="0"/>
    <xf numFmtId="245" fontId="10" fillId="0" borderId="22" applyFont="0" applyFill="0" applyBorder="0" applyAlignment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246" fontId="11" fillId="0" borderId="0" applyFont="0" applyFill="0" applyBorder="0" applyAlignment="0" applyProtection="0"/>
    <xf numFmtId="169" fontId="127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69" fontId="128" fillId="0" borderId="0" applyFont="0" applyFill="0" applyBorder="0" applyAlignment="0" applyProtection="0"/>
    <xf numFmtId="169" fontId="128" fillId="0" borderId="0" applyFont="0" applyFill="0" applyBorder="0" applyAlignment="0" applyProtection="0"/>
    <xf numFmtId="169" fontId="4" fillId="0" borderId="0" applyFont="0" applyFill="0" applyBorder="0" applyAlignment="0" applyProtection="0"/>
    <xf numFmtId="247" fontId="129" fillId="0" borderId="0" applyFont="0" applyFill="0" applyBorder="0" applyAlignment="0" applyProtection="0">
      <alignment vertical="center"/>
    </xf>
    <xf numFmtId="169" fontId="11" fillId="0" borderId="0" applyFont="0" applyFill="0" applyBorder="0" applyAlignment="0" applyProtection="0"/>
    <xf numFmtId="173" fontId="4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25" fillId="0" borderId="0"/>
    <xf numFmtId="244" fontId="125" fillId="0" borderId="0"/>
    <xf numFmtId="248" fontId="13" fillId="0" borderId="0">
      <protection locked="0"/>
    </xf>
    <xf numFmtId="0" fontId="118" fillId="0" borderId="0" applyNumberFormat="0" applyFill="0" applyBorder="0" applyAlignment="0" applyProtection="0"/>
    <xf numFmtId="180" fontId="11" fillId="0" borderId="0" applyFont="0" applyFill="0" applyBorder="0" applyAlignment="0" applyProtection="0"/>
    <xf numFmtId="172" fontId="11" fillId="33" borderId="0" applyFont="0" applyBorder="0"/>
    <xf numFmtId="0" fontId="130" fillId="0" borderId="0">
      <protection locked="0"/>
    </xf>
    <xf numFmtId="3" fontId="131" fillId="0" borderId="42" applyAlignment="0">
      <alignment horizontal="right" vertical="center"/>
    </xf>
    <xf numFmtId="179" fontId="132" fillId="0" borderId="0" applyNumberFormat="0" applyFill="0" applyBorder="0" applyAlignment="0">
      <protection locked="0"/>
    </xf>
    <xf numFmtId="249" fontId="131" fillId="0" borderId="42">
      <alignment horizontal="right" vertical="center"/>
    </xf>
    <xf numFmtId="49" fontId="133" fillId="0" borderId="42">
      <alignment horizontal="left" vertical="center"/>
    </xf>
    <xf numFmtId="0" fontId="130" fillId="0" borderId="0">
      <protection locked="0"/>
    </xf>
    <xf numFmtId="250" fontId="13" fillId="0" borderId="42">
      <alignment horizontal="right"/>
    </xf>
    <xf numFmtId="0" fontId="43" fillId="0" borderId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0" fontId="43" fillId="0" borderId="0">
      <protection locked="0"/>
    </xf>
    <xf numFmtId="0" fontId="134" fillId="0" borderId="0" applyFont="0" applyFill="0" applyBorder="0" applyAlignment="0" applyProtection="0"/>
    <xf numFmtId="14" fontId="135" fillId="0" borderId="0" applyFill="0" applyBorder="0" applyAlignment="0"/>
    <xf numFmtId="14" fontId="135" fillId="0" borderId="0" applyFill="0" applyBorder="0" applyAlignment="0"/>
    <xf numFmtId="18" fontId="135" fillId="0" borderId="0" applyFill="0" applyBorder="0" applyAlignment="0"/>
    <xf numFmtId="0" fontId="43" fillId="0" borderId="0">
      <protection locked="0"/>
    </xf>
    <xf numFmtId="0" fontId="44" fillId="0" borderId="0"/>
    <xf numFmtId="0" fontId="44" fillId="0" borderId="0"/>
    <xf numFmtId="181" fontId="44" fillId="0" borderId="0"/>
    <xf numFmtId="251" fontId="11" fillId="0" borderId="0" applyFont="0" applyFill="0" applyBorder="0" applyProtection="0">
      <alignment horizontal="left"/>
    </xf>
    <xf numFmtId="180" fontId="11" fillId="0" borderId="11"/>
    <xf numFmtId="252" fontId="12" fillId="0" borderId="11"/>
    <xf numFmtId="180" fontId="11" fillId="0" borderId="11"/>
    <xf numFmtId="253" fontId="11" fillId="0" borderId="0" applyFont="0" applyFill="0" applyBorder="0" applyAlignment="0" applyProtection="0"/>
    <xf numFmtId="0" fontId="136" fillId="0" borderId="0"/>
    <xf numFmtId="4" fontId="63" fillId="0" borderId="0" applyFont="0" applyFill="0" applyBorder="0" applyAlignment="0" applyProtection="0">
      <alignment horizontal="right"/>
    </xf>
    <xf numFmtId="179" fontId="137" fillId="0" borderId="0" applyFont="0" applyFill="0" applyBorder="0" applyAlignment="0" applyProtection="0">
      <protection locked="0"/>
    </xf>
    <xf numFmtId="39" fontId="13" fillId="0" borderId="0" applyFont="0" applyFill="0" applyBorder="0" applyAlignment="0" applyProtection="0"/>
    <xf numFmtId="254" fontId="60" fillId="0" borderId="0" applyFont="0" applyFill="0" applyBorder="0" applyAlignment="0"/>
    <xf numFmtId="192" fontId="11" fillId="0" borderId="0" applyFont="0" applyFill="0" applyBorder="0" applyProtection="0">
      <alignment horizontal="right"/>
    </xf>
    <xf numFmtId="192" fontId="11" fillId="0" borderId="0" applyFont="0" applyFill="0" applyBorder="0" applyProtection="0">
      <alignment horizontal="right"/>
    </xf>
    <xf numFmtId="4" fontId="11" fillId="0" borderId="0" applyFont="0" applyFill="0" applyBorder="0" applyProtection="0">
      <alignment horizontal="right"/>
    </xf>
    <xf numFmtId="4" fontId="11" fillId="0" borderId="0" applyFont="0" applyFill="0" applyBorder="0" applyProtection="0">
      <alignment horizontal="right"/>
    </xf>
    <xf numFmtId="255" fontId="11" fillId="0" borderId="0" applyFont="0" applyFill="0" applyBorder="0" applyProtection="0">
      <alignment horizontal="right"/>
    </xf>
    <xf numFmtId="255" fontId="11" fillId="0" borderId="0" applyFont="0" applyFill="0" applyBorder="0" applyProtection="0">
      <alignment horizontal="right"/>
    </xf>
    <xf numFmtId="38" fontId="44" fillId="0" borderId="43">
      <alignment vertical="center"/>
    </xf>
    <xf numFmtId="256" fontId="11" fillId="0" borderId="43">
      <alignment vertical="center"/>
    </xf>
    <xf numFmtId="256" fontId="11" fillId="0" borderId="43">
      <alignment vertical="center"/>
    </xf>
    <xf numFmtId="0" fontId="11" fillId="0" borderId="0" applyNumberFormat="0" applyFont="0" applyBorder="0" applyAlignment="0"/>
    <xf numFmtId="172" fontId="11" fillId="0" borderId="0" applyFont="0" applyFill="0" applyBorder="0" applyAlignment="0" applyProtection="0"/>
    <xf numFmtId="170" fontId="16" fillId="0" borderId="0" applyFont="0" applyFill="0" applyBorder="0" applyAlignment="0" applyProtection="0"/>
    <xf numFmtId="170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0" fontId="130" fillId="0" borderId="0">
      <protection locked="0"/>
    </xf>
    <xf numFmtId="0" fontId="130" fillId="0" borderId="0">
      <protection locked="0"/>
    </xf>
    <xf numFmtId="9" fontId="112" fillId="33" borderId="0" applyFill="0" applyBorder="0" applyAlignment="0">
      <alignment horizontal="center"/>
    </xf>
    <xf numFmtId="257" fontId="11" fillId="0" borderId="0"/>
    <xf numFmtId="257" fontId="11" fillId="0" borderId="0"/>
    <xf numFmtId="258" fontId="138" fillId="0" borderId="0">
      <alignment vertical="center"/>
    </xf>
    <xf numFmtId="259" fontId="139" fillId="0" borderId="0">
      <alignment horizontal="right" vertical="center"/>
    </xf>
    <xf numFmtId="257" fontId="11" fillId="0" borderId="0"/>
    <xf numFmtId="260" fontId="11" fillId="0" borderId="0" applyFont="0" applyFill="0" applyBorder="0" applyAlignment="0" applyProtection="0"/>
    <xf numFmtId="261" fontId="11" fillId="0" borderId="0" applyFont="0" applyFill="0" applyBorder="0" applyAlignment="0" applyProtection="0"/>
    <xf numFmtId="26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263" fontId="11" fillId="0" borderId="0" applyFont="0" applyFill="0" applyBorder="0" applyAlignment="0" applyProtection="0"/>
    <xf numFmtId="264" fontId="11" fillId="0" borderId="0" applyFont="0" applyFill="0" applyBorder="0" applyAlignment="0" applyProtection="0"/>
    <xf numFmtId="265" fontId="11" fillId="0" borderId="0" applyFont="0" applyFill="0" applyBorder="0" applyAlignment="0" applyProtection="0"/>
    <xf numFmtId="266" fontId="25" fillId="0" borderId="0" applyFont="0" applyFill="0" applyBorder="0" applyAlignment="0" applyProtection="0"/>
    <xf numFmtId="267" fontId="25" fillId="0" borderId="0" applyFont="0" applyFill="0" applyBorder="0" applyAlignment="0" applyProtection="0"/>
    <xf numFmtId="40" fontId="44" fillId="0" borderId="0" applyFont="0" applyFill="0" applyBorder="0" applyAlignment="0" applyProtection="0"/>
    <xf numFmtId="0" fontId="140" fillId="44" borderId="25" applyNumberFormat="0" applyAlignment="0" applyProtection="0"/>
    <xf numFmtId="268" fontId="116" fillId="0" borderId="0"/>
    <xf numFmtId="0" fontId="141" fillId="86" borderId="0" applyNumberFormat="0" applyBorder="0" applyAlignment="0" applyProtection="0"/>
    <xf numFmtId="0" fontId="141" fillId="87" borderId="0" applyNumberFormat="0" applyBorder="0" applyAlignment="0" applyProtection="0"/>
    <xf numFmtId="0" fontId="141" fillId="88" borderId="0" applyNumberFormat="0" applyBorder="0" applyAlignment="0" applyProtection="0"/>
    <xf numFmtId="232" fontId="11" fillId="0" borderId="0">
      <protection locked="0"/>
    </xf>
    <xf numFmtId="232" fontId="11" fillId="0" borderId="0">
      <protection locked="0"/>
    </xf>
    <xf numFmtId="232" fontId="11" fillId="0" borderId="0">
      <protection locked="0"/>
    </xf>
    <xf numFmtId="232" fontId="11" fillId="0" borderId="0">
      <protection locked="0"/>
    </xf>
    <xf numFmtId="0" fontId="142" fillId="0" borderId="0" applyNumberFormat="0" applyFill="0" applyBorder="0" applyAlignment="0" applyProtection="0"/>
    <xf numFmtId="0" fontId="36" fillId="61" borderId="0" applyNumberFormat="0" applyBorder="0" applyAlignment="0" applyProtection="0"/>
    <xf numFmtId="0" fontId="36" fillId="66" borderId="0" applyNumberFormat="0" applyBorder="0" applyAlignment="0" applyProtection="0"/>
    <xf numFmtId="0" fontId="36" fillId="70" borderId="0" applyNumberFormat="0" applyBorder="0" applyAlignment="0" applyProtection="0"/>
    <xf numFmtId="0" fontId="36" fillId="53" borderId="0" applyNumberFormat="0" applyBorder="0" applyAlignment="0" applyProtection="0"/>
    <xf numFmtId="0" fontId="36" fillId="54" borderId="0" applyNumberFormat="0" applyBorder="0" applyAlignment="0" applyProtection="0"/>
    <xf numFmtId="0" fontId="36" fillId="76" borderId="0" applyNumberFormat="0" applyBorder="0" applyAlignment="0" applyProtection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25" fillId="0" borderId="0" applyNumberFormat="0" applyAlignment="0">
      <alignment horizontal="left"/>
    </xf>
    <xf numFmtId="0" fontId="143" fillId="0" borderId="0" applyNumberFormat="0" applyAlignment="0">
      <alignment horizontal="left"/>
    </xf>
    <xf numFmtId="0" fontId="140" fillId="44" borderId="25" applyNumberFormat="0" applyAlignment="0" applyProtection="0"/>
    <xf numFmtId="0" fontId="140" fillId="44" borderId="25" applyNumberFormat="0" applyAlignment="0" applyProtection="0"/>
    <xf numFmtId="0" fontId="141" fillId="0" borderId="44" applyNumberFormat="0" applyFill="0" applyAlignment="0" applyProtection="0"/>
    <xf numFmtId="0" fontId="144" fillId="0" borderId="0" applyNumberFormat="0" applyFill="0" applyBorder="0" applyAlignment="0" applyProtection="0"/>
    <xf numFmtId="49" fontId="107" fillId="89" borderId="0">
      <alignment horizontal="left"/>
      <protection locked="0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45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4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4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4" fillId="0" borderId="0" applyNumberFormat="0" applyFill="0" applyBorder="0" applyAlignment="0" applyProtection="0"/>
    <xf numFmtId="181" fontId="146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38" fontId="147" fillId="0" borderId="45" applyFill="0" applyBorder="0" applyProtection="0">
      <protection locked="0"/>
    </xf>
    <xf numFmtId="269" fontId="148" fillId="0" borderId="0" applyFill="0" applyBorder="0"/>
    <xf numFmtId="15" fontId="135" fillId="0" borderId="0" applyFill="0" applyBorder="0" applyProtection="0">
      <alignment horizontal="center"/>
    </xf>
    <xf numFmtId="270" fontId="80" fillId="51" borderId="46" applyAlignment="0" applyProtection="0"/>
    <xf numFmtId="183" fontId="149" fillId="0" borderId="0" applyNumberFormat="0" applyFill="0" applyBorder="0" applyAlignment="0" applyProtection="0"/>
    <xf numFmtId="183" fontId="37" fillId="0" borderId="0" applyNumberFormat="0" applyFill="0" applyBorder="0" applyAlignment="0" applyProtection="0"/>
    <xf numFmtId="15" fontId="59" fillId="56" borderId="47">
      <alignment horizontal="center"/>
      <protection locked="0"/>
    </xf>
    <xf numFmtId="271" fontId="150" fillId="81" borderId="47" applyAlignment="0">
      <protection locked="0"/>
    </xf>
    <xf numFmtId="272" fontId="150" fillId="81" borderId="47" applyAlignment="0">
      <protection locked="0"/>
    </xf>
    <xf numFmtId="273" fontId="151" fillId="0" borderId="0" applyFill="0" applyBorder="0" applyAlignment="0" applyProtection="0"/>
    <xf numFmtId="271" fontId="151" fillId="0" borderId="0" applyFill="0" applyBorder="0" applyAlignment="0" applyProtection="0"/>
    <xf numFmtId="274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170" fontId="11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152" fillId="0" borderId="0" applyFont="0" applyFill="0" applyBorder="0" applyAlignment="0" applyProtection="0"/>
    <xf numFmtId="0" fontId="152" fillId="0" borderId="0" applyFont="0" applyFill="0" applyBorder="0" applyAlignment="0" applyProtection="0"/>
    <xf numFmtId="181" fontId="152" fillId="0" borderId="0" applyFont="0" applyFill="0" applyBorder="0" applyAlignment="0" applyProtection="0"/>
    <xf numFmtId="0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181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275" fontId="11" fillId="0" borderId="0">
      <protection locked="0"/>
    </xf>
    <xf numFmtId="2" fontId="152" fillId="0" borderId="0" applyFont="0" applyFill="0" applyBorder="0" applyAlignment="0" applyProtection="0"/>
    <xf numFmtId="2" fontId="152" fillId="0" borderId="0" applyFont="0" applyFill="0" applyBorder="0" applyAlignment="0" applyProtection="0"/>
    <xf numFmtId="276" fontId="99" fillId="0" borderId="0" applyFont="0" applyFill="0" applyBorder="0" applyProtection="0">
      <alignment horizontal="center"/>
    </xf>
    <xf numFmtId="179" fontId="153" fillId="33" borderId="0">
      <protection locked="0"/>
    </xf>
    <xf numFmtId="37" fontId="153" fillId="33" borderId="0">
      <protection locked="0"/>
    </xf>
    <xf numFmtId="181" fontId="153" fillId="33" borderId="0">
      <protection locked="0"/>
    </xf>
    <xf numFmtId="262" fontId="153" fillId="33" borderId="0">
      <protection locked="0"/>
    </xf>
    <xf numFmtId="37" fontId="11" fillId="33" borderId="0">
      <protection locked="0"/>
    </xf>
    <xf numFmtId="277" fontId="11" fillId="0" borderId="0">
      <protection locked="0"/>
    </xf>
    <xf numFmtId="277" fontId="11" fillId="0" borderId="0">
      <protection locked="0"/>
    </xf>
    <xf numFmtId="0" fontId="12" fillId="0" borderId="0"/>
    <xf numFmtId="275" fontId="11" fillId="0" borderId="0">
      <protection locked="0"/>
    </xf>
    <xf numFmtId="275" fontId="11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223" fontId="11" fillId="0" borderId="0"/>
    <xf numFmtId="223" fontId="11" fillId="0" borderId="0"/>
    <xf numFmtId="4" fontId="154" fillId="0" borderId="0" applyFont="0" applyFill="0" applyBorder="0">
      <alignment horizontal="right"/>
      <protection locked="0"/>
    </xf>
    <xf numFmtId="0" fontId="60" fillId="0" borderId="0" applyFill="0" applyBorder="0" applyProtection="0">
      <alignment horizontal="left"/>
    </xf>
    <xf numFmtId="0" fontId="60" fillId="0" borderId="0" applyFill="0" applyBorder="0" applyProtection="0">
      <alignment horizontal="left"/>
    </xf>
    <xf numFmtId="0" fontId="155" fillId="89" borderId="0">
      <alignment horizontal="right"/>
    </xf>
    <xf numFmtId="37" fontId="92" fillId="0" borderId="0" applyNumberFormat="0" applyFill="0" applyBorder="0" applyAlignment="0" applyProtection="0"/>
    <xf numFmtId="181" fontId="92" fillId="0" borderId="0" applyNumberFormat="0" applyFill="0" applyBorder="0" applyAlignment="0" applyProtection="0"/>
    <xf numFmtId="262" fontId="92" fillId="0" borderId="0" applyNumberFormat="0" applyFill="0" applyBorder="0" applyAlignment="0" applyProtection="0"/>
    <xf numFmtId="168" fontId="139" fillId="56" borderId="0" applyNumberFormat="0" applyFont="0">
      <protection locked="0"/>
    </xf>
    <xf numFmtId="0" fontId="11" fillId="0" borderId="0"/>
    <xf numFmtId="0" fontId="11" fillId="0" borderId="0"/>
    <xf numFmtId="0" fontId="11" fillId="0" borderId="0"/>
    <xf numFmtId="181" fontId="11" fillId="0" borderId="0"/>
    <xf numFmtId="183" fontId="11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81" fontId="156" fillId="2" borderId="0" applyNumberFormat="0" applyBorder="0" applyAlignment="0" applyProtection="0"/>
    <xf numFmtId="181" fontId="156" fillId="2" borderId="0" applyNumberFormat="0" applyBorder="0" applyAlignment="0" applyProtection="0"/>
    <xf numFmtId="0" fontId="86" fillId="41" borderId="0" applyNumberFormat="0" applyBorder="0" applyAlignment="0" applyProtection="0"/>
    <xf numFmtId="181" fontId="156" fillId="2" borderId="0" applyNumberFormat="0" applyBorder="0" applyAlignment="0" applyProtection="0"/>
    <xf numFmtId="181" fontId="86" fillId="41" borderId="0" applyNumberFormat="0" applyBorder="0" applyAlignment="0" applyProtection="0"/>
    <xf numFmtId="0" fontId="86" fillId="91" borderId="0" applyNumberFormat="0" applyBorder="0" applyAlignment="0" applyProtection="0"/>
    <xf numFmtId="0" fontId="86" fillId="91" borderId="0" applyNumberFormat="0" applyBorder="0" applyAlignment="0" applyProtection="0"/>
    <xf numFmtId="181" fontId="156" fillId="2" borderId="0" applyNumberFormat="0" applyBorder="0" applyAlignment="0" applyProtection="0"/>
    <xf numFmtId="181" fontId="86" fillId="41" borderId="0" applyNumberFormat="0" applyBorder="0" applyAlignment="0" applyProtection="0"/>
    <xf numFmtId="181" fontId="156" fillId="2" borderId="0" applyNumberFormat="0" applyBorder="0" applyAlignment="0" applyProtection="0"/>
    <xf numFmtId="181" fontId="86" fillId="41" borderId="0" applyNumberFormat="0" applyBorder="0" applyAlignment="0" applyProtection="0"/>
    <xf numFmtId="181" fontId="157" fillId="2" borderId="0" applyNumberFormat="0" applyBorder="0" applyAlignment="0" applyProtection="0"/>
    <xf numFmtId="0" fontId="156" fillId="2" borderId="0" applyNumberFormat="0" applyBorder="0" applyAlignment="0" applyProtection="0"/>
    <xf numFmtId="181" fontId="156" fillId="2" borderId="0" applyNumberFormat="0" applyBorder="0" applyAlignment="0" applyProtection="0"/>
    <xf numFmtId="181" fontId="156" fillId="2" borderId="0" applyNumberFormat="0" applyBorder="0" applyAlignment="0" applyProtection="0"/>
    <xf numFmtId="38" fontId="12" fillId="33" borderId="0" applyNumberFormat="0" applyBorder="0" applyAlignment="0" applyProtection="0"/>
    <xf numFmtId="38" fontId="12" fillId="33" borderId="0" applyNumberFormat="0" applyBorder="0" applyAlignment="0" applyProtection="0"/>
    <xf numFmtId="181" fontId="12" fillId="33" borderId="0" applyNumberFormat="0" applyBorder="0" applyAlignment="0" applyProtection="0"/>
    <xf numFmtId="0" fontId="11" fillId="92" borderId="13"/>
    <xf numFmtId="0" fontId="157" fillId="2" borderId="0" applyNumberFormat="0" applyBorder="0" applyAlignment="0" applyProtection="0"/>
    <xf numFmtId="172" fontId="9" fillId="0" borderId="0" applyFont="0" applyFill="0" applyBorder="0" applyAlignment="0" applyProtection="0"/>
    <xf numFmtId="278" fontId="106" fillId="37" borderId="9" applyNumberFormat="0" applyFont="0" applyAlignment="0"/>
    <xf numFmtId="0" fontId="158" fillId="93" borderId="0"/>
    <xf numFmtId="0" fontId="158" fillId="94" borderId="0"/>
    <xf numFmtId="0" fontId="158" fillId="93" borderId="0"/>
    <xf numFmtId="0" fontId="124" fillId="0" borderId="0">
      <alignment horizontal="left"/>
    </xf>
    <xf numFmtId="0" fontId="124" fillId="0" borderId="0">
      <alignment horizontal="left"/>
    </xf>
    <xf numFmtId="181" fontId="124" fillId="0" borderId="0">
      <alignment horizontal="left"/>
    </xf>
    <xf numFmtId="0" fontId="80" fillId="0" borderId="49" applyNumberFormat="0" applyAlignment="0" applyProtection="0">
      <alignment horizontal="left" vertical="center"/>
    </xf>
    <xf numFmtId="0" fontId="25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16">
      <alignment horizontal="left" vertical="center"/>
    </xf>
    <xf numFmtId="0" fontId="25" fillId="0" borderId="16">
      <alignment horizontal="left" vertical="center"/>
    </xf>
    <xf numFmtId="181" fontId="80" fillId="0" borderId="16">
      <alignment horizontal="left" vertical="center"/>
    </xf>
    <xf numFmtId="0" fontId="102" fillId="77" borderId="50">
      <alignment vertical="top" wrapText="1"/>
    </xf>
    <xf numFmtId="181" fontId="159" fillId="0" borderId="1" applyNumberFormat="0" applyFill="0" applyAlignment="0" applyProtection="0"/>
    <xf numFmtId="0" fontId="160" fillId="0" borderId="51" applyNumberFormat="0" applyFill="0" applyAlignment="0" applyProtection="0"/>
    <xf numFmtId="181" fontId="160" fillId="0" borderId="51" applyNumberFormat="0" applyFill="0" applyAlignment="0" applyProtection="0"/>
    <xf numFmtId="0" fontId="87" fillId="0" borderId="52" applyNumberFormat="0" applyFill="0" applyAlignment="0" applyProtection="0"/>
    <xf numFmtId="0" fontId="87" fillId="0" borderId="52" applyNumberFormat="0" applyFill="0" applyAlignment="0" applyProtection="0"/>
    <xf numFmtId="181" fontId="160" fillId="0" borderId="51" applyNumberFormat="0" applyFill="0" applyAlignment="0" applyProtection="0"/>
    <xf numFmtId="181" fontId="160" fillId="0" borderId="51" applyNumberFormat="0" applyFill="0" applyAlignment="0" applyProtection="0"/>
    <xf numFmtId="0" fontId="159" fillId="0" borderId="1" applyNumberFormat="0" applyFill="0" applyAlignment="0" applyProtection="0"/>
    <xf numFmtId="181" fontId="159" fillId="0" borderId="1" applyNumberFormat="0" applyFill="0" applyAlignment="0" applyProtection="0"/>
    <xf numFmtId="181" fontId="159" fillId="0" borderId="1" applyNumberFormat="0" applyFill="0" applyAlignment="0" applyProtection="0"/>
    <xf numFmtId="181" fontId="159" fillId="0" borderId="1" applyNumberFormat="0" applyFill="0" applyAlignment="0" applyProtection="0"/>
    <xf numFmtId="181" fontId="161" fillId="0" borderId="2" applyNumberFormat="0" applyFill="0" applyAlignment="0" applyProtection="0"/>
    <xf numFmtId="0" fontId="162" fillId="0" borderId="29" applyNumberFormat="0" applyFill="0" applyAlignment="0" applyProtection="0"/>
    <xf numFmtId="181" fontId="162" fillId="0" borderId="29" applyNumberFormat="0" applyFill="0" applyAlignment="0" applyProtection="0"/>
    <xf numFmtId="0" fontId="88" fillId="0" borderId="29" applyNumberFormat="0" applyFill="0" applyAlignment="0" applyProtection="0"/>
    <xf numFmtId="0" fontId="88" fillId="0" borderId="29" applyNumberFormat="0" applyFill="0" applyAlignment="0" applyProtection="0"/>
    <xf numFmtId="181" fontId="162" fillId="0" borderId="29" applyNumberFormat="0" applyFill="0" applyAlignment="0" applyProtection="0"/>
    <xf numFmtId="181" fontId="162" fillId="0" borderId="29" applyNumberFormat="0" applyFill="0" applyAlignment="0" applyProtection="0"/>
    <xf numFmtId="0" fontId="161" fillId="0" borderId="2" applyNumberFormat="0" applyFill="0" applyAlignment="0" applyProtection="0"/>
    <xf numFmtId="181" fontId="161" fillId="0" borderId="2" applyNumberFormat="0" applyFill="0" applyAlignment="0" applyProtection="0"/>
    <xf numFmtId="181" fontId="161" fillId="0" borderId="2" applyNumberFormat="0" applyFill="0" applyAlignment="0" applyProtection="0"/>
    <xf numFmtId="181" fontId="161" fillId="0" borderId="2" applyNumberFormat="0" applyFill="0" applyAlignment="0" applyProtection="0"/>
    <xf numFmtId="181" fontId="163" fillId="0" borderId="3" applyNumberFormat="0" applyFill="0" applyAlignment="0" applyProtection="0"/>
    <xf numFmtId="0" fontId="142" fillId="0" borderId="53" applyNumberFormat="0" applyFill="0" applyAlignment="0" applyProtection="0"/>
    <xf numFmtId="181" fontId="142" fillId="0" borderId="53" applyNumberFormat="0" applyFill="0" applyAlignment="0" applyProtection="0"/>
    <xf numFmtId="0" fontId="89" fillId="0" borderId="54" applyNumberFormat="0" applyFill="0" applyAlignment="0" applyProtection="0"/>
    <xf numFmtId="0" fontId="89" fillId="0" borderId="54" applyNumberFormat="0" applyFill="0" applyAlignment="0" applyProtection="0"/>
    <xf numFmtId="181" fontId="142" fillId="0" borderId="53" applyNumberFormat="0" applyFill="0" applyAlignment="0" applyProtection="0"/>
    <xf numFmtId="181" fontId="142" fillId="0" borderId="53" applyNumberFormat="0" applyFill="0" applyAlignment="0" applyProtection="0"/>
    <xf numFmtId="0" fontId="163" fillId="0" borderId="3" applyNumberFormat="0" applyFill="0" applyAlignment="0" applyProtection="0"/>
    <xf numFmtId="181" fontId="163" fillId="0" borderId="3" applyNumberFormat="0" applyFill="0" applyAlignment="0" applyProtection="0"/>
    <xf numFmtId="181" fontId="163" fillId="0" borderId="3" applyNumberFormat="0" applyFill="0" applyAlignment="0" applyProtection="0"/>
    <xf numFmtId="181" fontId="163" fillId="0" borderId="3" applyNumberFormat="0" applyFill="0" applyAlignment="0" applyProtection="0"/>
    <xf numFmtId="181" fontId="163" fillId="0" borderId="0" applyNumberFormat="0" applyFill="0" applyBorder="0" applyAlignment="0" applyProtection="0"/>
    <xf numFmtId="0" fontId="142" fillId="0" borderId="0" applyNumberFormat="0" applyFill="0" applyBorder="0" applyAlignment="0" applyProtection="0"/>
    <xf numFmtId="181" fontId="142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181" fontId="142" fillId="0" borderId="0" applyNumberFormat="0" applyFill="0" applyBorder="0" applyAlignment="0" applyProtection="0"/>
    <xf numFmtId="181" fontId="142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181" fontId="163" fillId="0" borderId="0" applyNumberFormat="0" applyFill="0" applyBorder="0" applyAlignment="0" applyProtection="0"/>
    <xf numFmtId="181" fontId="163" fillId="0" borderId="0" applyNumberFormat="0" applyFill="0" applyBorder="0" applyAlignment="0" applyProtection="0"/>
    <xf numFmtId="181" fontId="163" fillId="0" borderId="0" applyNumberFormat="0" applyFill="0" applyBorder="0" applyAlignment="0" applyProtection="0"/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64" fillId="33" borderId="0">
      <alignment vertical="top"/>
    </xf>
    <xf numFmtId="0" fontId="165" fillId="0" borderId="0">
      <protection locked="0"/>
    </xf>
    <xf numFmtId="0" fontId="165" fillId="0" borderId="0">
      <protection locked="0"/>
    </xf>
    <xf numFmtId="181" fontId="165" fillId="0" borderId="0">
      <protection locked="0"/>
    </xf>
    <xf numFmtId="0" fontId="166" fillId="33" borderId="0">
      <alignment vertical="top"/>
    </xf>
    <xf numFmtId="0" fontId="165" fillId="0" borderId="0">
      <protection locked="0"/>
    </xf>
    <xf numFmtId="0" fontId="165" fillId="0" borderId="0">
      <protection locked="0"/>
    </xf>
    <xf numFmtId="181" fontId="165" fillId="0" borderId="0">
      <protection locked="0"/>
    </xf>
    <xf numFmtId="0" fontId="11" fillId="33" borderId="0">
      <alignment vertical="top"/>
    </xf>
    <xf numFmtId="0" fontId="11" fillId="33" borderId="0">
      <alignment vertical="top"/>
    </xf>
    <xf numFmtId="0" fontId="11" fillId="33" borderId="0">
      <alignment vertical="top"/>
    </xf>
    <xf numFmtId="181" fontId="11" fillId="33" borderId="0">
      <alignment vertical="top"/>
    </xf>
    <xf numFmtId="0" fontId="92" fillId="33" borderId="0">
      <alignment vertical="top"/>
    </xf>
    <xf numFmtId="0" fontId="92" fillId="33" borderId="0">
      <alignment vertical="top"/>
    </xf>
    <xf numFmtId="181" fontId="92" fillId="33" borderId="0">
      <alignment vertical="top"/>
    </xf>
    <xf numFmtId="0" fontId="82" fillId="0" borderId="27">
      <alignment horizontal="center"/>
    </xf>
    <xf numFmtId="0" fontId="82" fillId="0" borderId="0">
      <alignment horizontal="center"/>
    </xf>
    <xf numFmtId="0" fontId="25" fillId="95" borderId="0"/>
    <xf numFmtId="0" fontId="25" fillId="95" borderId="0"/>
    <xf numFmtId="0" fontId="25" fillId="96" borderId="0"/>
    <xf numFmtId="0" fontId="25" fillId="96" borderId="0"/>
    <xf numFmtId="0" fontId="25" fillId="0" borderId="0"/>
    <xf numFmtId="0" fontId="25" fillId="0" borderId="0"/>
    <xf numFmtId="0" fontId="167" fillId="0" borderId="42">
      <alignment horizontal="left"/>
    </xf>
    <xf numFmtId="0" fontId="167" fillId="0" borderId="55">
      <alignment horizontal="right" vertical="center"/>
    </xf>
    <xf numFmtId="0" fontId="168" fillId="0" borderId="42">
      <alignment horizontal="left" vertical="center"/>
    </xf>
    <xf numFmtId="0" fontId="13" fillId="0" borderId="42">
      <alignment horizontal="left" vertical="center"/>
    </xf>
    <xf numFmtId="0" fontId="99" fillId="0" borderId="42">
      <alignment horizontal="left"/>
    </xf>
    <xf numFmtId="0" fontId="99" fillId="97" borderId="0">
      <alignment horizontal="centerContinuous" wrapText="1"/>
    </xf>
    <xf numFmtId="49" fontId="99" fillId="97" borderId="8">
      <alignment horizontal="left" vertical="center"/>
    </xf>
    <xf numFmtId="0" fontId="99" fillId="97" borderId="0">
      <alignment horizontal="centerContinuous" vertical="center" wrapText="1"/>
    </xf>
    <xf numFmtId="1" fontId="80" fillId="37" borderId="0">
      <alignment horizontal="left" vertical="center"/>
      <protection locked="0"/>
    </xf>
    <xf numFmtId="254" fontId="169" fillId="0" borderId="0" applyNumberFormat="0" applyFill="0" applyBorder="0" applyAlignment="0">
      <protection locked="0" hidden="1"/>
    </xf>
    <xf numFmtId="0" fontId="112" fillId="0" borderId="9">
      <alignment horizontal="center" vertical="top" wrapText="1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181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70" fillId="40" borderId="0" applyNumberFormat="0" applyBorder="0" applyAlignment="0" applyProtection="0"/>
    <xf numFmtId="279" fontId="107" fillId="0" borderId="56" applyFill="0" applyBorder="0" applyProtection="0">
      <alignment horizontal="left"/>
    </xf>
    <xf numFmtId="279" fontId="107" fillId="0" borderId="56" applyFill="0" applyBorder="0" applyProtection="0">
      <alignment horizontal="left"/>
    </xf>
    <xf numFmtId="279" fontId="11" fillId="0" borderId="0" applyBorder="0" applyProtection="0"/>
    <xf numFmtId="280" fontId="11" fillId="0" borderId="0" applyFill="0" applyBorder="0" applyProtection="0"/>
    <xf numFmtId="37" fontId="173" fillId="0" borderId="0"/>
    <xf numFmtId="179" fontId="11" fillId="0" borderId="0"/>
    <xf numFmtId="188" fontId="174" fillId="0" borderId="12" applyFill="0" applyBorder="0" applyAlignment="0">
      <alignment horizontal="center"/>
      <protection locked="0"/>
    </xf>
    <xf numFmtId="10" fontId="12" fillId="37" borderId="9" applyNumberFormat="0" applyBorder="0" applyAlignment="0" applyProtection="0"/>
    <xf numFmtId="10" fontId="12" fillId="37" borderId="9" applyNumberFormat="0" applyBorder="0" applyAlignment="0" applyProtection="0"/>
    <xf numFmtId="179" fontId="174" fillId="0" borderId="0" applyFill="0" applyBorder="0" applyAlignment="0">
      <protection locked="0"/>
    </xf>
    <xf numFmtId="181" fontId="175" fillId="4" borderId="4" applyNumberFormat="0" applyAlignment="0" applyProtection="0"/>
    <xf numFmtId="181" fontId="175" fillId="4" borderId="4" applyNumberFormat="0" applyAlignment="0" applyProtection="0"/>
    <xf numFmtId="181" fontId="175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168" fontId="79" fillId="37" borderId="18" applyNumberFormat="0" applyBorder="0" applyAlignment="0">
      <protection locked="0"/>
    </xf>
    <xf numFmtId="181" fontId="176" fillId="4" borderId="4" applyNumberFormat="0" applyAlignment="0" applyProtection="0"/>
    <xf numFmtId="181" fontId="140" fillId="44" borderId="25" applyNumberFormat="0" applyAlignment="0" applyProtection="0"/>
    <xf numFmtId="179" fontId="177" fillId="0" borderId="0" applyNumberFormat="0" applyFill="0" applyBorder="0" applyAlignment="0">
      <protection locked="0"/>
    </xf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254" fontId="174" fillId="0" borderId="0" applyFill="0" applyBorder="0" applyAlignment="0" applyProtection="0">
      <protection locked="0"/>
    </xf>
    <xf numFmtId="181" fontId="176" fillId="4" borderId="4" applyNumberFormat="0" applyAlignment="0" applyProtection="0"/>
    <xf numFmtId="181" fontId="140" fillId="44" borderId="25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68" fontId="79" fillId="37" borderId="18" applyNumberFormat="0" applyBorder="0" applyAlignment="0">
      <protection locked="0"/>
    </xf>
    <xf numFmtId="181" fontId="176" fillId="4" borderId="4" applyNumberFormat="0" applyAlignment="0" applyProtection="0"/>
    <xf numFmtId="181" fontId="140" fillId="4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68" fontId="79" fillId="37" borderId="18" applyNumberFormat="0" applyBorder="0" applyAlignment="0">
      <protection locked="0"/>
    </xf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81" fontId="175" fillId="4" borderId="4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5" fillId="4" borderId="4" applyNumberFormat="0" applyAlignment="0" applyProtection="0"/>
    <xf numFmtId="181" fontId="175" fillId="4" borderId="4" applyNumberFormat="0" applyAlignment="0" applyProtection="0"/>
    <xf numFmtId="181" fontId="175" fillId="4" borderId="4" applyNumberFormat="0" applyAlignment="0" applyProtection="0"/>
    <xf numFmtId="179" fontId="56" fillId="98" borderId="0"/>
    <xf numFmtId="10" fontId="179" fillId="99" borderId="0">
      <alignment horizontal="right"/>
      <protection locked="0"/>
    </xf>
    <xf numFmtId="4" fontId="179" fillId="99" borderId="0">
      <alignment horizontal="right"/>
      <protection locked="0"/>
    </xf>
    <xf numFmtId="49" fontId="12" fillId="0" borderId="19" applyFont="0" applyBorder="0" applyAlignment="0">
      <alignment horizontal="left"/>
    </xf>
    <xf numFmtId="49" fontId="12" fillId="0" borderId="19" applyFont="0" applyBorder="0" applyAlignment="0">
      <alignment horizontal="left"/>
    </xf>
    <xf numFmtId="0" fontId="70" fillId="40" borderId="0" applyNumberFormat="0" applyBorder="0" applyAlignment="0" applyProtection="0"/>
    <xf numFmtId="0" fontId="28" fillId="0" borderId="0"/>
    <xf numFmtId="281" fontId="180" fillId="0" borderId="0" applyBorder="0">
      <alignment vertical="center"/>
      <protection locked="0"/>
    </xf>
    <xf numFmtId="1" fontId="181" fillId="95" borderId="14" applyNumberFormat="0" applyFont="0" applyBorder="0" applyAlignment="0">
      <alignment vertical="top"/>
    </xf>
    <xf numFmtId="170" fontId="7" fillId="100" borderId="0" applyFill="0" applyBorder="0" applyProtection="0"/>
    <xf numFmtId="263" fontId="11" fillId="0" borderId="0" applyFont="0" applyFill="0" applyBorder="0" applyAlignment="0" applyProtection="0"/>
    <xf numFmtId="282" fontId="11" fillId="0" borderId="0" applyFont="0" applyFill="0" applyBorder="0" applyAlignment="0" applyProtection="0"/>
    <xf numFmtId="180" fontId="11" fillId="101" borderId="57" applyNumberFormat="0"/>
    <xf numFmtId="180" fontId="11" fillId="101" borderId="57" applyNumberFormat="0"/>
    <xf numFmtId="0" fontId="10" fillId="0" borderId="0" applyNumberFormat="0" applyFont="0" applyFill="0" applyBorder="0" applyProtection="0">
      <alignment horizontal="left" vertical="center"/>
    </xf>
    <xf numFmtId="0" fontId="182" fillId="0" borderId="0"/>
    <xf numFmtId="0" fontId="182" fillId="0" borderId="0"/>
    <xf numFmtId="181" fontId="182" fillId="0" borderId="0"/>
    <xf numFmtId="283" fontId="33" fillId="0" borderId="58" applyFont="0" applyFill="0" applyBorder="0" applyAlignment="0" applyProtection="0">
      <alignment horizontal="center"/>
    </xf>
    <xf numFmtId="284" fontId="34" fillId="0" borderId="59" applyFont="0" applyFill="0" applyBorder="0" applyAlignment="0" applyProtection="0">
      <alignment horizontal="center"/>
    </xf>
    <xf numFmtId="183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09" fillId="0" borderId="10" applyBorder="0" applyAlignment="0"/>
    <xf numFmtId="0" fontId="109" fillId="0" borderId="10" applyBorder="0" applyAlignment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181" fontId="183" fillId="0" borderId="5" applyNumberFormat="0" applyFill="0" applyAlignment="0" applyProtection="0"/>
    <xf numFmtId="181" fontId="183" fillId="0" borderId="5" applyNumberFormat="0" applyFill="0" applyAlignment="0" applyProtection="0"/>
    <xf numFmtId="0" fontId="101" fillId="0" borderId="34" applyNumberFormat="0" applyFill="0" applyAlignment="0" applyProtection="0"/>
    <xf numFmtId="181" fontId="183" fillId="0" borderId="5" applyNumberFormat="0" applyFill="0" applyAlignment="0" applyProtection="0"/>
    <xf numFmtId="181" fontId="101" fillId="0" borderId="34" applyNumberFormat="0" applyFill="0" applyAlignment="0" applyProtection="0"/>
    <xf numFmtId="0" fontId="184" fillId="0" borderId="60" applyNumberFormat="0" applyFill="0" applyAlignment="0" applyProtection="0"/>
    <xf numFmtId="0" fontId="184" fillId="0" borderId="60" applyNumberFormat="0" applyFill="0" applyAlignment="0" applyProtection="0"/>
    <xf numFmtId="181" fontId="183" fillId="0" borderId="5" applyNumberFormat="0" applyFill="0" applyAlignment="0" applyProtection="0"/>
    <xf numFmtId="181" fontId="101" fillId="0" borderId="34" applyNumberFormat="0" applyFill="0" applyAlignment="0" applyProtection="0"/>
    <xf numFmtId="181" fontId="183" fillId="0" borderId="5" applyNumberFormat="0" applyFill="0" applyAlignment="0" applyProtection="0"/>
    <xf numFmtId="181" fontId="101" fillId="0" borderId="34" applyNumberFormat="0" applyFill="0" applyAlignment="0" applyProtection="0"/>
    <xf numFmtId="181" fontId="185" fillId="0" borderId="5" applyNumberFormat="0" applyFill="0" applyAlignment="0" applyProtection="0"/>
    <xf numFmtId="0" fontId="183" fillId="0" borderId="5" applyNumberFormat="0" applyFill="0" applyAlignment="0" applyProtection="0"/>
    <xf numFmtId="181" fontId="183" fillId="0" borderId="5" applyNumberFormat="0" applyFill="0" applyAlignment="0" applyProtection="0"/>
    <xf numFmtId="181" fontId="183" fillId="0" borderId="5" applyNumberFormat="0" applyFill="0" applyAlignment="0" applyProtection="0"/>
    <xf numFmtId="179" fontId="186" fillId="102" borderId="0"/>
    <xf numFmtId="164" fontId="112" fillId="33" borderId="0" applyFill="0" applyBorder="0">
      <alignment horizontal="right"/>
    </xf>
    <xf numFmtId="0" fontId="112" fillId="0" borderId="9">
      <alignment horizontal="center" vertical="top" wrapText="1"/>
      <protection locked="0"/>
    </xf>
    <xf numFmtId="169" fontId="25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0" fontId="187" fillId="0" borderId="0"/>
    <xf numFmtId="14" fontId="93" fillId="0" borderId="0">
      <alignment horizontal="right"/>
    </xf>
    <xf numFmtId="0" fontId="112" fillId="0" borderId="9">
      <alignment horizontal="center" vertical="top" wrapText="1"/>
      <protection locked="0"/>
    </xf>
    <xf numFmtId="166" fontId="44" fillId="0" borderId="0" applyFont="0" applyFill="0" applyBorder="0" applyAlignment="0" applyProtection="0"/>
    <xf numFmtId="285" fontId="11" fillId="0" borderId="0" applyFont="0" applyFill="0" applyBorder="0" applyAlignment="0" applyProtection="0"/>
    <xf numFmtId="286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286" fontId="25" fillId="0" borderId="0" applyFont="0" applyFill="0" applyBorder="0" applyAlignment="0" applyProtection="0"/>
    <xf numFmtId="171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26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282" fontId="11" fillId="0" borderId="0" applyFont="0" applyFill="0" applyBorder="0" applyAlignment="0" applyProtection="0"/>
    <xf numFmtId="0" fontId="10" fillId="0" borderId="0"/>
    <xf numFmtId="0" fontId="10" fillId="0" borderId="0"/>
    <xf numFmtId="181" fontId="10" fillId="0" borderId="0"/>
    <xf numFmtId="0" fontId="11" fillId="0" borderId="0" applyFont="0" applyFill="0" applyBorder="0" applyAlignment="0" applyProtection="0"/>
    <xf numFmtId="243" fontId="11" fillId="0" borderId="0" applyFont="0" applyFill="0" applyBorder="0" applyAlignment="0" applyProtection="0"/>
    <xf numFmtId="3" fontId="8" fillId="0" borderId="9">
      <alignment horizontal="center" vertical="center"/>
    </xf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0" fontId="12" fillId="0" borderId="9" applyNumberFormat="0" applyFont="0" applyBorder="0">
      <alignment horizontal="left" vertical="top" wrapText="1"/>
    </xf>
    <xf numFmtId="37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7" fontId="139" fillId="0" borderId="0">
      <alignment horizontal="left"/>
    </xf>
    <xf numFmtId="0" fontId="25" fillId="0" borderId="27"/>
    <xf numFmtId="0" fontId="25" fillId="0" borderId="27"/>
    <xf numFmtId="181" fontId="25" fillId="0" borderId="27"/>
    <xf numFmtId="289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7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277" fontId="11" fillId="0" borderId="0" applyFont="0" applyFill="0" applyBorder="0" applyAlignment="0" applyProtection="0"/>
    <xf numFmtId="277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9" fontId="11" fillId="0" borderId="0">
      <protection locked="0"/>
    </xf>
    <xf numFmtId="309" fontId="11" fillId="0" borderId="0">
      <protection locked="0"/>
    </xf>
    <xf numFmtId="310" fontId="152" fillId="0" borderId="0" applyFont="0" applyFill="0" applyBorder="0" applyAlignment="0" applyProtection="0"/>
    <xf numFmtId="311" fontId="11" fillId="0" borderId="0" applyFont="0" applyFill="0" applyBorder="0" applyAlignment="0" applyProtection="0"/>
    <xf numFmtId="0" fontId="44" fillId="0" borderId="0" applyNumberFormat="0">
      <alignment horizontal="left"/>
    </xf>
    <xf numFmtId="0" fontId="18" fillId="0" borderId="0"/>
    <xf numFmtId="0" fontId="18" fillId="0" borderId="0"/>
    <xf numFmtId="181" fontId="18" fillId="0" borderId="0"/>
    <xf numFmtId="0" fontId="25" fillId="0" borderId="0">
      <protection locked="0"/>
    </xf>
    <xf numFmtId="0" fontId="25" fillId="0" borderId="0">
      <protection locked="0"/>
    </xf>
    <xf numFmtId="0" fontId="25" fillId="0" borderId="0">
      <protection locked="0"/>
    </xf>
    <xf numFmtId="0" fontId="25" fillId="0" borderId="0">
      <protection locked="0"/>
    </xf>
    <xf numFmtId="312" fontId="188" fillId="0" borderId="0" applyFill="0" applyBorder="0" applyAlignment="0"/>
    <xf numFmtId="0" fontId="21" fillId="0" borderId="0"/>
    <xf numFmtId="313" fontId="12" fillId="0" borderId="0"/>
    <xf numFmtId="0" fontId="189" fillId="56" borderId="0" applyNumberFormat="0" applyBorder="0" applyAlignment="0" applyProtection="0"/>
    <xf numFmtId="0" fontId="189" fillId="74" borderId="0" applyNumberFormat="0" applyBorder="0" applyAlignment="0" applyProtection="0"/>
    <xf numFmtId="0" fontId="189" fillId="56" borderId="0" applyNumberFormat="0" applyBorder="0" applyAlignment="0" applyProtection="0"/>
    <xf numFmtId="0" fontId="189" fillId="44" borderId="0" applyNumberFormat="0" applyBorder="0" applyAlignment="0" applyProtection="0"/>
    <xf numFmtId="1" fontId="11" fillId="103" borderId="13"/>
    <xf numFmtId="41" fontId="10" fillId="0" borderId="0" applyNumberFormat="0" applyFill="0" applyBorder="0" applyAlignment="0" applyProtection="0"/>
    <xf numFmtId="37" fontId="190" fillId="0" borderId="0"/>
    <xf numFmtId="0" fontId="21" fillId="0" borderId="0"/>
    <xf numFmtId="0" fontId="2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314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315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1" fillId="0" borderId="0"/>
    <xf numFmtId="0" fontId="11" fillId="0" borderId="0"/>
    <xf numFmtId="0" fontId="11" fillId="104" borderId="0"/>
    <xf numFmtId="0" fontId="11" fillId="0" borderId="0"/>
    <xf numFmtId="0" fontId="11" fillId="104" borderId="0"/>
    <xf numFmtId="0" fontId="4" fillId="0" borderId="0"/>
    <xf numFmtId="0" fontId="4" fillId="0" borderId="0"/>
    <xf numFmtId="0" fontId="16" fillId="0" borderId="0"/>
    <xf numFmtId="0" fontId="4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104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104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1" fillId="0" borderId="0"/>
    <xf numFmtId="0" fontId="16" fillId="0" borderId="0"/>
    <xf numFmtId="0" fontId="16" fillId="0" borderId="0"/>
    <xf numFmtId="0" fontId="11" fillId="0" borderId="0"/>
    <xf numFmtId="0" fontId="1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15" fillId="0" borderId="0"/>
    <xf numFmtId="0" fontId="4" fillId="0" borderId="0"/>
    <xf numFmtId="0" fontId="1" fillId="0" borderId="0"/>
    <xf numFmtId="0" fontId="117" fillId="0" borderId="0"/>
    <xf numFmtId="0" fontId="19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92" fillId="0" borderId="0"/>
    <xf numFmtId="0" fontId="16" fillId="0" borderId="0"/>
    <xf numFmtId="0" fontId="16" fillId="0" borderId="0"/>
    <xf numFmtId="0" fontId="11" fillId="0" borderId="0"/>
    <xf numFmtId="0" fontId="16" fillId="0" borderId="0"/>
    <xf numFmtId="0" fontId="16" fillId="0" borderId="0"/>
    <xf numFmtId="0" fontId="16" fillId="0" borderId="0"/>
    <xf numFmtId="0" fontId="11" fillId="104" borderId="0"/>
    <xf numFmtId="0" fontId="16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1" fillId="33" borderId="0"/>
    <xf numFmtId="0" fontId="25" fillId="0" borderId="0"/>
    <xf numFmtId="316" fontId="11" fillId="89" borderId="18" applyFont="0" applyFill="0" applyBorder="0" applyAlignment="0" applyProtection="0"/>
    <xf numFmtId="316" fontId="11" fillId="89" borderId="18" applyFont="0" applyFill="0" applyBorder="0" applyAlignment="0" applyProtection="0"/>
    <xf numFmtId="16" fontId="193" fillId="0" borderId="61" applyNumberFormat="0" applyBorder="0" applyAlignment="0">
      <alignment horizontal="center"/>
    </xf>
    <xf numFmtId="0" fontId="194" fillId="0" borderId="62" applyBorder="0">
      <alignment horizontal="center"/>
    </xf>
    <xf numFmtId="0" fontId="11" fillId="0" borderId="0"/>
    <xf numFmtId="308" fontId="195" fillId="0" borderId="63" applyFont="0" applyFill="0" applyBorder="0" applyAlignment="0" applyProtection="0">
      <protection locked="0"/>
    </xf>
    <xf numFmtId="0" fontId="44" fillId="0" borderId="0"/>
    <xf numFmtId="0" fontId="25" fillId="0" borderId="0"/>
    <xf numFmtId="0" fontId="10" fillId="94" borderId="9">
      <protection locked="0"/>
    </xf>
    <xf numFmtId="317" fontId="196" fillId="0" borderId="64" applyNumberFormat="0" applyBorder="0" applyAlignment="0" applyProtection="0">
      <alignment horizontal="center" vertical="center"/>
    </xf>
    <xf numFmtId="0" fontId="11" fillId="46" borderId="65" applyNumberFormat="0" applyFont="0" applyAlignment="0" applyProtection="0"/>
    <xf numFmtId="0" fontId="7" fillId="46" borderId="65" applyNumberFormat="0" applyFont="0" applyAlignment="0" applyProtection="0"/>
    <xf numFmtId="0" fontId="11" fillId="46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" borderId="7" applyNumberFormat="0" applyFont="0" applyAlignment="0" applyProtection="0"/>
    <xf numFmtId="37" fontId="197" fillId="89" borderId="0">
      <alignment horizontal="right"/>
    </xf>
    <xf numFmtId="4" fontId="198" fillId="0" borderId="0" applyFill="0" applyBorder="0">
      <alignment horizontal="right" vertical="top"/>
    </xf>
    <xf numFmtId="1" fontId="136" fillId="0" borderId="0" applyFont="0" applyFill="0" applyBorder="0" applyAlignment="0"/>
    <xf numFmtId="9" fontId="6" fillId="80" borderId="0" applyFill="0" applyBorder="0"/>
    <xf numFmtId="4" fontId="6" fillId="80" borderId="0" applyFill="0" applyBorder="0"/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174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4" fontId="42" fillId="0" borderId="0" applyFont="0" applyFill="0" applyBorder="0" applyAlignment="0" applyProtection="0"/>
    <xf numFmtId="172" fontId="42" fillId="0" borderId="0" applyFont="0" applyFill="0" applyBorder="0" applyAlignment="0" applyProtection="0"/>
    <xf numFmtId="0" fontId="25" fillId="0" borderId="0"/>
    <xf numFmtId="170" fontId="11" fillId="0" borderId="0" applyFont="0" applyFill="0" applyBorder="0" applyAlignment="0" applyProtection="0"/>
    <xf numFmtId="318" fontId="199" fillId="105" borderId="0">
      <alignment horizontal="right"/>
    </xf>
    <xf numFmtId="0" fontId="67" fillId="51" borderId="66" applyNumberFormat="0" applyAlignment="0" applyProtection="0"/>
    <xf numFmtId="0" fontId="67" fillId="80" borderId="66" applyNumberFormat="0" applyAlignment="0" applyProtection="0"/>
    <xf numFmtId="40" fontId="200" fillId="77" borderId="0">
      <alignment horizontal="right"/>
    </xf>
    <xf numFmtId="0" fontId="201" fillId="77" borderId="0">
      <alignment horizontal="right"/>
    </xf>
    <xf numFmtId="0" fontId="202" fillId="77" borderId="13"/>
    <xf numFmtId="0" fontId="202" fillId="0" borderId="0" applyBorder="0">
      <alignment horizontal="centerContinuous"/>
    </xf>
    <xf numFmtId="0" fontId="203" fillId="0" borderId="0" applyBorder="0">
      <alignment horizontal="centerContinuous"/>
    </xf>
    <xf numFmtId="168" fontId="11" fillId="0" borderId="0" applyFont="0" applyFill="0" applyBorder="0" applyAlignment="0" applyProtection="0"/>
    <xf numFmtId="319" fontId="10" fillId="0" borderId="0"/>
    <xf numFmtId="319" fontId="10" fillId="0" borderId="0"/>
    <xf numFmtId="319" fontId="10" fillId="0" borderId="0"/>
    <xf numFmtId="320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179" fontId="204" fillId="0" borderId="18">
      <alignment horizontal="center"/>
    </xf>
    <xf numFmtId="37" fontId="204" fillId="0" borderId="18">
      <alignment horizontal="center"/>
    </xf>
    <xf numFmtId="37" fontId="205" fillId="0" borderId="0" applyNumberFormat="0" applyFill="0" applyBorder="0" applyAlignment="0" applyProtection="0"/>
    <xf numFmtId="0" fontId="206" fillId="0" borderId="12" applyBorder="0">
      <alignment horizontal="left"/>
    </xf>
    <xf numFmtId="0" fontId="207" fillId="96" borderId="40"/>
    <xf numFmtId="165" fontId="44" fillId="0" borderId="0" applyFont="0" applyFill="0" applyBorder="0" applyAlignment="0" applyProtection="0"/>
    <xf numFmtId="0" fontId="44" fillId="0" borderId="0" applyFont="0" applyFill="0" applyBorder="0" applyAlignment="0" applyProtection="0"/>
    <xf numFmtId="0" fontId="8" fillId="0" borderId="0"/>
    <xf numFmtId="167" fontId="25" fillId="0" borderId="0" applyFont="0" applyFill="0" applyBorder="0" applyAlignment="0" applyProtection="0"/>
    <xf numFmtId="167" fontId="25" fillId="0" borderId="0" applyFont="0" applyFill="0" applyBorder="0" applyAlignment="0" applyProtection="0"/>
    <xf numFmtId="321" fontId="25" fillId="0" borderId="0" applyFont="0" applyFill="0" applyBorder="0" applyAlignment="0" applyProtection="0"/>
    <xf numFmtId="321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322" fontId="25" fillId="0" borderId="0" applyFont="0" applyFill="0" applyBorder="0" applyAlignment="0" applyProtection="0"/>
    <xf numFmtId="322" fontId="25" fillId="0" borderId="0" applyFont="0" applyFill="0" applyBorder="0" applyAlignment="0" applyProtection="0"/>
    <xf numFmtId="14" fontId="60" fillId="0" borderId="0">
      <alignment horizontal="center" wrapText="1"/>
      <protection locked="0"/>
    </xf>
    <xf numFmtId="0" fontId="56" fillId="0" borderId="0"/>
    <xf numFmtId="0" fontId="120" fillId="0" borderId="0"/>
    <xf numFmtId="223" fontId="11" fillId="0" borderId="0"/>
    <xf numFmtId="223" fontId="11" fillId="0" borderId="0"/>
    <xf numFmtId="323" fontId="60" fillId="0" borderId="15" applyFont="0" applyFill="0" applyBorder="0" applyAlignment="0" applyProtection="0">
      <alignment horizontal="right"/>
    </xf>
    <xf numFmtId="324" fontId="11" fillId="0" borderId="0" applyFont="0" applyFill="0" applyBorder="0" applyAlignment="0" applyProtection="0"/>
    <xf numFmtId="188" fontId="10" fillId="0" borderId="0" applyFont="0" applyFill="0" applyBorder="0" applyAlignment="0" applyProtection="0">
      <protection locked="0"/>
    </xf>
    <xf numFmtId="10" fontId="10" fillId="0" borderId="0" applyFont="0" applyFill="0" applyBorder="0" applyAlignment="0" applyProtection="0">
      <protection locked="0"/>
    </xf>
    <xf numFmtId="0" fontId="44" fillId="0" borderId="0" applyFont="0" applyFill="0" applyBorder="0" applyAlignment="0" applyProtection="0"/>
    <xf numFmtId="227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325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326" fontId="11" fillId="0" borderId="0" applyFont="0" applyFill="0" applyBorder="0" applyAlignment="0" applyProtection="0"/>
    <xf numFmtId="327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" fillId="0" borderId="0" applyFont="0" applyFill="0" applyBorder="0" applyAlignment="0" applyProtection="0"/>
    <xf numFmtId="10" fontId="44" fillId="0" borderId="0" applyFont="0" applyFill="0" applyBorder="0" applyAlignment="0" applyProtection="0"/>
    <xf numFmtId="328" fontId="11" fillId="0" borderId="0"/>
    <xf numFmtId="329" fontId="125" fillId="0" borderId="0"/>
    <xf numFmtId="9" fontId="11" fillId="0" borderId="0" applyFont="0" applyFill="0" applyBorder="0" applyAlignment="0" applyProtection="0"/>
    <xf numFmtId="188" fontId="11" fillId="0" borderId="0"/>
    <xf numFmtId="0" fontId="11" fillId="0" borderId="0"/>
    <xf numFmtId="0" fontId="208" fillId="0" borderId="0" applyBorder="0" applyAlignment="0" applyProtection="0"/>
    <xf numFmtId="330" fontId="125" fillId="0" borderId="0" applyBorder="0" applyAlignment="0" applyProtection="0"/>
    <xf numFmtId="331" fontId="11" fillId="0" borderId="0"/>
    <xf numFmtId="9" fontId="135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9" fontId="11" fillId="0" borderId="0" applyFont="0" applyFill="0" applyBorder="0" applyAlignment="0" applyProtection="0"/>
    <xf numFmtId="332" fontId="11" fillId="0" borderId="0">
      <protection locked="0"/>
    </xf>
    <xf numFmtId="332" fontId="11" fillId="0" borderId="0">
      <protection locked="0"/>
    </xf>
    <xf numFmtId="0" fontId="10" fillId="0" borderId="0" applyFont="0" applyFill="0" applyBorder="0" applyAlignment="0" applyProtection="0"/>
    <xf numFmtId="13" fontId="11" fillId="0" borderId="0" applyFont="0" applyFill="0" applyProtection="0"/>
    <xf numFmtId="0" fontId="209" fillId="0" borderId="0"/>
    <xf numFmtId="188" fontId="125" fillId="0" borderId="0" applyFont="0" applyFill="0" applyBorder="0" applyAlignment="0" applyProtection="0"/>
    <xf numFmtId="290" fontId="125" fillId="0" borderId="0"/>
    <xf numFmtId="0" fontId="125" fillId="0" borderId="0"/>
    <xf numFmtId="333" fontId="11" fillId="0" borderId="0"/>
    <xf numFmtId="238" fontId="125" fillId="0" borderId="0"/>
    <xf numFmtId="0" fontId="92" fillId="0" borderId="0" applyFill="0" applyBorder="0" applyAlignment="0"/>
    <xf numFmtId="221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66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4" fontId="63" fillId="0" borderId="0"/>
    <xf numFmtId="0" fontId="43" fillId="0" borderId="0">
      <protection locked="0"/>
    </xf>
    <xf numFmtId="0" fontId="43" fillId="0" borderId="0">
      <protection locked="0"/>
    </xf>
    <xf numFmtId="334" fontId="7" fillId="0" borderId="9"/>
    <xf numFmtId="0" fontId="210" fillId="33" borderId="0"/>
    <xf numFmtId="0" fontId="211" fillId="0" borderId="0"/>
    <xf numFmtId="0" fontId="211" fillId="0" borderId="67">
      <alignment horizontal="right"/>
    </xf>
    <xf numFmtId="0" fontId="211" fillId="0" borderId="0"/>
    <xf numFmtId="335" fontId="6" fillId="0" borderId="68">
      <alignment horizontal="right"/>
    </xf>
    <xf numFmtId="9" fontId="11" fillId="0" borderId="0" applyFont="0" applyFill="0" applyBorder="0" applyAlignment="0" applyProtection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4" fontId="44" fillId="0" borderId="0" applyFont="0" applyFill="0" applyBorder="0" applyAlignment="0" applyProtection="0"/>
    <xf numFmtId="0" fontId="84" fillId="0" borderId="27">
      <alignment horizontal="center"/>
    </xf>
    <xf numFmtId="3" fontId="44" fillId="0" borderId="0" applyFont="0" applyFill="0" applyBorder="0" applyAlignment="0" applyProtection="0"/>
    <xf numFmtId="0" fontId="44" fillId="84" borderId="0" applyNumberFormat="0" applyFont="0" applyBorder="0" applyAlignment="0" applyProtection="0"/>
    <xf numFmtId="277" fontId="11" fillId="0" borderId="0">
      <protection locked="0"/>
    </xf>
    <xf numFmtId="277" fontId="11" fillId="0" borderId="0">
      <protection locked="0"/>
    </xf>
    <xf numFmtId="3" fontId="152" fillId="0" borderId="0" applyFont="0" applyFill="0" applyBorder="0" applyAlignment="0" applyProtection="0"/>
    <xf numFmtId="317" fontId="212" fillId="33" borderId="63" applyBorder="0" applyAlignment="0">
      <alignment horizontal="center"/>
    </xf>
    <xf numFmtId="0" fontId="112" fillId="0" borderId="0" applyNumberFormat="0" applyAlignment="0"/>
    <xf numFmtId="3" fontId="92" fillId="0" borderId="0" applyFill="0" applyBorder="0" applyAlignment="0" applyProtection="0"/>
    <xf numFmtId="3" fontId="8" fillId="0" borderId="0" applyFill="0" applyBorder="0" applyAlignment="0" applyProtection="0"/>
    <xf numFmtId="3" fontId="92" fillId="0" borderId="0" applyFill="0" applyBorder="0" applyAlignment="0" applyProtection="0"/>
    <xf numFmtId="3" fontId="131" fillId="0" borderId="0">
      <alignment horizontal="left" vertical="center"/>
    </xf>
    <xf numFmtId="0" fontId="213" fillId="106" borderId="0" applyNumberFormat="0" applyFont="0" applyBorder="0" applyAlignment="0">
      <alignment horizontal="center"/>
    </xf>
    <xf numFmtId="14" fontId="25" fillId="0" borderId="0" applyNumberFormat="0" applyFill="0" applyBorder="0" applyAlignment="0" applyProtection="0">
      <alignment horizontal="left"/>
    </xf>
    <xf numFmtId="336" fontId="173" fillId="0" borderId="0" applyNumberFormat="0" applyFill="0" applyBorder="0" applyAlignment="0" applyProtection="0">
      <alignment horizontal="left"/>
    </xf>
    <xf numFmtId="0" fontId="214" fillId="0" borderId="0">
      <alignment horizontal="right"/>
    </xf>
    <xf numFmtId="337" fontId="11" fillId="0" borderId="0" applyFont="0" applyFill="0" applyBorder="0" applyAlignment="0" applyProtection="0"/>
    <xf numFmtId="0" fontId="11" fillId="0" borderId="69" applyNumberFormat="0" applyFont="0" applyFill="0" applyAlignment="0" applyProtection="0"/>
    <xf numFmtId="0" fontId="11" fillId="0" borderId="70" applyNumberFormat="0" applyFont="0" applyFill="0" applyAlignment="0" applyProtection="0"/>
    <xf numFmtId="0" fontId="11" fillId="0" borderId="71" applyNumberFormat="0" applyFont="0" applyFill="0" applyAlignment="0" applyProtection="0"/>
    <xf numFmtId="0" fontId="11" fillId="0" borderId="72" applyNumberFormat="0" applyFont="0" applyFill="0" applyAlignment="0" applyProtection="0"/>
    <xf numFmtId="0" fontId="11" fillId="0" borderId="73" applyNumberFormat="0" applyFont="0" applyFill="0" applyAlignment="0" applyProtection="0"/>
    <xf numFmtId="0" fontId="11" fillId="45" borderId="0" applyNumberFormat="0" applyFont="0" applyBorder="0" applyAlignment="0" applyProtection="0"/>
    <xf numFmtId="0" fontId="11" fillId="0" borderId="74" applyNumberFormat="0" applyFont="0" applyFill="0" applyAlignment="0" applyProtection="0"/>
    <xf numFmtId="0" fontId="11" fillId="0" borderId="75" applyNumberFormat="0" applyFont="0" applyFill="0" applyAlignment="0" applyProtection="0"/>
    <xf numFmtId="46" fontId="11" fillId="0" borderId="0" applyFont="0" applyFill="0" applyBorder="0" applyAlignment="0" applyProtection="0"/>
    <xf numFmtId="0" fontId="135" fillId="0" borderId="0" applyNumberFormat="0" applyFill="0" applyBorder="0" applyAlignment="0" applyProtection="0"/>
    <xf numFmtId="0" fontId="11" fillId="0" borderId="68" applyNumberFormat="0" applyFont="0" applyFill="0" applyAlignment="0" applyProtection="0"/>
    <xf numFmtId="0" fontId="11" fillId="0" borderId="76" applyNumberFormat="0" applyFont="0" applyFill="0" applyAlignment="0" applyProtection="0"/>
    <xf numFmtId="0" fontId="11" fillId="0" borderId="65" applyNumberFormat="0" applyFont="0" applyFill="0" applyAlignment="0" applyProtection="0"/>
    <xf numFmtId="0" fontId="11" fillId="0" borderId="77" applyNumberFormat="0" applyFont="0" applyFill="0" applyAlignment="0" applyProtection="0"/>
    <xf numFmtId="0" fontId="11" fillId="0" borderId="65" applyNumberFormat="0" applyFont="0" applyFill="0" applyAlignment="0" applyProtection="0"/>
    <xf numFmtId="0" fontId="11" fillId="0" borderId="0" applyNumberFormat="0" applyFont="0" applyFill="0" applyBorder="0" applyProtection="0">
      <alignment horizontal="center"/>
    </xf>
    <xf numFmtId="0" fontId="215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4" fillId="0" borderId="0" applyNumberFormat="0" applyFill="0" applyBorder="0" applyProtection="0">
      <alignment horizontal="left"/>
    </xf>
    <xf numFmtId="0" fontId="11" fillId="45" borderId="0" applyNumberFormat="0" applyFont="0" applyBorder="0" applyAlignment="0" applyProtection="0"/>
    <xf numFmtId="0" fontId="216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1" fillId="0" borderId="78" applyNumberFormat="0" applyFont="0" applyFill="0" applyAlignment="0" applyProtection="0"/>
    <xf numFmtId="0" fontId="11" fillId="0" borderId="79" applyNumberFormat="0" applyFont="0" applyFill="0" applyAlignment="0" applyProtection="0"/>
    <xf numFmtId="338" fontId="11" fillId="0" borderId="0" applyFont="0" applyFill="0" applyBorder="0" applyAlignment="0" applyProtection="0"/>
    <xf numFmtId="0" fontId="11" fillId="0" borderId="80" applyNumberFormat="0" applyFont="0" applyFill="0" applyAlignment="0" applyProtection="0"/>
    <xf numFmtId="0" fontId="11" fillId="0" borderId="81" applyNumberFormat="0" applyFont="0" applyFill="0" applyAlignment="0" applyProtection="0"/>
    <xf numFmtId="0" fontId="11" fillId="0" borderId="82" applyNumberFormat="0" applyFont="0" applyFill="0" applyAlignment="0" applyProtection="0"/>
    <xf numFmtId="0" fontId="11" fillId="0" borderId="83" applyNumberFormat="0" applyFont="0" applyFill="0" applyAlignment="0" applyProtection="0"/>
    <xf numFmtId="0" fontId="11" fillId="0" borderId="84" applyNumberFormat="0" applyFont="0" applyFill="0" applyAlignment="0" applyProtection="0"/>
    <xf numFmtId="38" fontId="173" fillId="0" borderId="0"/>
    <xf numFmtId="0" fontId="56" fillId="0" borderId="0">
      <alignment horizontal="left" vertical="center"/>
    </xf>
    <xf numFmtId="0" fontId="67" fillId="45" borderId="66" applyNumberFormat="0" applyAlignment="0" applyProtection="0"/>
    <xf numFmtId="0" fontId="67" fillId="51" borderId="66" applyNumberFormat="0" applyAlignment="0" applyProtection="0"/>
    <xf numFmtId="4" fontId="135" fillId="81" borderId="66" applyNumberFormat="0" applyProtection="0">
      <alignment vertical="center"/>
    </xf>
    <xf numFmtId="4" fontId="217" fillId="56" borderId="85" applyNumberFormat="0" applyProtection="0">
      <alignment vertical="center"/>
    </xf>
    <xf numFmtId="4" fontId="218" fillId="81" borderId="66" applyNumberFormat="0" applyProtection="0">
      <alignment vertical="center"/>
    </xf>
    <xf numFmtId="4" fontId="219" fillId="81" borderId="85" applyNumberFormat="0" applyProtection="0">
      <alignment vertical="center"/>
    </xf>
    <xf numFmtId="4" fontId="220" fillId="105" borderId="29">
      <alignment vertical="center"/>
    </xf>
    <xf numFmtId="4" fontId="221" fillId="105" borderId="29">
      <alignment vertical="center"/>
    </xf>
    <xf numFmtId="4" fontId="220" fillId="107" borderId="29">
      <alignment vertical="center"/>
    </xf>
    <xf numFmtId="4" fontId="221" fillId="107" borderId="29">
      <alignment vertical="center"/>
    </xf>
    <xf numFmtId="4" fontId="135" fillId="81" borderId="66" applyNumberFormat="0" applyProtection="0">
      <alignment horizontal="left" vertical="center" indent="1"/>
    </xf>
    <xf numFmtId="4" fontId="217" fillId="81" borderId="85" applyNumberFormat="0" applyProtection="0">
      <alignment horizontal="left" vertical="center" indent="1"/>
    </xf>
    <xf numFmtId="4" fontId="12" fillId="81" borderId="86" applyNumberFormat="0" applyProtection="0">
      <alignment horizontal="left" vertical="center"/>
    </xf>
    <xf numFmtId="4" fontId="135" fillId="81" borderId="66" applyNumberFormat="0" applyProtection="0">
      <alignment horizontal="left" vertical="center" indent="1"/>
    </xf>
    <xf numFmtId="0" fontId="217" fillId="81" borderId="85" applyNumberFormat="0" applyProtection="0">
      <alignment horizontal="left" vertical="top" indent="1"/>
    </xf>
    <xf numFmtId="0" fontId="11" fillId="108" borderId="0"/>
    <xf numFmtId="0" fontId="11" fillId="109" borderId="66" applyNumberFormat="0" applyProtection="0">
      <alignment horizontal="left" vertical="center" indent="1"/>
    </xf>
    <xf numFmtId="4" fontId="217" fillId="110" borderId="0" applyNumberFormat="0" applyProtection="0">
      <alignment horizontal="left" vertical="center" indent="1"/>
    </xf>
    <xf numFmtId="4" fontId="6" fillId="111" borderId="85">
      <alignment horizontal="right" vertical="center"/>
    </xf>
    <xf numFmtId="4" fontId="135" fillId="112" borderId="66" applyNumberFormat="0" applyProtection="0">
      <alignment horizontal="right" vertical="center"/>
    </xf>
    <xf numFmtId="4" fontId="135" fillId="40" borderId="85" applyNumberFormat="0" applyProtection="0">
      <alignment horizontal="right" vertical="center"/>
    </xf>
    <xf numFmtId="4" fontId="135" fillId="78" borderId="66" applyNumberFormat="0" applyProtection="0">
      <alignment horizontal="right" vertical="center"/>
    </xf>
    <xf numFmtId="4" fontId="135" fillId="48" borderId="85" applyNumberFormat="0" applyProtection="0">
      <alignment horizontal="right" vertical="center"/>
    </xf>
    <xf numFmtId="4" fontId="135" fillId="111" borderId="66" applyNumberFormat="0" applyProtection="0">
      <alignment horizontal="right" vertical="center"/>
    </xf>
    <xf numFmtId="4" fontId="135" fillId="66" borderId="85" applyNumberFormat="0" applyProtection="0">
      <alignment horizontal="right" vertical="center"/>
    </xf>
    <xf numFmtId="4" fontId="6" fillId="113" borderId="85">
      <alignment horizontal="right" vertical="center"/>
    </xf>
    <xf numFmtId="4" fontId="135" fillId="114" borderId="66" applyNumberFormat="0" applyProtection="0">
      <alignment horizontal="right" vertical="center"/>
    </xf>
    <xf numFmtId="4" fontId="135" fillId="50" borderId="85" applyNumberFormat="0" applyProtection="0">
      <alignment horizontal="right" vertical="center"/>
    </xf>
    <xf numFmtId="4" fontId="135" fillId="115" borderId="66" applyNumberFormat="0" applyProtection="0">
      <alignment horizontal="right" vertical="center"/>
    </xf>
    <xf numFmtId="4" fontId="135" fillId="55" borderId="85" applyNumberFormat="0" applyProtection="0">
      <alignment horizontal="right" vertical="center"/>
    </xf>
    <xf numFmtId="4" fontId="135" fillId="116" borderId="66" applyNumberFormat="0" applyProtection="0">
      <alignment horizontal="right" vertical="center"/>
    </xf>
    <xf numFmtId="4" fontId="135" fillId="76" borderId="85" applyNumberFormat="0" applyProtection="0">
      <alignment horizontal="right" vertical="center"/>
    </xf>
    <xf numFmtId="4" fontId="6" fillId="105" borderId="85">
      <alignment horizontal="right" vertical="center"/>
    </xf>
    <xf numFmtId="4" fontId="135" fillId="117" borderId="66" applyNumberFormat="0" applyProtection="0">
      <alignment horizontal="right" vertical="center"/>
    </xf>
    <xf numFmtId="4" fontId="135" fillId="70" borderId="85" applyNumberFormat="0" applyProtection="0">
      <alignment horizontal="right" vertical="center"/>
    </xf>
    <xf numFmtId="4" fontId="135" fillId="118" borderId="66" applyNumberFormat="0" applyProtection="0">
      <alignment horizontal="right" vertical="center"/>
    </xf>
    <xf numFmtId="4" fontId="135" fillId="119" borderId="85" applyNumberFormat="0" applyProtection="0">
      <alignment horizontal="right" vertical="center"/>
    </xf>
    <xf numFmtId="4" fontId="135" fillId="108" borderId="66" applyNumberFormat="0" applyProtection="0">
      <alignment horizontal="right" vertical="center"/>
    </xf>
    <xf numFmtId="4" fontId="135" fillId="49" borderId="85" applyNumberFormat="0" applyProtection="0">
      <alignment horizontal="right" vertical="center"/>
    </xf>
    <xf numFmtId="4" fontId="198" fillId="111" borderId="85">
      <alignment horizontal="right" vertical="center"/>
    </xf>
    <xf numFmtId="4" fontId="217" fillId="120" borderId="66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135" fillId="122" borderId="88" applyNumberFormat="0" applyProtection="0">
      <alignment horizontal="left" vertical="center" indent="1"/>
    </xf>
    <xf numFmtId="4" fontId="135" fillId="122" borderId="88" applyNumberFormat="0" applyProtection="0">
      <alignment horizontal="left" vertical="center" indent="1"/>
    </xf>
    <xf numFmtId="4" fontId="12" fillId="77" borderId="86" applyNumberFormat="0" applyProtection="0">
      <alignment horizontal="left" vertical="center"/>
    </xf>
    <xf numFmtId="4" fontId="198" fillId="35" borderId="0" applyNumberFormat="0" applyProtection="0">
      <alignment horizontal="left" vertical="center" indent="1"/>
    </xf>
    <xf numFmtId="4" fontId="198" fillId="3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4" fontId="6" fillId="79" borderId="0">
      <alignment horizontal="left" vertical="center" indent="1"/>
    </xf>
    <xf numFmtId="4" fontId="135" fillId="122" borderId="66" applyNumberFormat="0" applyProtection="0">
      <alignment horizontal="left" vertical="center" indent="1"/>
    </xf>
    <xf numFmtId="4" fontId="135" fillId="123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0" fontId="11" fillId="124" borderId="89" applyNumberFormat="0" applyFont="0" applyAlignment="0"/>
    <xf numFmtId="0" fontId="11" fillId="122" borderId="90" applyNumberFormat="0" applyAlignment="0"/>
    <xf numFmtId="0" fontId="222" fillId="77" borderId="91">
      <alignment horizontal="left" vertical="center"/>
    </xf>
    <xf numFmtId="0" fontId="11" fillId="124" borderId="92" applyNumberFormat="0" applyFont="0" applyAlignment="0"/>
    <xf numFmtId="4" fontId="135" fillId="125" borderId="66" applyNumberFormat="0" applyProtection="0">
      <alignment horizontal="left" vertical="center" indent="1"/>
    </xf>
    <xf numFmtId="4" fontId="135" fillId="110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0" fontId="11" fillId="125" borderId="6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1" fillId="34" borderId="6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1" fillId="33" borderId="6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06" fillId="85" borderId="93" applyBorder="0"/>
    <xf numFmtId="0" fontId="106" fillId="85" borderId="93" applyBorder="0"/>
    <xf numFmtId="4" fontId="135" fillId="37" borderId="66" applyNumberFormat="0" applyProtection="0">
      <alignment vertical="center"/>
    </xf>
    <xf numFmtId="4" fontId="135" fillId="37" borderId="85" applyNumberFormat="0" applyProtection="0">
      <alignment vertical="center"/>
    </xf>
    <xf numFmtId="4" fontId="218" fillId="37" borderId="66" applyNumberFormat="0" applyProtection="0">
      <alignment vertical="center"/>
    </xf>
    <xf numFmtId="4" fontId="218" fillId="37" borderId="85" applyNumberFormat="0" applyProtection="0">
      <alignment vertical="center"/>
    </xf>
    <xf numFmtId="4" fontId="223" fillId="105" borderId="94">
      <alignment vertical="center"/>
    </xf>
    <xf numFmtId="4" fontId="224" fillId="105" borderId="94">
      <alignment vertical="center"/>
    </xf>
    <xf numFmtId="4" fontId="223" fillId="107" borderId="94">
      <alignment vertical="center"/>
    </xf>
    <xf numFmtId="4" fontId="224" fillId="107" borderId="94">
      <alignment vertical="center"/>
    </xf>
    <xf numFmtId="4" fontId="135" fillId="37" borderId="66" applyNumberFormat="0" applyProtection="0">
      <alignment horizontal="left" vertical="center" indent="1"/>
    </xf>
    <xf numFmtId="4" fontId="135" fillId="37" borderId="85" applyNumberFormat="0" applyProtection="0">
      <alignment horizontal="left" vertical="center" indent="1"/>
    </xf>
    <xf numFmtId="4" fontId="12" fillId="37" borderId="85" applyNumberFormat="0" applyProtection="0">
      <alignment horizontal="left" vertical="center"/>
    </xf>
    <xf numFmtId="4" fontId="135" fillId="37" borderId="66" applyNumberFormat="0" applyProtection="0">
      <alignment horizontal="left" vertical="center" indent="1"/>
    </xf>
    <xf numFmtId="0" fontId="135" fillId="37" borderId="85" applyNumberFormat="0" applyProtection="0">
      <alignment horizontal="left" vertical="top" indent="1"/>
    </xf>
    <xf numFmtId="4" fontId="135" fillId="122" borderId="66" applyNumberFormat="0" applyProtection="0">
      <alignment horizontal="right" vertical="center"/>
    </xf>
    <xf numFmtId="4" fontId="135" fillId="123" borderId="85" applyNumberFormat="0" applyProtection="0">
      <alignment horizontal="right" vertical="center"/>
    </xf>
    <xf numFmtId="4" fontId="218" fillId="122" borderId="66" applyNumberFormat="0" applyProtection="0">
      <alignment horizontal="right" vertical="center"/>
    </xf>
    <xf numFmtId="4" fontId="218" fillId="123" borderId="85" applyNumberFormat="0" applyProtection="0">
      <alignment horizontal="right" vertical="center"/>
    </xf>
    <xf numFmtId="4" fontId="52" fillId="105" borderId="94">
      <alignment vertical="center"/>
    </xf>
    <xf numFmtId="4" fontId="225" fillId="105" borderId="94">
      <alignment vertical="center"/>
    </xf>
    <xf numFmtId="4" fontId="52" fillId="107" borderId="94">
      <alignment vertical="center"/>
    </xf>
    <xf numFmtId="4" fontId="225" fillId="111" borderId="94">
      <alignment vertical="center"/>
    </xf>
    <xf numFmtId="0" fontId="11" fillId="109" borderId="66" applyNumberFormat="0" applyProtection="0">
      <alignment horizontal="left" vertical="center" indent="1"/>
    </xf>
    <xf numFmtId="4" fontId="135" fillId="127" borderId="85" applyNumberFormat="0" applyProtection="0">
      <alignment horizontal="left" vertical="center" indent="1"/>
    </xf>
    <xf numFmtId="4" fontId="12" fillId="126" borderId="86" applyNumberFormat="0" applyProtection="0">
      <alignment horizontal="left" vertical="center"/>
    </xf>
    <xf numFmtId="4" fontId="198" fillId="79" borderId="85">
      <alignment horizontal="right" vertical="center"/>
    </xf>
    <xf numFmtId="4" fontId="198" fillId="79" borderId="85">
      <alignment horizontal="left" vertical="center" indent="1"/>
    </xf>
    <xf numFmtId="4" fontId="198" fillId="101" borderId="85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35" fillId="110" borderId="85" applyNumberFormat="0" applyProtection="0">
      <alignment horizontal="left" vertical="top" indent="1"/>
    </xf>
    <xf numFmtId="4" fontId="198" fillId="101" borderId="85">
      <alignment vertical="center"/>
    </xf>
    <xf numFmtId="4" fontId="226" fillId="101" borderId="85">
      <alignment vertical="center"/>
    </xf>
    <xf numFmtId="4" fontId="220" fillId="105" borderId="95">
      <alignment vertical="center"/>
    </xf>
    <xf numFmtId="4" fontId="221" fillId="105" borderId="95">
      <alignment vertical="center"/>
    </xf>
    <xf numFmtId="4" fontId="220" fillId="107" borderId="94">
      <alignment vertical="center"/>
    </xf>
    <xf numFmtId="4" fontId="221" fillId="107" borderId="94">
      <alignment vertical="center"/>
    </xf>
    <xf numFmtId="4" fontId="198" fillId="37" borderId="85">
      <alignment horizontal="left" vertical="center" indent="1"/>
    </xf>
    <xf numFmtId="0" fontId="227" fillId="0" borderId="0"/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0" fontId="12" fillId="128" borderId="9"/>
    <xf numFmtId="4" fontId="229" fillId="122" borderId="66" applyNumberFormat="0" applyProtection="0">
      <alignment horizontal="right" vertical="center"/>
    </xf>
    <xf numFmtId="4" fontId="229" fillId="123" borderId="85" applyNumberFormat="0" applyProtection="0">
      <alignment horizontal="right" vertical="center"/>
    </xf>
    <xf numFmtId="0" fontId="86" fillId="41" borderId="0" applyNumberFormat="0" applyBorder="0" applyAlignment="0" applyProtection="0"/>
    <xf numFmtId="0" fontId="72" fillId="3" borderId="0" applyNumberFormat="0" applyBorder="0" applyAlignment="0" applyProtection="0"/>
    <xf numFmtId="232" fontId="230" fillId="0" borderId="0" applyNumberFormat="0" applyFill="0" applyBorder="0" applyAlignment="0" applyProtection="0"/>
    <xf numFmtId="339" fontId="231" fillId="0" borderId="0" applyFont="0" applyFill="0" applyBorder="0" applyAlignment="0" applyProtection="0"/>
    <xf numFmtId="40" fontId="44" fillId="0" borderId="0" applyFont="0" applyFill="0" applyBorder="0" applyAlignment="0" applyProtection="0"/>
    <xf numFmtId="0" fontId="107" fillId="33" borderId="0" applyFont="0">
      <alignment vertical="top"/>
    </xf>
    <xf numFmtId="0" fontId="107" fillId="33" borderId="0" applyFont="0">
      <alignment vertical="top"/>
    </xf>
    <xf numFmtId="0" fontId="107" fillId="33" borderId="0" applyFont="0">
      <alignment vertical="top"/>
    </xf>
    <xf numFmtId="0" fontId="10" fillId="129" borderId="0"/>
    <xf numFmtId="0" fontId="232" fillId="130" borderId="96"/>
    <xf numFmtId="340" fontId="11" fillId="97" borderId="0"/>
    <xf numFmtId="38" fontId="44" fillId="96" borderId="0" applyNumberFormat="0" applyFont="0" applyBorder="0" applyAlignment="0" applyProtection="0"/>
    <xf numFmtId="0" fontId="213" fillId="1" borderId="46" applyNumberFormat="0" applyFont="0" applyAlignment="0">
      <alignment horizontal="center"/>
    </xf>
    <xf numFmtId="219" fontId="10" fillId="0" borderId="0"/>
    <xf numFmtId="0" fontId="233" fillId="0" borderId="0" applyNumberFormat="0" applyFill="0" applyBorder="0" applyAlignment="0" applyProtection="0"/>
    <xf numFmtId="341" fontId="11" fillId="0" borderId="0" applyFont="0" applyFill="0" applyBorder="0" applyAlignment="0" applyProtection="0"/>
    <xf numFmtId="342" fontId="234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235" fillId="0" borderId="0" applyProtection="0">
      <alignment vertical="center"/>
    </xf>
    <xf numFmtId="0" fontId="236" fillId="0" borderId="0" applyProtection="0">
      <alignment vertical="center"/>
    </xf>
    <xf numFmtId="0" fontId="237" fillId="0" borderId="0"/>
    <xf numFmtId="0" fontId="67" fillId="51" borderId="24" applyNumberFormat="0" applyAlignment="0" applyProtection="0"/>
    <xf numFmtId="0" fontId="173" fillId="0" borderId="0">
      <alignment horizontal="right"/>
    </xf>
    <xf numFmtId="49" fontId="173" fillId="0" borderId="0">
      <alignment horizontal="center"/>
    </xf>
    <xf numFmtId="0" fontId="133" fillId="0" borderId="0">
      <alignment horizontal="right"/>
    </xf>
    <xf numFmtId="0" fontId="173" fillId="0" borderId="0">
      <alignment horizontal="left"/>
    </xf>
    <xf numFmtId="0" fontId="10" fillId="0" borderId="0">
      <alignment horizontal="left"/>
    </xf>
    <xf numFmtId="0" fontId="78" fillId="0" borderId="0" applyNumberFormat="0" applyFill="0" applyBorder="0" applyAlignment="0">
      <alignment horizontal="center"/>
    </xf>
    <xf numFmtId="168" fontId="11" fillId="0" borderId="0" applyFont="0" applyFill="0" applyBorder="0" applyAlignment="0" applyProtection="0"/>
    <xf numFmtId="0" fontId="5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9" fontId="131" fillId="0" borderId="0">
      <alignment horizontal="left" vertical="center"/>
    </xf>
    <xf numFmtId="0" fontId="11" fillId="0" borderId="0"/>
    <xf numFmtId="0" fontId="238" fillId="131" borderId="97" applyNumberFormat="0">
      <alignment horizontal="center"/>
    </xf>
    <xf numFmtId="0" fontId="239" fillId="0" borderId="0"/>
    <xf numFmtId="0" fontId="80" fillId="0" borderId="0"/>
    <xf numFmtId="0" fontId="80" fillId="0" borderId="0"/>
    <xf numFmtId="0" fontId="80" fillId="0" borderId="0"/>
    <xf numFmtId="223" fontId="56" fillId="0" borderId="0"/>
    <xf numFmtId="223" fontId="56" fillId="0" borderId="0"/>
    <xf numFmtId="223" fontId="56" fillId="0" borderId="0"/>
    <xf numFmtId="223" fontId="56" fillId="0" borderId="0"/>
    <xf numFmtId="0" fontId="11" fillId="0" borderId="0"/>
    <xf numFmtId="0" fontId="11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12" fillId="0" borderId="0" applyNumberFormat="0" applyFill="0" applyBorder="0" applyAlignment="0" applyProtection="0"/>
    <xf numFmtId="0" fontId="11" fillId="0" borderId="0" applyNumberFormat="0" applyFill="0" applyBorder="0" applyProtection="0">
      <alignment horizontal="right" wrapText="1"/>
    </xf>
    <xf numFmtId="343" fontId="11" fillId="0" borderId="0" applyFill="0" applyBorder="0" applyAlignment="0" applyProtection="0">
      <alignment wrapText="1"/>
    </xf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25" fillId="0" borderId="0"/>
    <xf numFmtId="0" fontId="241" fillId="0" borderId="0"/>
    <xf numFmtId="40" fontId="25" fillId="0" borderId="0" applyBorder="0">
      <alignment horizontal="right"/>
    </xf>
    <xf numFmtId="40" fontId="242" fillId="0" borderId="0" applyBorder="0">
      <alignment horizontal="right"/>
    </xf>
    <xf numFmtId="38" fontId="243" fillId="0" borderId="0" applyFill="0" applyBorder="0" applyAlignment="0" applyProtection="0"/>
    <xf numFmtId="327" fontId="11" fillId="0" borderId="0" applyFill="0" applyBorder="0" applyAlignment="0" applyProtection="0"/>
    <xf numFmtId="344" fontId="244" fillId="132" borderId="0">
      <alignment horizontal="right" vertical="center"/>
    </xf>
    <xf numFmtId="49" fontId="133" fillId="0" borderId="42">
      <alignment horizontal="left" vertical="center"/>
    </xf>
    <xf numFmtId="49" fontId="56" fillId="0" borderId="42" applyFill="0">
      <alignment horizontal="left" vertical="center"/>
    </xf>
    <xf numFmtId="49" fontId="133" fillId="0" borderId="42">
      <alignment horizontal="left"/>
    </xf>
    <xf numFmtId="345" fontId="139" fillId="0" borderId="0">
      <alignment horizontal="right" vertical="center"/>
    </xf>
    <xf numFmtId="346" fontId="131" fillId="0" borderId="0" applyNumberFormat="0">
      <alignment horizontal="right"/>
    </xf>
    <xf numFmtId="0" fontId="167" fillId="133" borderId="0">
      <alignment horizontal="centerContinuous" vertical="center" wrapText="1"/>
    </xf>
    <xf numFmtId="0" fontId="106" fillId="0" borderId="0" applyBorder="0" applyProtection="0">
      <alignment horizontal="left"/>
    </xf>
    <xf numFmtId="0" fontId="167" fillId="0" borderId="98">
      <alignment horizontal="left" vertical="center"/>
    </xf>
    <xf numFmtId="0" fontId="34" fillId="0" borderId="0" applyFill="0" applyBorder="0" applyProtection="0">
      <alignment horizontal="left"/>
    </xf>
    <xf numFmtId="0" fontId="12" fillId="0" borderId="12" applyFill="0" applyBorder="0" applyProtection="0">
      <alignment horizontal="left" vertical="top"/>
    </xf>
    <xf numFmtId="0" fontId="12" fillId="0" borderId="12" applyFill="0" applyBorder="0" applyProtection="0">
      <alignment horizontal="left" vertical="top"/>
    </xf>
    <xf numFmtId="3" fontId="11" fillId="0" borderId="0" applyFont="0" applyFill="0" applyBorder="0" applyProtection="0">
      <alignment horizontal="right"/>
    </xf>
    <xf numFmtId="3" fontId="11" fillId="0" borderId="0" applyFont="0" applyFill="0" applyBorder="0" applyProtection="0">
      <alignment horizontal="right"/>
    </xf>
    <xf numFmtId="0" fontId="81" fillId="109" borderId="40"/>
    <xf numFmtId="0" fontId="81" fillId="109" borderId="40" applyNumberFormat="0" applyFont="0" applyFill="0" applyBorder="0" applyAlignment="0"/>
    <xf numFmtId="347" fontId="8" fillId="0" borderId="0" applyFill="0" applyBorder="0" applyAlignment="0" applyProtection="0"/>
    <xf numFmtId="0" fontId="11" fillId="0" borderId="0" applyFill="0" applyBorder="0" applyAlignment="0" applyProtection="0"/>
    <xf numFmtId="49" fontId="135" fillId="0" borderId="0" applyFill="0" applyBorder="0" applyAlignment="0"/>
    <xf numFmtId="49" fontId="135" fillId="0" borderId="0" applyFill="0" applyBorder="0" applyAlignment="0"/>
    <xf numFmtId="0" fontId="92" fillId="0" borderId="0" applyFill="0" applyBorder="0" applyAlignment="0"/>
    <xf numFmtId="348" fontId="11" fillId="0" borderId="0" applyFill="0" applyBorder="0" applyAlignment="0"/>
    <xf numFmtId="0" fontId="44" fillId="0" borderId="0" applyFill="0" applyBorder="0" applyAlignment="0"/>
    <xf numFmtId="349" fontId="11" fillId="0" borderId="0" applyFill="0" applyBorder="0" applyAlignment="0"/>
    <xf numFmtId="347" fontId="8" fillId="0" borderId="0" applyFill="0" applyBorder="0" applyAlignment="0" applyProtection="0"/>
    <xf numFmtId="0" fontId="144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207" fillId="96" borderId="13"/>
    <xf numFmtId="0" fontId="207" fillId="96" borderId="13"/>
    <xf numFmtId="20" fontId="44" fillId="0" borderId="0"/>
    <xf numFmtId="40" fontId="245" fillId="0" borderId="0"/>
    <xf numFmtId="232" fontId="107" fillId="0" borderId="0" applyNumberFormat="0" applyFill="0" applyBorder="0" applyAlignment="0" applyProtection="0">
      <alignment horizontal="left"/>
    </xf>
    <xf numFmtId="232" fontId="11" fillId="0" borderId="0">
      <protection locked="0"/>
    </xf>
    <xf numFmtId="232" fontId="11" fillId="0" borderId="0">
      <protection locked="0"/>
    </xf>
    <xf numFmtId="0" fontId="246" fillId="0" borderId="0" applyNumberFormat="0" applyFill="0" applyBorder="0" applyAlignment="0" applyProtection="0"/>
    <xf numFmtId="0" fontId="160" fillId="0" borderId="51" applyNumberFormat="0" applyFill="0" applyAlignment="0" applyProtection="0"/>
    <xf numFmtId="0" fontId="162" fillId="0" borderId="29" applyNumberFormat="0" applyFill="0" applyAlignment="0" applyProtection="0"/>
    <xf numFmtId="0" fontId="142" fillId="0" borderId="53" applyNumberFormat="0" applyFill="0" applyAlignment="0" applyProtection="0"/>
    <xf numFmtId="37" fontId="247" fillId="0" borderId="99"/>
    <xf numFmtId="37" fontId="247" fillId="0" borderId="99"/>
    <xf numFmtId="0" fontId="141" fillId="0" borderId="100" applyNumberFormat="0" applyFill="0" applyAlignment="0" applyProtection="0"/>
    <xf numFmtId="0" fontId="141" fillId="0" borderId="100" applyNumberFormat="0" applyFill="0" applyAlignment="0" applyProtection="0"/>
    <xf numFmtId="232" fontId="11" fillId="0" borderId="35">
      <protection locked="0"/>
    </xf>
    <xf numFmtId="3" fontId="207" fillId="0" borderId="0" applyAlignment="0">
      <alignment horizontal="center"/>
    </xf>
    <xf numFmtId="172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59" fillId="0" borderId="1" applyNumberFormat="0" applyFill="0" applyAlignment="0" applyProtection="0"/>
    <xf numFmtId="0" fontId="161" fillId="0" borderId="2" applyNumberFormat="0" applyFill="0" applyAlignment="0" applyProtection="0"/>
    <xf numFmtId="0" fontId="163" fillId="0" borderId="3" applyNumberFormat="0" applyFill="0" applyAlignment="0" applyProtection="0"/>
    <xf numFmtId="0" fontId="163" fillId="0" borderId="0" applyNumberFormat="0" applyFill="0" applyBorder="0" applyAlignment="0" applyProtection="0"/>
    <xf numFmtId="0" fontId="21" fillId="0" borderId="0"/>
    <xf numFmtId="0" fontId="18" fillId="0" borderId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73" fillId="0" borderId="0"/>
    <xf numFmtId="0" fontId="173" fillId="0" borderId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350" fontId="11" fillId="0" borderId="0" applyFont="0" applyFill="0" applyBorder="0" applyAlignment="0" applyProtection="0"/>
    <xf numFmtId="309" fontId="11" fillId="0" borderId="0">
      <protection locked="0"/>
    </xf>
    <xf numFmtId="351" fontId="248" fillId="0" borderId="18"/>
    <xf numFmtId="280" fontId="92" fillId="0" borderId="18" applyBorder="0">
      <alignment horizontal="left"/>
    </xf>
    <xf numFmtId="223" fontId="106" fillId="0" borderId="0">
      <alignment horizontal="center"/>
    </xf>
    <xf numFmtId="223" fontId="106" fillId="0" borderId="0">
      <alignment horizontal="center"/>
    </xf>
    <xf numFmtId="0" fontId="100" fillId="82" borderId="33" applyNumberFormat="0" applyAlignment="0" applyProtection="0"/>
    <xf numFmtId="0" fontId="185" fillId="0" borderId="5" applyNumberFormat="0" applyFill="0" applyAlignment="0" applyProtection="0"/>
    <xf numFmtId="170" fontId="11" fillId="0" borderId="0" applyFont="0" applyFill="0" applyBorder="0" applyAlignment="0" applyProtection="0"/>
    <xf numFmtId="0" fontId="78" fillId="0" borderId="0">
      <alignment textRotation="255"/>
    </xf>
    <xf numFmtId="0" fontId="7" fillId="0" borderId="0" applyFont="0" applyFill="0" applyBorder="0" applyAlignment="0" applyProtection="0"/>
    <xf numFmtId="352" fontId="44" fillId="0" borderId="0" applyFont="0" applyFill="0" applyBorder="0" applyAlignment="0" applyProtection="0"/>
    <xf numFmtId="353" fontId="44" fillId="0" borderId="0" applyFont="0" applyFill="0" applyBorder="0" applyAlignment="0" applyProtection="0"/>
    <xf numFmtId="354" fontId="11" fillId="0" borderId="0" applyFont="0" applyFill="0" applyBorder="0" applyAlignment="0" applyProtection="0"/>
    <xf numFmtId="355" fontId="11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58" fillId="134" borderId="101">
      <alignment horizontal="center"/>
    </xf>
    <xf numFmtId="1" fontId="249" fillId="0" borderId="0">
      <alignment horizontal="right"/>
    </xf>
    <xf numFmtId="0" fontId="250" fillId="0" borderId="0">
      <alignment horizontal="right"/>
    </xf>
    <xf numFmtId="1" fontId="249" fillId="0" borderId="0">
      <alignment horizontal="right"/>
    </xf>
    <xf numFmtId="0" fontId="251" fillId="0" borderId="8">
      <alignment horizontal="right"/>
    </xf>
    <xf numFmtId="0" fontId="251" fillId="0" borderId="8">
      <alignment horizontal="right"/>
    </xf>
    <xf numFmtId="185" fontId="10" fillId="0" borderId="0"/>
    <xf numFmtId="0" fontId="10" fillId="0" borderId="0"/>
    <xf numFmtId="0" fontId="10" fillId="0" borderId="0"/>
    <xf numFmtId="356" fontId="248" fillId="0" borderId="18" applyBorder="0"/>
    <xf numFmtId="0" fontId="105" fillId="6" borderId="6" applyNumberFormat="0" applyAlignment="0" applyProtection="0"/>
    <xf numFmtId="3" fontId="252" fillId="0" borderId="0" applyAlignment="0">
      <alignment horizontal="center"/>
    </xf>
    <xf numFmtId="0" fontId="11" fillId="0" borderId="0"/>
    <xf numFmtId="0" fontId="11" fillId="0" borderId="0"/>
    <xf numFmtId="357" fontId="22" fillId="0" borderId="0"/>
    <xf numFmtId="0" fontId="11" fillId="0" borderId="0"/>
    <xf numFmtId="0" fontId="11" fillId="0" borderId="0"/>
    <xf numFmtId="168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68" fontId="253" fillId="0" borderId="0" applyFont="0" applyFill="0" applyBorder="0" applyAlignment="0" applyProtection="0"/>
    <xf numFmtId="170" fontId="253" fillId="0" borderId="0" applyFont="0" applyFill="0" applyBorder="0" applyAlignment="0" applyProtection="0"/>
    <xf numFmtId="168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253" fillId="0" borderId="0"/>
    <xf numFmtId="0" fontId="93" fillId="0" borderId="0"/>
    <xf numFmtId="38" fontId="7" fillId="0" borderId="0" applyFont="0" applyFill="0" applyBorder="0" applyAlignment="0" applyProtection="0"/>
    <xf numFmtId="0" fontId="7" fillId="0" borderId="0"/>
    <xf numFmtId="167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67" fontId="253" fillId="0" borderId="0" applyFont="0" applyFill="0" applyBorder="0" applyAlignment="0" applyProtection="0"/>
    <xf numFmtId="169" fontId="253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0" fontId="141" fillId="86" borderId="0" applyNumberFormat="0" applyBorder="0" applyAlignment="0" applyProtection="0"/>
    <xf numFmtId="0" fontId="141" fillId="87" borderId="0" applyNumberFormat="0" applyBorder="0" applyAlignment="0" applyProtection="0"/>
    <xf numFmtId="0" fontId="141" fillId="88" borderId="0" applyNumberFormat="0" applyBorder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1" fillId="73" borderId="39" applyNumberFormat="0" applyFont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9" fontId="11" fillId="0" borderId="0" applyFont="0" applyFill="0" applyBorder="0" applyAlignment="0" applyProtection="0"/>
    <xf numFmtId="4" fontId="12" fillId="81" borderId="102" applyNumberFormat="0" applyProtection="0">
      <alignment horizontal="right" vertical="center"/>
    </xf>
    <xf numFmtId="4" fontId="254" fillId="81" borderId="102" applyNumberFormat="0" applyProtection="0">
      <alignment vertical="center"/>
    </xf>
    <xf numFmtId="0" fontId="217" fillId="56" borderId="103" applyNumberFormat="0" applyProtection="0">
      <alignment horizontal="left" vertical="top" indent="1"/>
    </xf>
    <xf numFmtId="4" fontId="106" fillId="126" borderId="102" applyNumberFormat="0" applyProtection="0">
      <alignment horizontal="left" vertical="center" indent="1"/>
    </xf>
    <xf numFmtId="4" fontId="12" fillId="112" borderId="103" applyNumberFormat="0" applyProtection="0">
      <alignment horizontal="right" vertical="center"/>
    </xf>
    <xf numFmtId="4" fontId="12" fillId="78" borderId="103" applyNumberFormat="0" applyProtection="0">
      <alignment horizontal="right" vertical="center"/>
    </xf>
    <xf numFmtId="4" fontId="12" fillId="111" borderId="103" applyNumberFormat="0" applyProtection="0">
      <alignment horizontal="right" vertical="center"/>
    </xf>
    <xf numFmtId="4" fontId="12" fillId="114" borderId="103" applyNumberFormat="0" applyProtection="0">
      <alignment horizontal="right" vertical="center"/>
    </xf>
    <xf numFmtId="4" fontId="12" fillId="115" borderId="103" applyNumberFormat="0" applyProtection="0">
      <alignment horizontal="right" vertical="center"/>
    </xf>
    <xf numFmtId="4" fontId="12" fillId="116" borderId="103" applyNumberFormat="0" applyProtection="0">
      <alignment horizontal="right" vertical="center"/>
    </xf>
    <xf numFmtId="4" fontId="12" fillId="117" borderId="103" applyNumberFormat="0" applyProtection="0">
      <alignment horizontal="right" vertical="center"/>
    </xf>
    <xf numFmtId="4" fontId="12" fillId="118" borderId="103" applyNumberFormat="0" applyProtection="0">
      <alignment horizontal="right" vertical="center"/>
    </xf>
    <xf numFmtId="4" fontId="12" fillId="108" borderId="103" applyNumberFormat="0" applyProtection="0">
      <alignment horizontal="right" vertical="center"/>
    </xf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4" fontId="12" fillId="37" borderId="103" applyNumberFormat="0" applyProtection="0">
      <alignment vertical="center"/>
    </xf>
    <xf numFmtId="4" fontId="12" fillId="37" borderId="103" applyNumberFormat="0" applyProtection="0">
      <alignment vertical="center"/>
    </xf>
    <xf numFmtId="0" fontId="135" fillId="46" borderId="103" applyNumberFormat="0" applyProtection="0">
      <alignment horizontal="left" vertical="top" indent="1"/>
    </xf>
    <xf numFmtId="4" fontId="12" fillId="0" borderId="102" applyNumberFormat="0" applyProtection="0">
      <alignment horizontal="right" vertical="center"/>
    </xf>
    <xf numFmtId="4" fontId="254" fillId="0" borderId="102" applyNumberFormat="0" applyProtection="0">
      <alignment horizontal="right" vertical="center"/>
    </xf>
    <xf numFmtId="0" fontId="135" fillId="127" borderId="103" applyNumberFormat="0" applyProtection="0">
      <alignment horizontal="left" vertical="top" indent="1"/>
    </xf>
    <xf numFmtId="4" fontId="12" fillId="104" borderId="102" applyNumberFormat="0" applyProtection="0">
      <alignment horizontal="right" vertical="center"/>
    </xf>
    <xf numFmtId="0" fontId="49" fillId="0" borderId="0"/>
    <xf numFmtId="0" fontId="233" fillId="0" borderId="0" applyNumberForma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170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76" fontId="0" fillId="0" borderId="0" xfId="0" applyNumberFormat="1"/>
    <xf numFmtId="176" fontId="3" fillId="0" borderId="9" xfId="0" applyNumberFormat="1" applyFont="1" applyBorder="1"/>
    <xf numFmtId="176" fontId="0" fillId="0" borderId="9" xfId="0" applyNumberFormat="1" applyBorder="1"/>
    <xf numFmtId="0" fontId="3" fillId="0" borderId="9" xfId="0" applyFont="1" applyBorder="1"/>
    <xf numFmtId="176" fontId="3" fillId="0" borderId="9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0" fillId="0" borderId="18" xfId="0" applyBorder="1"/>
    <xf numFmtId="176" fontId="0" fillId="0" borderId="18" xfId="0" applyNumberFormat="1" applyBorder="1"/>
    <xf numFmtId="176" fontId="3" fillId="0" borderId="16" xfId="0" applyNumberFormat="1" applyFont="1" applyBorder="1"/>
    <xf numFmtId="0" fontId="0" fillId="0" borderId="17" xfId="0" applyBorder="1"/>
    <xf numFmtId="0" fontId="3" fillId="0" borderId="18" xfId="0" applyFont="1" applyBorder="1"/>
    <xf numFmtId="0" fontId="3" fillId="0" borderId="0" xfId="0" applyFont="1" applyAlignment="1">
      <alignment horizontal="center"/>
    </xf>
    <xf numFmtId="0" fontId="3" fillId="0" borderId="18" xfId="0" applyFont="1" applyBorder="1" applyAlignment="1">
      <alignment horizontal="center"/>
    </xf>
    <xf numFmtId="0" fontId="0" fillId="32" borderId="18" xfId="0" applyFill="1" applyBorder="1"/>
    <xf numFmtId="176" fontId="3" fillId="0" borderId="0" xfId="0" applyNumberFormat="1" applyFont="1"/>
    <xf numFmtId="0" fontId="3" fillId="32" borderId="18" xfId="0" applyFont="1" applyFill="1" applyBorder="1"/>
    <xf numFmtId="180" fontId="0" fillId="32" borderId="18" xfId="19428" applyNumberFormat="1" applyFont="1" applyFill="1" applyBorder="1"/>
    <xf numFmtId="176" fontId="3" fillId="0" borderId="0" xfId="0" applyNumberFormat="1" applyFont="1" applyAlignment="1">
      <alignment horizontal="center"/>
    </xf>
    <xf numFmtId="176" fontId="3" fillId="0" borderId="18" xfId="0" applyNumberFormat="1" applyFont="1" applyBorder="1" applyAlignment="1">
      <alignment horizontal="center"/>
    </xf>
    <xf numFmtId="176" fontId="0" fillId="0" borderId="17" xfId="0" applyNumberFormat="1" applyBorder="1"/>
    <xf numFmtId="180" fontId="0" fillId="32" borderId="0" xfId="19428" applyNumberFormat="1" applyFont="1" applyFill="1"/>
    <xf numFmtId="0" fontId="0" fillId="0" borderId="104" xfId="0" applyBorder="1"/>
    <xf numFmtId="0" fontId="3" fillId="0" borderId="104" xfId="0" applyFont="1" applyBorder="1" applyAlignment="1">
      <alignment horizontal="centerContinuous"/>
    </xf>
    <xf numFmtId="176" fontId="0" fillId="32" borderId="12" xfId="0" applyNumberFormat="1" applyFill="1" applyBorder="1"/>
    <xf numFmtId="0" fontId="3" fillId="0" borderId="14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15" xfId="0" applyFont="1" applyBorder="1" applyAlignment="1">
      <alignment horizontal="centerContinuous"/>
    </xf>
    <xf numFmtId="0" fontId="3" fillId="0" borderId="63" xfId="0" applyFont="1" applyBorder="1"/>
    <xf numFmtId="0" fontId="3" fillId="0" borderId="63" xfId="0" applyFont="1" applyBorder="1" applyAlignment="1">
      <alignment horizontal="center"/>
    </xf>
    <xf numFmtId="178" fontId="0" fillId="0" borderId="18" xfId="19428" applyNumberFormat="1" applyFont="1" applyBorder="1"/>
    <xf numFmtId="178" fontId="0" fillId="0" borderId="17" xfId="19428" applyNumberFormat="1" applyFont="1" applyBorder="1"/>
    <xf numFmtId="178" fontId="0" fillId="0" borderId="14" xfId="19428" applyNumberFormat="1" applyFont="1" applyBorder="1"/>
    <xf numFmtId="0" fontId="3" fillId="0" borderId="104" xfId="0" applyFont="1" applyBorder="1" applyAlignment="1">
      <alignment horizontal="center"/>
    </xf>
    <xf numFmtId="0" fontId="3" fillId="0" borderId="12" xfId="0" applyFont="1" applyBorder="1"/>
    <xf numFmtId="178" fontId="0" fillId="0" borderId="12" xfId="19428" applyNumberFormat="1" applyFont="1" applyBorder="1"/>
    <xf numFmtId="176" fontId="3" fillId="0" borderId="63" xfId="0" applyNumberFormat="1" applyFont="1" applyBorder="1" applyAlignment="1">
      <alignment horizontal="center"/>
    </xf>
    <xf numFmtId="170" fontId="0" fillId="0" borderId="0" xfId="19428" applyFont="1"/>
    <xf numFmtId="170" fontId="0" fillId="32" borderId="0" xfId="19428" applyFont="1" applyFill="1"/>
    <xf numFmtId="0" fontId="0" fillId="0" borderId="0" xfId="0" applyAlignment="1">
      <alignment horizontal="center"/>
    </xf>
    <xf numFmtId="0" fontId="255" fillId="0" borderId="8" xfId="0" applyFont="1" applyBorder="1" applyAlignment="1">
      <alignment horizontal="center"/>
    </xf>
    <xf numFmtId="170" fontId="0" fillId="0" borderId="0" xfId="0" applyNumberFormat="1"/>
    <xf numFmtId="2" fontId="0" fillId="0" borderId="0" xfId="19429" applyNumberFormat="1" applyFont="1"/>
    <xf numFmtId="9" fontId="0" fillId="0" borderId="0" xfId="19429" applyFont="1" applyBorder="1"/>
    <xf numFmtId="9" fontId="0" fillId="0" borderId="0" xfId="19429" applyFont="1"/>
    <xf numFmtId="174" fontId="0" fillId="0" borderId="0" xfId="0" applyNumberFormat="1"/>
    <xf numFmtId="178" fontId="0" fillId="0" borderId="0" xfId="0" applyNumberFormat="1"/>
    <xf numFmtId="9" fontId="0" fillId="32" borderId="18" xfId="19429" applyFont="1" applyFill="1" applyBorder="1" applyAlignment="1">
      <alignment horizontal="center"/>
    </xf>
    <xf numFmtId="178" fontId="0" fillId="32" borderId="0" xfId="19428" applyNumberFormat="1" applyFont="1" applyFill="1"/>
    <xf numFmtId="0" fontId="3" fillId="0" borderId="105" xfId="0" applyFont="1" applyBorder="1" applyAlignment="1">
      <alignment horizontal="centerContinuous"/>
    </xf>
  </cellXfs>
  <cellStyles count="19430">
    <cellStyle name="—" xfId="4"/>
    <cellStyle name="          _x000a__x000a_386grabber=VGA.3GR_x000a__x000a_" xfId="5"/>
    <cellStyle name="          _x000a__x000a_386grabber=VGA.3GR_x000a__x000a_ 2" xfId="6"/>
    <cellStyle name="          _x000a__x000a_386grabber=VGA.3GR_x000a__x000a_ 3" xfId="7"/>
    <cellStyle name="          _x000a__x000a_386grabber=VGA.3GR_x000a__x000a__Sheet1" xfId="8"/>
    <cellStyle name="          _x000d__x000a_386grabber=VGA.3GR_x000d__x000a_" xfId="9"/>
    <cellStyle name="          _x000d__x000a_386grabber=VGA.3GR_x000d__x000a_ 2" xfId="10"/>
    <cellStyle name="          _x000d__x000a_386grabber=VGA.3GR_x000d__x000a_ 2 2" xfId="11"/>
    <cellStyle name="          _x000d__x000a_386grabber=VGA.3GR_x000d__x000a_ 2 3" xfId="12"/>
    <cellStyle name="          _x000d__x000a_386grabber=VGA.3GR_x000d__x000a_ 3" xfId="13"/>
    <cellStyle name="          _x000d__x000a_386grabber=VGA.3GR_x000d__x000a_ 3 2" xfId="14"/>
    <cellStyle name="          _x000d__x000a_386grabber=VGA.3GR_x000d__x000a_ 4" xfId="15"/>
    <cellStyle name="          _x000d__x000a_386grabber=VGA.3GR_x000d__x000a_ 5" xfId="16"/>
    <cellStyle name="          _x000d__x000a_386grabber=VGA.3GR_x000d__x000a__AOP2010 Cost Bridge Summary" xfId="17"/>
    <cellStyle name=" 1" xfId="18"/>
    <cellStyle name=" 1 2" xfId="19"/>
    <cellStyle name=" 2" xfId="20"/>
    <cellStyle name=" 3" xfId="21"/>
    <cellStyle name=" _x0007_LÓ_x0018_ÄþÍN^NuNVþˆHÁ_x0001__x0018_(n" xfId="22"/>
    <cellStyle name=" _x0007_LÓ_x0018_ÄþÍN^NuNVþˆHÁ_x0001__x0018_(n 2" xfId="23"/>
    <cellStyle name=" _x0007_LÓ_x0018_ÄþÍN^NuNVþˆHÁ_x0001__x0018_(n 2 2" xfId="24"/>
    <cellStyle name=" _x0007_LÓ_x0018_ÄþÍN^NuNVþˆHÁ_x0001__x0018_(n 3" xfId="25"/>
    <cellStyle name=" _x0007_LÓ_x0018_ÄþÍN^NuNVþˆHÁ_x0001__x0018_(n 4" xfId="26"/>
    <cellStyle name="_x000b_" xfId="27"/>
    <cellStyle name="_x0007__x000b_" xfId="28"/>
    <cellStyle name="_x000d__x000a_JournalTemplate=C:\COMFO\CTALK\JOURSTD.TPL_x000d__x000a_LbStateAddress=3 3 0 251 1 89 2 311_x000d__x000a_LbStateJou" xfId="29"/>
    <cellStyle name="_x000d__x000a_JournalTemplate=C:\COMFO\CTALK\JOURSTD.TPL_x000d__x000a_LbStateAddress=3 3 0 251 1 89 2 311_x000d__x000a_LbStateJou 2" xfId="30"/>
    <cellStyle name="&quot;X&quot; MEN" xfId="31"/>
    <cellStyle name="&quot;X&quot; MEN 2" xfId="32"/>
    <cellStyle name="$" xfId="33"/>
    <cellStyle name="$1000s (0)" xfId="34"/>
    <cellStyle name="$one" xfId="35"/>
    <cellStyle name="$two" xfId="36"/>
    <cellStyle name="%" xfId="37"/>
    <cellStyle name="% 2" xfId="38"/>
    <cellStyle name="% 2 2" xfId="39"/>
    <cellStyle name="% 2 3" xfId="40"/>
    <cellStyle name="% 2_FiT Pull" xfId="41"/>
    <cellStyle name="% 3" xfId="42"/>
    <cellStyle name="% 3 2" xfId="43"/>
    <cellStyle name="% 4" xfId="44"/>
    <cellStyle name="% 5" xfId="45"/>
    <cellStyle name="%_10.07.26_NA_SynergyActuals" xfId="46"/>
    <cellStyle name="%_100415 Corporate AR Base Data Summary v3" xfId="47"/>
    <cellStyle name="%_100419 Corporate AR Base Data Summary v11" xfId="48"/>
    <cellStyle name="%_100419 Synergy model v20 - no names" xfId="49"/>
    <cellStyle name="%_100420 Corporate AR Base Data Summary v17" xfId="50"/>
    <cellStyle name="%_100421 Corporate AR Base Data Summary v24" xfId="51"/>
    <cellStyle name="%_100422 Corporate AR Base Data Summary v34 with luxury back up" xfId="52"/>
    <cellStyle name="%_100422 Corporate AR Base Data Summary v35)" xfId="53"/>
    <cellStyle name="%_100426 Corporate AR Base Data Summary v41" xfId="54"/>
    <cellStyle name="%_100427 Corporate AR Base Data Summary v42" xfId="55"/>
    <cellStyle name="%_100428_Commercial_Cost inputs for model (3)" xfId="56"/>
    <cellStyle name="%_100430 Corporate AR Base Data Summary v52" xfId="57"/>
    <cellStyle name="%_100430 Corporate AR Base Data Summary v55" xfId="58"/>
    <cellStyle name="%_100430 Corporate AR Base Data Summary v56" xfId="59"/>
    <cellStyle name="%_100504 Corporate AR Base Data Summary v58" xfId="60"/>
    <cellStyle name="%_100504 Corporate AR Base Data Summary v62 - no depn (MT)" xfId="61"/>
    <cellStyle name="%_100504 Corporate AR Base Data Summary v62 - no depn_SD" xfId="62"/>
    <cellStyle name="%_100504 Corporate AR Base Data Summary v63" xfId="63"/>
    <cellStyle name="%_100504 Corporate AR Base Data Summary v64 no depn" xfId="64"/>
    <cellStyle name="%_100507 Corporate AR Base Data Summary v84" xfId="65"/>
    <cellStyle name="%_100507 Corporate AR Base Data Summary v93" xfId="66"/>
    <cellStyle name="%_100510 Corporate AR Base Data Summary v95" xfId="67"/>
    <cellStyle name="%_100512 Corporate AR Base Data Summary v108" xfId="68"/>
    <cellStyle name="%_100512 Corporate AR Base Data Summary v109" xfId="69"/>
    <cellStyle name="%_100512 Corporate AR Base Data Summary v110" xfId="70"/>
    <cellStyle name="%_100514 Corporate AR Base Data Summary v111" xfId="71"/>
    <cellStyle name="%_100518 Corporate AR Base Data Summary v118" xfId="72"/>
    <cellStyle name="%_100519 Corporate AR Base Data Summary v121" xfId="73"/>
    <cellStyle name="%_2010 AOP Consolidated KI Rebills V3" xfId="74"/>
    <cellStyle name="%_2010 AOP KFDM Rebills v2" xfId="75"/>
    <cellStyle name="%_2010 AOP KFE Rebills v3" xfId="76"/>
    <cellStyle name="%_20100723 NA July Submission rev 012 Excluding CSL projects" xfId="77"/>
    <cellStyle name="%_AC11 conso @Cst Fx after LFL restatement" xfId="78"/>
    <cellStyle name="%_AC11 conso @Cst Fx after LFL restatement 2" xfId="79"/>
    <cellStyle name="%_AC11 conso @Cst Fx after LFL restatement_P&amp;L KFE" xfId="80"/>
    <cellStyle name="%_AC11 conso @Cst Fx after LFL restatement_Sheet3" xfId="81"/>
    <cellStyle name="%_BACKUP '09-'11 @ AC'10 rate values v3" xfId="82"/>
    <cellStyle name="%_Book1" xfId="83"/>
    <cellStyle name="%_Book2" xfId="84"/>
    <cellStyle name="%_Copy of 100430 Corporate AR Base Data Summary v57" xfId="85"/>
    <cellStyle name="%_Copy of ANZ DD Summary" xfId="86"/>
    <cellStyle name="%_Copy of People Cost 2010-submitt" xfId="87"/>
    <cellStyle name="%_Corporate AR Base Data Summary 14 04 10" xfId="88"/>
    <cellStyle name="%_Corporate AR Base Data Summary 14 04 10 (MT)" xfId="89"/>
    <cellStyle name="%_Corporate AR Base Data Summary 14 04 10 v1 (2)" xfId="90"/>
    <cellStyle name="%_FiT Pull" xfId="91"/>
    <cellStyle name="%_FX RATES 2010" xfId="92"/>
    <cellStyle name="%_FY Consol CAdbury vs AOP" xfId="93"/>
    <cellStyle name="%_FY O&amp;R  @ AC" xfId="94"/>
    <cellStyle name="%_FY O&amp;R  @ AC 2" xfId="95"/>
    <cellStyle name="%_FY O&amp;R  @ AC_1" xfId="96"/>
    <cellStyle name="%_FY O&amp;R  @ AC_1 2" xfId="97"/>
    <cellStyle name="%_FY O&amp;R  @ AC_Opps&amp;Risks" xfId="98"/>
    <cellStyle name="%_FY O&amp;R  @ AC_Opps&amp;Risks 2" xfId="99"/>
    <cellStyle name="%_GP AC'11 28-09-10 values LFL with graphs &amp; A&amp;C" xfId="100"/>
    <cellStyle name="%_GP AC'11 28-09-10 values LFL with graphs &amp; A&amp;C v2" xfId="101"/>
    <cellStyle name="%_International Chargeback Summary - 2_Sep 9" xfId="102"/>
    <cellStyle name="%_International Chargeback Summary - 2_Sep 9_P&amp;L KFE" xfId="103"/>
    <cellStyle name="%_International Chargeback Summary - 2_Sep 9_Sheet3" xfId="104"/>
    <cellStyle name="%_NA IS GIMO Submission" xfId="105"/>
    <cellStyle name="%_Non FTE central costs - HR incl property and security v5" xfId="106"/>
    <cellStyle name="%_Non FTE validation spreadsheet IS.v1" xfId="107"/>
    <cellStyle name="%_O&amp;R Input + @ Latest Fc(AC now)" xfId="108"/>
    <cellStyle name="%_OI_ADJ" xfId="109"/>
    <cellStyle name="%_OI_ADJ 2" xfId="110"/>
    <cellStyle name="%_Opps&amp;Risks" xfId="111"/>
    <cellStyle name="%_Opps&amp;Risks 2" xfId="112"/>
    <cellStyle name="%_P&amp;L" xfId="113"/>
    <cellStyle name="%_P&amp;L_P&amp;L KFE" xfId="114"/>
    <cellStyle name="%_P&amp;L_Sheet3" xfId="115"/>
    <cellStyle name="%_Pension Development 2010-2013" xfId="116"/>
    <cellStyle name="%_Pension Development 2010-2013 2" xfId="117"/>
    <cellStyle name="%_Pension Development 2010-2013 2_P&amp;L KFE" xfId="118"/>
    <cellStyle name="%_Pension Development 2010-2013 2_Sheet3" xfId="119"/>
    <cellStyle name="%_Pension Development 2010-2013_P&amp;L KFE" xfId="120"/>
    <cellStyle name="%_Pension Development 2010-2013_Sheet3" xfId="121"/>
    <cellStyle name="%_Q1 O&amp;R  @ AC" xfId="122"/>
    <cellStyle name="%_Q1 O&amp;R  @ AC 2" xfId="123"/>
    <cellStyle name="%_Q1 O&amp;R  @ AC_1" xfId="124"/>
    <cellStyle name="%_Q1 O&amp;R  @ AC_1 2" xfId="125"/>
    <cellStyle name="%_Q1 O&amp;R  @ AC_Opps&amp;Risks" xfId="126"/>
    <cellStyle name="%_Q1 O&amp;R  @ AC_Opps&amp;Risks 2" xfId="127"/>
    <cellStyle name="%_rest" xfId="128"/>
    <cellStyle name="%_Savings EU 20090907" xfId="129"/>
    <cellStyle name="%_Savings EU 20090907 2" xfId="130"/>
    <cellStyle name="%_Sheet1" xfId="131"/>
    <cellStyle name="%_Sheet1_1" xfId="132"/>
    <cellStyle name="%_Sheet2" xfId="133"/>
    <cellStyle name="%_Sheet2_1" xfId="134"/>
    <cellStyle name="%_Sheet3" xfId="135"/>
    <cellStyle name="%_Sheet4" xfId="136"/>
    <cellStyle name="%_Sheet7" xfId="137"/>
    <cellStyle name="%_Synergy model v1" xfId="138"/>
    <cellStyle name="%_Synergy model v16 - no names" xfId="139"/>
    <cellStyle name="%_Synergy model v17 - no names" xfId="140"/>
    <cellStyle name="%_Synergy model v18 - no names" xfId="141"/>
    <cellStyle name="%_Synergy model v19 - no names" xfId="142"/>
    <cellStyle name="%_Synergy model v2" xfId="143"/>
    <cellStyle name="%_Synergy model v5" xfId="144"/>
    <cellStyle name="%_UOP balance by entity 6+6F" xfId="145"/>
    <cellStyle name="%_usd" xfId="146"/>
    <cellStyle name="%one" xfId="147"/>
    <cellStyle name="%two" xfId="148"/>
    <cellStyle name="(0.00%)" xfId="149"/>
    <cellStyle name="_x0001_,_x0001__x0001_" xfId="150"/>
    <cellStyle name=",000" xfId="151"/>
    <cellStyle name=",000.00" xfId="152"/>
    <cellStyle name="??" xfId="153"/>
    <cellStyle name="?_x001d_?" xfId="154"/>
    <cellStyle name="?? [0.00]_Sheet1" xfId="155"/>
    <cellStyle name="?? [0]" xfId="156"/>
    <cellStyle name="?_x001d_?'&amp;O" xfId="157"/>
    <cellStyle name="?_x001d_?'&amp;Oy—" xfId="158"/>
    <cellStyle name="?_x001d_?'&amp;Oy—&amp;" xfId="159"/>
    <cellStyle name="?_x001d_?'&amp;Oy—&amp;Hy_x000b__x0008_?" xfId="160"/>
    <cellStyle name="?_x001d_?'&amp;Oy—&amp;Hy_x000b__x0008_?_x0005_" xfId="161"/>
    <cellStyle name="?_x001d_?'&amp;Oy—&amp;Hy_x000b__x0008_?_x0005_v" xfId="162"/>
    <cellStyle name="?_x001d_?'&amp;Oy—&amp;Hy_x000b__x0008_?_x0005_v_x0006__x000f__x0001_" xfId="163"/>
    <cellStyle name="?_x001d_?'&amp;Oy—&amp;Hy_x000b__x0008_?_x0005_v_x0006__x000f__x0001__x0001_" xfId="164"/>
    <cellStyle name="?_x001d_?'&amp;Oy—_AOP'10 P1E - T4G Systems Budget" xfId="165"/>
    <cellStyle name="???? [0.00]_Sheet1" xfId="166"/>
    <cellStyle name="???????_A- Package Budget 2005 - envoi CBU v2" xfId="167"/>
    <cellStyle name="??????_28-31" xfId="168"/>
    <cellStyle name="????_Sheet1" xfId="169"/>
    <cellStyle name="???[0]" xfId="170"/>
    <cellStyle name="???_99flash" xfId="171"/>
    <cellStyle name="??[0]_adjusted" xfId="172"/>
    <cellStyle name="??_0722CE" xfId="173"/>
    <cellStyle name="?_x001d_?+&amp;??›&amp;??G_x0008_? ?_x000a__x0007__x0001__x0001_" xfId="174"/>
    <cellStyle name="??rky_IC0901" xfId="175"/>
    <cellStyle name="?árky [0]_G Tableau Bord" xfId="176"/>
    <cellStyle name="?árky_G Tableau Bord" xfId="177"/>
    <cellStyle name="?iarky [0]_annex9015-VII" xfId="178"/>
    <cellStyle name="?iarky_annex9015-VII" xfId="179"/>
    <cellStyle name="?rove?_riadka_1_Ibr SRF01 Draft" xfId="180"/>
    <cellStyle name="@_text" xfId="181"/>
    <cellStyle name="@_text_AC11 bridge Sept30 2010" xfId="182"/>
    <cellStyle name="@_text_Biscuits ACT10 P12 USD" xfId="183"/>
    <cellStyle name="@_text_Biscuits Top Line Rate Charts" xfId="184"/>
    <cellStyle name="@_text_bridge" xfId="185"/>
    <cellStyle name="@_text_Category Template AC'11 @Cst Fx 52W vs 53W" xfId="186"/>
    <cellStyle name="@_text_Category Template AC'11 28092010" xfId="187"/>
    <cellStyle name="@_text_Category Template AC'11 30092010v4" xfId="188"/>
    <cellStyle name="@_text_Category Template AC'11 Oct7 Feedback" xfId="189"/>
    <cellStyle name="@_text_Category Template AC'11_sent to countries" xfId="190"/>
    <cellStyle name="@_text_Category Template AC'11_sent to countries ( euro )" xfId="191"/>
    <cellStyle name="@_text_Category Template AC'11_sent to countries ( euro )_after feedback" xfId="192"/>
    <cellStyle name="@_text_Category Template AC'11_sent to countries à modifier" xfId="193"/>
    <cellStyle name="@_text_Category Template AC'11_sent to countries_1" xfId="194"/>
    <cellStyle name="@_text_Cost bridge" xfId="195"/>
    <cellStyle name="@_text_EVA COGS AC11 vs AugFc_24-09" xfId="196"/>
    <cellStyle name="@_text_Italy Mgmt bridge AC'11 vs Aug Fc" xfId="197"/>
    <cellStyle name="@_text_KBE reporting template ACT10 P6 UK WSM" xfId="198"/>
    <cellStyle name="@_text_Management bridge Biscuits Scandinavia AC11" xfId="199"/>
    <cellStyle name="@_text_Mgmt bridge AC'11 vs Aug Fc_Spain" xfId="200"/>
    <cellStyle name="@_text_Mgmt Bridge DAC_O_R_c (2)" xfId="201"/>
    <cellStyle name="@_text_Monthly report P01 USD" xfId="202"/>
    <cellStyle name="@_text_NC Drivers PY Qrt excl Cadbury" xfId="203"/>
    <cellStyle name="@_text_P&amp;L FY" xfId="204"/>
    <cellStyle name="@_text_P&amp;L Qrt" xfId="205"/>
    <cellStyle name="@_text_P&amp;L Qrt_Category Template AC'11_sent to countries ( euro )_after feedback" xfId="206"/>
    <cellStyle name="@_text_P&amp;L Rev and NC" xfId="207"/>
    <cellStyle name="@_text_PA" xfId="208"/>
    <cellStyle name="@_text_Pricing Bridge" xfId="209"/>
    <cellStyle name="@_text_Pricing Bridge - Pricing Actions AC 2011 (3)" xfId="210"/>
    <cellStyle name="@_text_Template Aug Fc AOP (3)" xfId="211"/>
    <cellStyle name="@_text_UK - 24Sep Bridge" xfId="212"/>
    <cellStyle name="]_x000a__x000a_Zoomed=1_x000a__x000a_Row=0_x000a__x000a_Column=0_x000a__x000a_Height=0_x000a__x000a_Width=0_x000a__x000a_FontName=MS Sans Serif_x000a__x000a_FontStyle=1_x000a__x000a_FontSize=8_x000a__x000a_PrtFontName=C" xfId="213"/>
    <cellStyle name="]_x000d__x000a_Zoomed=1_x000d__x000a_Row=0_x000d__x000a_Column=0_x000d__x000a_Height=0_x000d__x000a_Width=0_x000d__x000a_FontName=MS Sans Serif_x000d__x000a_FontStyle=1_x000d__x000a_FontSize=8_x000d__x000a_PrtFontName=C" xfId="214"/>
    <cellStyle name="_ May 2008 EMEA" xfId="215"/>
    <cellStyle name="_!AC2011 COGS BISCUITS_20100921" xfId="216"/>
    <cellStyle name="_#4-FOB Scedules SC_FACTORY" xfId="217"/>
    <cellStyle name="_#4-FOB Scedules SC_FACTORY 2" xfId="218"/>
    <cellStyle name="_#4-FOB Scedules SC_FACTORY_Category Template AC'11 @Cst Fx 52W vs 53W" xfId="219"/>
    <cellStyle name="_#4-FOB Scedules SC_FACTORY_Category Template AC'11 @Cst Fx 52W vs 53W 2" xfId="220"/>
    <cellStyle name="_#4-FOB Scedules SC_FACTORY_Category Template AC'11 @Cst Fx 52W vs 53W_P&amp;L KFE" xfId="221"/>
    <cellStyle name="_#4-FOB Scedules SC_FACTORY_Category Template AC'11 @Cst Fx 52W vs 53W_Sheet3" xfId="222"/>
    <cellStyle name="_#4-FOB Scedules SC_FACTORY_OB 2008 w JAA-PY" xfId="223"/>
    <cellStyle name="_#4-FOB Scedules SC_FACTORY_OB 2008 w JAA-PY 2" xfId="224"/>
    <cellStyle name="_#4-FOB Scedules SC_FACTORY_OB 2008 w JAA-PY_Category Template AC'11 @Cst Fx 52W vs 53W" xfId="225"/>
    <cellStyle name="_#4-FOB Scedules SC_FACTORY_OB 2008 w JAA-PY_Category Template AC'11 @Cst Fx 52W vs 53W 2" xfId="226"/>
    <cellStyle name="_#4-FOB Scedules SC_FACTORY_OB 2008 w JAA-PY_Category Template AC'11 @Cst Fx 52W vs 53W_P&amp;L KFE" xfId="227"/>
    <cellStyle name="_#4-FOB Scedules SC_FACTORY_OB 2008 w JAA-PY_Category Template AC'11 @Cst Fx 52W vs 53W_Sheet3" xfId="228"/>
    <cellStyle name="_#4-FOB Scedules SC_FACTORY_OB 2008 w JAA-PY_P&amp;L KFE" xfId="229"/>
    <cellStyle name="_#4-FOB Scedules SC_FACTORY_OB 2008 w JAA-PY_Sheet3" xfId="230"/>
    <cellStyle name="_#4-FOB Scedules SC_FACTORY_P&amp;L KFE" xfId="231"/>
    <cellStyle name="_#4-FOB Scedules SC_FACTORY_powerpoint content" xfId="232"/>
    <cellStyle name="_#4-FOB Scedules SC_FACTORY_powerpoint content 2" xfId="233"/>
    <cellStyle name="_#4-FOB Scedules SC_FACTORY_powerpoint content_Category Template AC'11 @Cst Fx 52W vs 53W" xfId="234"/>
    <cellStyle name="_#4-FOB Scedules SC_FACTORY_powerpoint content_Category Template AC'11 @Cst Fx 52W vs 53W 2" xfId="235"/>
    <cellStyle name="_#4-FOB Scedules SC_FACTORY_powerpoint content_Category Template AC'11 @Cst Fx 52W vs 53W_P&amp;L KFE" xfId="236"/>
    <cellStyle name="_#4-FOB Scedules SC_FACTORY_powerpoint content_Category Template AC'11 @Cst Fx 52W vs 53W_Sheet3" xfId="237"/>
    <cellStyle name="_#4-FOB Scedules SC_FACTORY_powerpoint content_P&amp;L KFE" xfId="238"/>
    <cellStyle name="_#4-FOB Scedules SC_FACTORY_powerpoint content_Sheet3" xfId="239"/>
    <cellStyle name="_#4-FOB Scedules SC_FACTORY_Sheet3" xfId="240"/>
    <cellStyle name="_(05) OC drivers Platform vs. ACT06" xfId="241"/>
    <cellStyle name="_(05) OC drivers Platform vs. ACT06_DSF OB09 DCD" xfId="242"/>
    <cellStyle name="_(05) OC drivers Platform vs. ACT06_Kraft Japan OB09 DCD" xfId="243"/>
    <cellStyle name="_(05) OC drivers Platform vs. ACT06_PRC OB09 DCD" xfId="244"/>
    <cellStyle name="_(05) OC drivers Platform vs. ACT06_PRC OB09 vs Act08 (0203)" xfId="245"/>
    <cellStyle name="_(05) OC drivers Platform vs. ACT06_TW OB09 DCD" xfId="246"/>
    <cellStyle name="_(05) OC drivers Platform vs. ACT06_TW OB09 vs Act08 Template (Jan21)" xfId="247"/>
    <cellStyle name="_~7626858" xfId="248"/>
    <cellStyle name="_~8981503" xfId="249"/>
    <cellStyle name="_~8981503 2" xfId="250"/>
    <cellStyle name="_0. AC 2011 Adjustment for Chocolate Drinks_ORBIS" xfId="251"/>
    <cellStyle name="_01_KFE_Actual Results" xfId="252"/>
    <cellStyle name="_01_KFE_Actual Results 2" xfId="253"/>
    <cellStyle name="_01_KFE_Actual Results 2_P&amp;L KFE" xfId="254"/>
    <cellStyle name="_01_KFE_Actual Results 2_Sheet3" xfId="255"/>
    <cellStyle name="_01_KFE_Actual Results 3" xfId="256"/>
    <cellStyle name="_01_KFE_Actual Results_2011 Targets by category Aug 25" xfId="257"/>
    <cellStyle name="_01_KFE_Actual Results_AC11 conso @Cst Fx" xfId="258"/>
    <cellStyle name="_01_KFE_Actual Results_AC11 conso @Cst Fx 2" xfId="259"/>
    <cellStyle name="_01_KFE_Actual Results_AC11 conso @Cst Fx after LFL restatement" xfId="260"/>
    <cellStyle name="_01_KFE_Actual Results_AC11 conso @Cst Fx after LFL restatement 2" xfId="261"/>
    <cellStyle name="_01_KFE_Actual Results_AC11 conso @Cst Fx after LFL restatement_P&amp;L KFE" xfId="262"/>
    <cellStyle name="_01_KFE_Actual Results_AC11 conso @Cst Fx after LFL restatement_Sheet3" xfId="263"/>
    <cellStyle name="_01_KFE_Actual Results_AC11 conso @Cst Fx_P&amp;L KFE" xfId="264"/>
    <cellStyle name="_01_KFE_Actual Results_AC11 conso @Cst Fx_Sheet3" xfId="265"/>
    <cellStyle name="_01_KFE_Actual Results_Category PnL" xfId="266"/>
    <cellStyle name="_01_KFE_Actual Results_Category PnL 2" xfId="267"/>
    <cellStyle name="_01_KFE_Actual Results_Category PnL_P&amp;L KFE" xfId="268"/>
    <cellStyle name="_01_KFE_Actual Results_Category PnL_Sheet3" xfId="269"/>
    <cellStyle name="_01_KFE_Actual Results_Category Template_Actuals" xfId="270"/>
    <cellStyle name="_01_KFE_Actual Results_Category Template_Actuals 2" xfId="271"/>
    <cellStyle name="_01_KFE_Actual Results_Category Template_Actuals NEW" xfId="272"/>
    <cellStyle name="_01_KFE_Actual Results_Category Template_Actuals NEW 2" xfId="273"/>
    <cellStyle name="_01_KFE_Actual Results_Category Template_Actuals NEW_Biscuits Actual Results P01" xfId="274"/>
    <cellStyle name="_01_KFE_Actual Results_Category Template_Actuals NEW_Biscuits Actual Results P01 2" xfId="275"/>
    <cellStyle name="_01_KFE_Actual Results_Category Template_Actuals NEW_Biscuits Actual Results P01_Category Template_Actuals" xfId="276"/>
    <cellStyle name="_01_KFE_Actual Results_Category Template_Actuals NEW_Biscuits Actual Results P01_Category Template_Actuals 2" xfId="277"/>
    <cellStyle name="_01_KFE_Actual Results_Category Template_Actuals NEW_Biscuits Actual Results P01_Category Template_Actuals_Biscuits Actual Results P02" xfId="278"/>
    <cellStyle name="_01_KFE_Actual Results_Category Template_Actuals NEW_Biscuits Actual Results P01_Category Template_Actuals_Biscuits Actual Results P02 2" xfId="279"/>
    <cellStyle name="_01_KFE_Actual Results_Category Template_Actuals NEW_Biscuits Actual Results P01_Category Template_Actuals_Biscuits Actual Results P02_Category Template_Actuals" xfId="280"/>
    <cellStyle name="_01_KFE_Actual Results_Category Template_Actuals NEW_Biscuits Actual Results P01_Category Template_Actuals_Biscuits Actual Results P02_Category Template_Actuals_Biscuits Actual Results P04" xfId="281"/>
    <cellStyle name="_01_KFE_Actual Results_Category Template_Actuals NEW_Biscuits Actual Results P01_Category Template_Actuals_Biscuits Actual Results P02_Category Template_Actuals_P&amp;L P06 AFH AC US" xfId="282"/>
    <cellStyle name="_01_KFE_Actual Results_Category Template_Actuals NEW_Biscuits Actual Results P01_Category Template_Actuals_Biscuits Actual Results P02_P&amp;L" xfId="283"/>
    <cellStyle name="_01_KFE_Actual Results_Category Template_Actuals NEW_Biscuits Actual Results P01_Category Template_Actuals_Biscuits Actual Results P02_P&amp;L_P&amp;L KFE" xfId="284"/>
    <cellStyle name="_01_KFE_Actual Results_Category Template_Actuals NEW_Biscuits Actual Results P01_Category Template_Actuals_Biscuits Actual Results P02_P&amp;L_Sheet3" xfId="285"/>
    <cellStyle name="_01_KFE_Actual Results_Category Template_Actuals NEW_Biscuits Actual Results P01_Category Template_Actuals_Biscuits Actual Results P02_VRAN YTD" xfId="286"/>
    <cellStyle name="_01_KFE_Actual Results_Category Template_Actuals NEW_Biscuits Actual Results P01_Category Template_Actuals_Biscuits Actual Results P04" xfId="287"/>
    <cellStyle name="_01_KFE_Actual Results_Category Template_Actuals NEW_Biscuits Actual Results P01_Category Template_Actuals_P&amp;L" xfId="288"/>
    <cellStyle name="_01_KFE_Actual Results_Category Template_Actuals NEW_Biscuits Actual Results P01_Category Template_Actuals_P&amp;L P06 AFH AC US" xfId="289"/>
    <cellStyle name="_01_KFE_Actual Results_Category Template_Actuals NEW_Biscuits Actual Results P01_Category Template_Actuals_P&amp;L_P&amp;L KFE" xfId="290"/>
    <cellStyle name="_01_KFE_Actual Results_Category Template_Actuals NEW_Biscuits Actual Results P01_Category Template_Actuals_P&amp;L_Sheet3" xfId="291"/>
    <cellStyle name="_01_KFE_Actual Results_Category Template_Actuals NEW_Biscuits Actual Results P01_P&amp;L" xfId="292"/>
    <cellStyle name="_01_KFE_Actual Results_Category Template_Actuals NEW_Biscuits Actual Results P01_P&amp;L_P&amp;L KFE" xfId="293"/>
    <cellStyle name="_01_KFE_Actual Results_Category Template_Actuals NEW_Biscuits Actual Results P01_P&amp;L_Sheet3" xfId="294"/>
    <cellStyle name="_01_KFE_Actual Results_Category Template_Actuals NEW_Biscuits Actual Results P01_VRAN YTD" xfId="295"/>
    <cellStyle name="_01_KFE_Actual Results_Category Template_Actuals NEW_Biscuits Actual Results P02" xfId="296"/>
    <cellStyle name="_01_KFE_Actual Results_Category Template_Actuals NEW_Biscuits Actual Results P02 2" xfId="297"/>
    <cellStyle name="_01_KFE_Actual Results_Category Template_Actuals NEW_Biscuits Actual Results P02_Category Template_Actuals" xfId="298"/>
    <cellStyle name="_01_KFE_Actual Results_Category Template_Actuals NEW_Biscuits Actual Results P02_Category Template_Actuals_Biscuits Actual Results P04" xfId="299"/>
    <cellStyle name="_01_KFE_Actual Results_Category Template_Actuals NEW_Biscuits Actual Results P02_Category Template_Actuals_P&amp;L P06 AFH AC US" xfId="300"/>
    <cellStyle name="_01_KFE_Actual Results_Category Template_Actuals NEW_Biscuits Actual Results P02_P&amp;L" xfId="301"/>
    <cellStyle name="_01_KFE_Actual Results_Category Template_Actuals NEW_Biscuits Actual Results P02_P&amp;L_P&amp;L KFE" xfId="302"/>
    <cellStyle name="_01_KFE_Actual Results_Category Template_Actuals NEW_Biscuits Actual Results P02_P&amp;L_Sheet3" xfId="303"/>
    <cellStyle name="_01_KFE_Actual Results_Category Template_Actuals NEW_Biscuits Actual Results P02_VRAN YTD" xfId="304"/>
    <cellStyle name="_01_KFE_Actual Results_Category Template_Actuals NEW_Biscuits Actual Results P04" xfId="305"/>
    <cellStyle name="_01_KFE_Actual Results_Category Template_Actuals NEW_Biscuits Actual Results P1 BIS" xfId="306"/>
    <cellStyle name="_01_KFE_Actual Results_Category Template_Actuals NEW_Biscuits Actual Results P1 BIS 2" xfId="307"/>
    <cellStyle name="_01_KFE_Actual Results_Category Template_Actuals NEW_Biscuits Actual Results P1 BIS_Category Template_Actuals" xfId="308"/>
    <cellStyle name="_01_KFE_Actual Results_Category Template_Actuals NEW_Biscuits Actual Results P1 BIS_Category Template_Actuals_Biscuits Actual Results P04" xfId="309"/>
    <cellStyle name="_01_KFE_Actual Results_Category Template_Actuals NEW_Biscuits Actual Results P1 BIS_Category Template_Actuals_P&amp;L P06 AFH AC US" xfId="310"/>
    <cellStyle name="_01_KFE_Actual Results_Category Template_Actuals NEW_Biscuits Actual Results P1 BIS_P&amp;L" xfId="311"/>
    <cellStyle name="_01_KFE_Actual Results_Category Template_Actuals NEW_Biscuits Actual Results P1 BIS_P&amp;L_P&amp;L KFE" xfId="312"/>
    <cellStyle name="_01_KFE_Actual Results_Category Template_Actuals NEW_Biscuits Actual Results P1 BIS_P&amp;L_Sheet3" xfId="313"/>
    <cellStyle name="_01_KFE_Actual Results_Category Template_Actuals NEW_Biscuits Actual Results P1 BIS_VRAN YTD" xfId="314"/>
    <cellStyle name="_01_KFE_Actual Results_Category Template_Actuals NEW_Biscuits Actual Results P12 161210" xfId="315"/>
    <cellStyle name="_01_KFE_Actual Results_Category Template_Actuals NEW_Biscuits Actual Results P12 161210 2" xfId="316"/>
    <cellStyle name="_01_KFE_Actual Results_Category Template_Actuals NEW_Biscuits Actual Results P12 161210_Category Template_Actuals" xfId="317"/>
    <cellStyle name="_01_KFE_Actual Results_Category Template_Actuals NEW_Biscuits Actual Results P12 161210_Category Template_Actuals 2" xfId="318"/>
    <cellStyle name="_01_KFE_Actual Results_Category Template_Actuals NEW_Biscuits Actual Results P12 161210_Category Template_Actuals_Biscuits Actual Results P02" xfId="319"/>
    <cellStyle name="_01_KFE_Actual Results_Category Template_Actuals NEW_Biscuits Actual Results P12 161210_Category Template_Actuals_Biscuits Actual Results P02 2" xfId="320"/>
    <cellStyle name="_01_KFE_Actual Results_Category Template_Actuals NEW_Biscuits Actual Results P12 161210_Category Template_Actuals_Biscuits Actual Results P02_Category Template_Actuals" xfId="321"/>
    <cellStyle name="_01_KFE_Actual Results_Category Template_Actuals NEW_Biscuits Actual Results P12 161210_Category Template_Actuals_Biscuits Actual Results P02_Category Template_Actuals_Biscuits Actual Results P04" xfId="322"/>
    <cellStyle name="_01_KFE_Actual Results_Category Template_Actuals NEW_Biscuits Actual Results P12 161210_Category Template_Actuals_Biscuits Actual Results P02_Category Template_Actuals_P&amp;L P06 AFH AC US" xfId="323"/>
    <cellStyle name="_01_KFE_Actual Results_Category Template_Actuals NEW_Biscuits Actual Results P12 161210_Category Template_Actuals_Biscuits Actual Results P02_P&amp;L" xfId="324"/>
    <cellStyle name="_01_KFE_Actual Results_Category Template_Actuals NEW_Biscuits Actual Results P12 161210_Category Template_Actuals_Biscuits Actual Results P02_P&amp;L_P&amp;L KFE" xfId="325"/>
    <cellStyle name="_01_KFE_Actual Results_Category Template_Actuals NEW_Biscuits Actual Results P12 161210_Category Template_Actuals_Biscuits Actual Results P02_P&amp;L_Sheet3" xfId="326"/>
    <cellStyle name="_01_KFE_Actual Results_Category Template_Actuals NEW_Biscuits Actual Results P12 161210_Category Template_Actuals_Biscuits Actual Results P02_VRAN YTD" xfId="327"/>
    <cellStyle name="_01_KFE_Actual Results_Category Template_Actuals NEW_Biscuits Actual Results P12 161210_Category Template_Actuals_Biscuits Actual Results P04" xfId="328"/>
    <cellStyle name="_01_KFE_Actual Results_Category Template_Actuals NEW_Biscuits Actual Results P12 161210_Category Template_Actuals_P&amp;L" xfId="329"/>
    <cellStyle name="_01_KFE_Actual Results_Category Template_Actuals NEW_Biscuits Actual Results P12 161210_Category Template_Actuals_P&amp;L P06 AFH AC US" xfId="330"/>
    <cellStyle name="_01_KFE_Actual Results_Category Template_Actuals NEW_Biscuits Actual Results P12 161210_Category Template_Actuals_P&amp;L_P&amp;L KFE" xfId="331"/>
    <cellStyle name="_01_KFE_Actual Results_Category Template_Actuals NEW_Biscuits Actual Results P12 161210_Category Template_Actuals_P&amp;L_Sheet3" xfId="332"/>
    <cellStyle name="_01_KFE_Actual Results_Category Template_Actuals NEW_Biscuits Actual Results P12 161210_P&amp;L" xfId="333"/>
    <cellStyle name="_01_KFE_Actual Results_Category Template_Actuals NEW_Biscuits Actual Results P12 161210_P&amp;L_P&amp;L KFE" xfId="334"/>
    <cellStyle name="_01_KFE_Actual Results_Category Template_Actuals NEW_Biscuits Actual Results P12 161210_P&amp;L_Sheet3" xfId="335"/>
    <cellStyle name="_01_KFE_Actual Results_Category Template_Actuals NEW_Biscuits Actual Results P12 161210_VRAN YTD" xfId="336"/>
    <cellStyle name="_01_KFE_Actual Results_Category Template_Actuals NEW_P&amp;L" xfId="337"/>
    <cellStyle name="_01_KFE_Actual Results_Category Template_Actuals NEW_P&amp;L P06 AFH AC US" xfId="338"/>
    <cellStyle name="_01_KFE_Actual Results_Category Template_Actuals NEW_P&amp;L_P&amp;L KFE" xfId="339"/>
    <cellStyle name="_01_KFE_Actual Results_Category Template_Actuals NEW_P&amp;L_Sheet3" xfId="340"/>
    <cellStyle name="_01_KFE_Actual Results_Category Template_Actuals_Biscuits Actual Results P02" xfId="341"/>
    <cellStyle name="_01_KFE_Actual Results_Category Template_Actuals_Biscuits Actual Results P02 2" xfId="342"/>
    <cellStyle name="_01_KFE_Actual Results_Category Template_Actuals_Biscuits Actual Results P02_Category Template_Actuals" xfId="343"/>
    <cellStyle name="_01_KFE_Actual Results_Category Template_Actuals_Biscuits Actual Results P02_Category Template_Actuals_Biscuits Actual Results P04" xfId="344"/>
    <cellStyle name="_01_KFE_Actual Results_Category Template_Actuals_Biscuits Actual Results P02_Category Template_Actuals_P&amp;L P06 AFH AC US" xfId="345"/>
    <cellStyle name="_01_KFE_Actual Results_Category Template_Actuals_Biscuits Actual Results P02_P&amp;L" xfId="346"/>
    <cellStyle name="_01_KFE_Actual Results_Category Template_Actuals_Biscuits Actual Results P02_P&amp;L_P&amp;L KFE" xfId="347"/>
    <cellStyle name="_01_KFE_Actual Results_Category Template_Actuals_Biscuits Actual Results P02_P&amp;L_Sheet3" xfId="348"/>
    <cellStyle name="_01_KFE_Actual Results_Category Template_Actuals_Biscuits Actual Results P02_VRAN YTD" xfId="349"/>
    <cellStyle name="_01_KFE_Actual Results_Category Template_Actuals_Biscuits Actual Results P04" xfId="350"/>
    <cellStyle name="_01_KFE_Actual Results_Category Template_Actuals_P&amp;L" xfId="351"/>
    <cellStyle name="_01_KFE_Actual Results_Category Template_Actuals_P&amp;L P06 AFH AC US" xfId="352"/>
    <cellStyle name="_01_KFE_Actual Results_Category Template_Actuals_P&amp;L_P&amp;L KFE" xfId="353"/>
    <cellStyle name="_01_KFE_Actual Results_Category Template_Actuals_P&amp;L_Sheet3" xfId="354"/>
    <cellStyle name="_01_KFE_Actual Results_KFE Category PnL template_Combined_P03 (2)" xfId="355"/>
    <cellStyle name="_01_KFE_Actual Results_KFE Category PnL template_Combined_P03 (2)_P&amp;L KFE" xfId="356"/>
    <cellStyle name="_01_KFE_Actual Results_KFE Category PnL template_Combined_P03 (2)_Sheet3" xfId="357"/>
    <cellStyle name="_01_KFE_Actual Results_KFE Category PnL template_Kraft Legacy (2)" xfId="358"/>
    <cellStyle name="_01_KFE_Actual Results_KFE Category PnL template_Kraft Legacy (2)_P&amp;L KFE" xfId="359"/>
    <cellStyle name="_01_KFE_Actual Results_KFE Category PnL template_Kraft Legacy (2)_Sheet3" xfId="360"/>
    <cellStyle name="_01_KFE_Actual Results_KFE Category PnL template_Kraft Legacy (4)" xfId="361"/>
    <cellStyle name="_01_KFE_Actual Results_KFE Category PnL template_Kraft Legacy (4)_P&amp;L KFE" xfId="362"/>
    <cellStyle name="_01_KFE_Actual Results_KFE Category PnL template_Kraft Legacy (4)_Sheet3" xfId="363"/>
    <cellStyle name="_01_KFE_Actual Results_OI Bridge 0" xfId="364"/>
    <cellStyle name="_01_KFE_Actual Results_OI Bridge 0_1" xfId="365"/>
    <cellStyle name="_01_KFE_Actual Results_OI Bridge 1" xfId="366"/>
    <cellStyle name="_01_KFE_Actual Results_P&amp;L" xfId="367"/>
    <cellStyle name="_01_KFE_Actual Results_P&amp;L_P&amp;L KFE" xfId="368"/>
    <cellStyle name="_01_KFE_Actual Results_P&amp;L_Sheet3" xfId="369"/>
    <cellStyle name="_01_KFE_Actual Results_Sheet1" xfId="370"/>
    <cellStyle name="_01_KFE_Actual Results_VRAN YTD" xfId="371"/>
    <cellStyle name="_01_KFE_Actual Results_VRAN YTD 2" xfId="372"/>
    <cellStyle name="_01_KFE_Actual Results_VRAN YTD_Biscuits Actual Results P01" xfId="373"/>
    <cellStyle name="_01_KFE_Actual Results_VRAN YTD_Biscuits Actual Results P01 2" xfId="374"/>
    <cellStyle name="_01_KFE_Actual Results_VRAN YTD_Biscuits Actual Results P01_Category Template_Actuals" xfId="375"/>
    <cellStyle name="_01_KFE_Actual Results_VRAN YTD_Biscuits Actual Results P01_Category Template_Actuals 2" xfId="376"/>
    <cellStyle name="_01_KFE_Actual Results_VRAN YTD_Biscuits Actual Results P01_Category Template_Actuals_Biscuits Actual Results P02" xfId="377"/>
    <cellStyle name="_01_KFE_Actual Results_VRAN YTD_Biscuits Actual Results P01_Category Template_Actuals_Biscuits Actual Results P02 2" xfId="378"/>
    <cellStyle name="_01_KFE_Actual Results_VRAN YTD_Biscuits Actual Results P01_Category Template_Actuals_Biscuits Actual Results P02_Category Template_Actuals" xfId="379"/>
    <cellStyle name="_01_KFE_Actual Results_VRAN YTD_Biscuits Actual Results P01_Category Template_Actuals_Biscuits Actual Results P02_Category Template_Actuals_Biscuits Actual Results P04" xfId="380"/>
    <cellStyle name="_01_KFE_Actual Results_VRAN YTD_Biscuits Actual Results P01_Category Template_Actuals_Biscuits Actual Results P02_Category Template_Actuals_P&amp;L P06 AFH AC US" xfId="381"/>
    <cellStyle name="_01_KFE_Actual Results_VRAN YTD_Biscuits Actual Results P01_Category Template_Actuals_Biscuits Actual Results P02_P&amp;L" xfId="382"/>
    <cellStyle name="_01_KFE_Actual Results_VRAN YTD_Biscuits Actual Results P01_Category Template_Actuals_Biscuits Actual Results P02_P&amp;L_P&amp;L KFE" xfId="383"/>
    <cellStyle name="_01_KFE_Actual Results_VRAN YTD_Biscuits Actual Results P01_Category Template_Actuals_Biscuits Actual Results P02_P&amp;L_Sheet3" xfId="384"/>
    <cellStyle name="_01_KFE_Actual Results_VRAN YTD_Biscuits Actual Results P01_Category Template_Actuals_Biscuits Actual Results P02_VRAN YTD" xfId="385"/>
    <cellStyle name="_01_KFE_Actual Results_VRAN YTD_Biscuits Actual Results P01_Category Template_Actuals_Biscuits Actual Results P04" xfId="386"/>
    <cellStyle name="_01_KFE_Actual Results_VRAN YTD_Biscuits Actual Results P01_Category Template_Actuals_P&amp;L" xfId="387"/>
    <cellStyle name="_01_KFE_Actual Results_VRAN YTD_Biscuits Actual Results P01_Category Template_Actuals_P&amp;L P06 AFH AC US" xfId="388"/>
    <cellStyle name="_01_KFE_Actual Results_VRAN YTD_Biscuits Actual Results P01_Category Template_Actuals_P&amp;L_P&amp;L KFE" xfId="389"/>
    <cellStyle name="_01_KFE_Actual Results_VRAN YTD_Biscuits Actual Results P01_Category Template_Actuals_P&amp;L_Sheet3" xfId="390"/>
    <cellStyle name="_01_KFE_Actual Results_VRAN YTD_Biscuits Actual Results P01_P&amp;L" xfId="391"/>
    <cellStyle name="_01_KFE_Actual Results_VRAN YTD_Biscuits Actual Results P01_P&amp;L_P&amp;L KFE" xfId="392"/>
    <cellStyle name="_01_KFE_Actual Results_VRAN YTD_Biscuits Actual Results P01_P&amp;L_Sheet3" xfId="393"/>
    <cellStyle name="_01_KFE_Actual Results_VRAN YTD_Biscuits Actual Results P01_VRAN YTD" xfId="394"/>
    <cellStyle name="_01_KFE_Actual Results_VRAN YTD_Biscuits Actual Results P02" xfId="395"/>
    <cellStyle name="_01_KFE_Actual Results_VRAN YTD_Biscuits Actual Results P02 2" xfId="396"/>
    <cellStyle name="_01_KFE_Actual Results_VRAN YTD_Biscuits Actual Results P02_Category Template_Actuals" xfId="397"/>
    <cellStyle name="_01_KFE_Actual Results_VRAN YTD_Biscuits Actual Results P02_Category Template_Actuals_Biscuits Actual Results P04" xfId="398"/>
    <cellStyle name="_01_KFE_Actual Results_VRAN YTD_Biscuits Actual Results P02_Category Template_Actuals_P&amp;L P06 AFH AC US" xfId="399"/>
    <cellStyle name="_01_KFE_Actual Results_VRAN YTD_Biscuits Actual Results P02_P&amp;L" xfId="400"/>
    <cellStyle name="_01_KFE_Actual Results_VRAN YTD_Biscuits Actual Results P02_P&amp;L_P&amp;L KFE" xfId="401"/>
    <cellStyle name="_01_KFE_Actual Results_VRAN YTD_Biscuits Actual Results P02_P&amp;L_Sheet3" xfId="402"/>
    <cellStyle name="_01_KFE_Actual Results_VRAN YTD_Biscuits Actual Results P02_VRAN YTD" xfId="403"/>
    <cellStyle name="_01_KFE_Actual Results_VRAN YTD_Biscuits Actual Results P04" xfId="404"/>
    <cellStyle name="_01_KFE_Actual Results_VRAN YTD_Biscuits Actual Results P1 BIS" xfId="405"/>
    <cellStyle name="_01_KFE_Actual Results_VRAN YTD_Biscuits Actual Results P1 BIS 2" xfId="406"/>
    <cellStyle name="_01_KFE_Actual Results_VRAN YTD_Biscuits Actual Results P1 BIS_Category Template_Actuals" xfId="407"/>
    <cellStyle name="_01_KFE_Actual Results_VRAN YTD_Biscuits Actual Results P1 BIS_Category Template_Actuals_Biscuits Actual Results P04" xfId="408"/>
    <cellStyle name="_01_KFE_Actual Results_VRAN YTD_Biscuits Actual Results P1 BIS_Category Template_Actuals_P&amp;L P06 AFH AC US" xfId="409"/>
    <cellStyle name="_01_KFE_Actual Results_VRAN YTD_Biscuits Actual Results P1 BIS_P&amp;L" xfId="410"/>
    <cellStyle name="_01_KFE_Actual Results_VRAN YTD_Biscuits Actual Results P1 BIS_P&amp;L_P&amp;L KFE" xfId="411"/>
    <cellStyle name="_01_KFE_Actual Results_VRAN YTD_Biscuits Actual Results P1 BIS_P&amp;L_Sheet3" xfId="412"/>
    <cellStyle name="_01_KFE_Actual Results_VRAN YTD_Biscuits Actual Results P1 BIS_VRAN YTD" xfId="413"/>
    <cellStyle name="_01_KFE_Actual Results_VRAN YTD_Biscuits Actual Results P12 161210" xfId="414"/>
    <cellStyle name="_01_KFE_Actual Results_VRAN YTD_Biscuits Actual Results P12 161210 2" xfId="415"/>
    <cellStyle name="_01_KFE_Actual Results_VRAN YTD_Biscuits Actual Results P12 161210_Category Template_Actuals" xfId="416"/>
    <cellStyle name="_01_KFE_Actual Results_VRAN YTD_Biscuits Actual Results P12 161210_Category Template_Actuals 2" xfId="417"/>
    <cellStyle name="_01_KFE_Actual Results_VRAN YTD_Biscuits Actual Results P12 161210_Category Template_Actuals_Biscuits Actual Results P02" xfId="418"/>
    <cellStyle name="_01_KFE_Actual Results_VRAN YTD_Biscuits Actual Results P12 161210_Category Template_Actuals_Biscuits Actual Results P02 2" xfId="419"/>
    <cellStyle name="_01_KFE_Actual Results_VRAN YTD_Biscuits Actual Results P12 161210_Category Template_Actuals_Biscuits Actual Results P02_Category Template_Actuals" xfId="420"/>
    <cellStyle name="_01_KFE_Actual Results_VRAN YTD_Biscuits Actual Results P12 161210_Category Template_Actuals_Biscuits Actual Results P02_Category Template_Actuals_Biscuits Actual Results P04" xfId="421"/>
    <cellStyle name="_01_KFE_Actual Results_VRAN YTD_Biscuits Actual Results P12 161210_Category Template_Actuals_Biscuits Actual Results P02_Category Template_Actuals_P&amp;L P06 AFH AC US" xfId="422"/>
    <cellStyle name="_01_KFE_Actual Results_VRAN YTD_Biscuits Actual Results P12 161210_Category Template_Actuals_Biscuits Actual Results P02_P&amp;L" xfId="423"/>
    <cellStyle name="_01_KFE_Actual Results_VRAN YTD_Biscuits Actual Results P12 161210_Category Template_Actuals_Biscuits Actual Results P02_P&amp;L_P&amp;L KFE" xfId="424"/>
    <cellStyle name="_01_KFE_Actual Results_VRAN YTD_Biscuits Actual Results P12 161210_Category Template_Actuals_Biscuits Actual Results P02_P&amp;L_Sheet3" xfId="425"/>
    <cellStyle name="_01_KFE_Actual Results_VRAN YTD_Biscuits Actual Results P12 161210_Category Template_Actuals_Biscuits Actual Results P02_VRAN YTD" xfId="426"/>
    <cellStyle name="_01_KFE_Actual Results_VRAN YTD_Biscuits Actual Results P12 161210_Category Template_Actuals_Biscuits Actual Results P04" xfId="427"/>
    <cellStyle name="_01_KFE_Actual Results_VRAN YTD_Biscuits Actual Results P12 161210_Category Template_Actuals_P&amp;L" xfId="428"/>
    <cellStyle name="_01_KFE_Actual Results_VRAN YTD_Biscuits Actual Results P12 161210_Category Template_Actuals_P&amp;L P06 AFH AC US" xfId="429"/>
    <cellStyle name="_01_KFE_Actual Results_VRAN YTD_Biscuits Actual Results P12 161210_Category Template_Actuals_P&amp;L_P&amp;L KFE" xfId="430"/>
    <cellStyle name="_01_KFE_Actual Results_VRAN YTD_Biscuits Actual Results P12 161210_Category Template_Actuals_P&amp;L_Sheet3" xfId="431"/>
    <cellStyle name="_01_KFE_Actual Results_VRAN YTD_Biscuits Actual Results P12 161210_P&amp;L" xfId="432"/>
    <cellStyle name="_01_KFE_Actual Results_VRAN YTD_Biscuits Actual Results P12 161210_P&amp;L_P&amp;L KFE" xfId="433"/>
    <cellStyle name="_01_KFE_Actual Results_VRAN YTD_Biscuits Actual Results P12 161210_P&amp;L_Sheet3" xfId="434"/>
    <cellStyle name="_01_KFE_Actual Results_VRAN YTD_Biscuits Actual Results P12 161210_VRAN YTD" xfId="435"/>
    <cellStyle name="_01_KFE_Actual Results_VRAN YTD_P&amp;L" xfId="436"/>
    <cellStyle name="_01_KFE_Actual Results_VRAN YTD_P&amp;L P06 AFH AC US" xfId="437"/>
    <cellStyle name="_01_KFE_Actual Results_VRAN YTD_P&amp;L_P&amp;L KFE" xfId="438"/>
    <cellStyle name="_01_KFE_Actual Results_VRAN YTD_P&amp;L_Sheet3" xfId="439"/>
    <cellStyle name="_010- CALBRECHT (HURON_EU Portfolio)v1" xfId="440"/>
    <cellStyle name="_010- CALBRECHT (HURON_EU Portfolio)v1 2" xfId="441"/>
    <cellStyle name="_010- CALBRECHT (HURON_EU Portfolio)v1_Opps&amp;Risks" xfId="442"/>
    <cellStyle name="_010- CALBRECHT (HURON_EU Portfolio)v1_Opps&amp;Risks 2" xfId="443"/>
    <cellStyle name="_03.Tb passage Janv-05 " xfId="444"/>
    <cellStyle name="_071114-GAO-GDS Market MIDT Data (2003-06)" xfId="445"/>
    <cellStyle name="_071114-GAO-GDS Market MIDT Data (2003-06) 2" xfId="446"/>
    <cellStyle name="_08 OB&amp;07 2R Subcontracting Price" xfId="447"/>
    <cellStyle name="_08 OB&amp;07 2R Subcontracting Price 2" xfId="448"/>
    <cellStyle name="_08 OB&amp;07 2R Subcontracting Price_Category Template AC'11 @Cst Fx 52W vs 53W" xfId="449"/>
    <cellStyle name="_08 OB&amp;07 2R Subcontracting Price_Category Template AC'11 @Cst Fx 52W vs 53W 2" xfId="450"/>
    <cellStyle name="_08 OB&amp;07 2R Subcontracting Price_Category Template AC'11 @Cst Fx 52W vs 53W_P&amp;L KFE" xfId="451"/>
    <cellStyle name="_08 OB&amp;07 2R Subcontracting Price_Category Template AC'11 @Cst Fx 52W vs 53W_Sheet3" xfId="452"/>
    <cellStyle name="_08 OB&amp;07 2R Subcontracting Price_OB 2008 w JAA-PY" xfId="453"/>
    <cellStyle name="_08 OB&amp;07 2R Subcontracting Price_OB 2008 w JAA-PY 2" xfId="454"/>
    <cellStyle name="_08 OB&amp;07 2R Subcontracting Price_OB 2008 w JAA-PY_Category Template AC'11 @Cst Fx 52W vs 53W" xfId="455"/>
    <cellStyle name="_08 OB&amp;07 2R Subcontracting Price_OB 2008 w JAA-PY_Category Template AC'11 @Cst Fx 52W vs 53W 2" xfId="456"/>
    <cellStyle name="_08 OB&amp;07 2R Subcontracting Price_OB 2008 w JAA-PY_Category Template AC'11 @Cst Fx 52W vs 53W_P&amp;L KFE" xfId="457"/>
    <cellStyle name="_08 OB&amp;07 2R Subcontracting Price_OB 2008 w JAA-PY_Category Template AC'11 @Cst Fx 52W vs 53W_Sheet3" xfId="458"/>
    <cellStyle name="_08 OB&amp;07 2R Subcontracting Price_OB 2008 w JAA-PY_P&amp;L KFE" xfId="459"/>
    <cellStyle name="_08 OB&amp;07 2R Subcontracting Price_OB 2008 w JAA-PY_Sheet3" xfId="460"/>
    <cellStyle name="_08 OB&amp;07 2R Subcontracting Price_P&amp;L KFE" xfId="461"/>
    <cellStyle name="_08 OB&amp;07 2R Subcontracting Price_powerpoint content" xfId="462"/>
    <cellStyle name="_08 OB&amp;07 2R Subcontracting Price_powerpoint content 2" xfId="463"/>
    <cellStyle name="_08 OB&amp;07 2R Subcontracting Price_powerpoint content_Category Template AC'11 @Cst Fx 52W vs 53W" xfId="464"/>
    <cellStyle name="_08 OB&amp;07 2R Subcontracting Price_powerpoint content_Category Template AC'11 @Cst Fx 52W vs 53W 2" xfId="465"/>
    <cellStyle name="_08 OB&amp;07 2R Subcontracting Price_powerpoint content_Category Template AC'11 @Cst Fx 52W vs 53W_P&amp;L KFE" xfId="466"/>
    <cellStyle name="_08 OB&amp;07 2R Subcontracting Price_powerpoint content_Category Template AC'11 @Cst Fx 52W vs 53W_Sheet3" xfId="467"/>
    <cellStyle name="_08 OB&amp;07 2R Subcontracting Price_powerpoint content_P&amp;L KFE" xfId="468"/>
    <cellStyle name="_08 OB&amp;07 2R Subcontracting Price_powerpoint content_Sheet3" xfId="469"/>
    <cellStyle name="_08 OB&amp;07 2R Subcontracting Price_Sheet3" xfId="470"/>
    <cellStyle name="_1. HFM - France Flash Report - July 08" xfId="471"/>
    <cellStyle name="_10 years forecast" xfId="472"/>
    <cellStyle name="_10 years forecast_AR_TUC new line_Szekes v10" xfId="473"/>
    <cellStyle name="_10 years forecast1" xfId="474"/>
    <cellStyle name="_10 years forecast1_AR_TUC new line_Szekes v10" xfId="475"/>
    <cellStyle name="_100419-Sales consolidated v1" xfId="476"/>
    <cellStyle name="_100427-Synergy Project Template (Office Sites)" xfId="477"/>
    <cellStyle name="_100429 - AR Office Site Consolidation - Consolidated V22 (AL)" xfId="478"/>
    <cellStyle name="_100617-KFG-Data tables v2 (2)" xfId="479"/>
    <cellStyle name="_100618 - AR Office Site Consolidation - Consolidated V27 (AL after AR)_FLA GIMO" xfId="480"/>
    <cellStyle name="_100722-KFG-Database synergy submission July27_Alaa_MASTER" xfId="481"/>
    <cellStyle name="_11 Alderwood 4.26.04 v10" xfId="482"/>
    <cellStyle name="_12 Alderwood 4.29.04 v11 - to client" xfId="483"/>
    <cellStyle name="_12. KI600 - Décembre" xfId="484"/>
    <cellStyle name="_166_Relocation-TTAC-Network-Requirements-v4 2" xfId="485"/>
    <cellStyle name="_2. RF 10+2 2007" xfId="486"/>
    <cellStyle name="_2005 SBP Opex-r" xfId="487"/>
    <cellStyle name="_2005 SBP Opex-r 2" xfId="488"/>
    <cellStyle name="_2005 SBP Opex-r_Category Template AC'11 @Cst Fx 52W vs 53W" xfId="489"/>
    <cellStyle name="_2005 SBP Opex-r_Category Template AC'11 @Cst Fx 52W vs 53W 2" xfId="490"/>
    <cellStyle name="_2005 SBP Opex-r_Category Template AC'11 @Cst Fx 52W vs 53W_P&amp;L KFE" xfId="491"/>
    <cellStyle name="_2005 SBP Opex-r_Category Template AC'11 @Cst Fx 52W vs 53W_Sheet3" xfId="492"/>
    <cellStyle name="_2005 SBP Opex-r_P&amp;L KFE" xfId="493"/>
    <cellStyle name="_2005 SBP Opex-r_Sheet3" xfId="494"/>
    <cellStyle name="_2006 2R variance data" xfId="495"/>
    <cellStyle name="_2006 2R variance data 2" xfId="496"/>
    <cellStyle name="_2006 2R variance data_2007 Finance LE Reporting Panyu-0712" xfId="497"/>
    <cellStyle name="_2006 2R variance data_2007 Finance LE Reporting Panyu-0712 2" xfId="498"/>
    <cellStyle name="_2006 2R variance data_2007 Finance LE Reporting Panyu-0712_Category Template AC'11 @Cst Fx 52W vs 53W" xfId="499"/>
    <cellStyle name="_2006 2R variance data_2007 Finance LE Reporting Panyu-0712_Category Template AC'11 @Cst Fx 52W vs 53W 2" xfId="500"/>
    <cellStyle name="_2006 2R variance data_2007 Finance LE Reporting Panyu-0712_Category Template AC'11 @Cst Fx 52W vs 53W_P&amp;L KFE" xfId="501"/>
    <cellStyle name="_2006 2R variance data_2007 Finance LE Reporting Panyu-0712_Category Template AC'11 @Cst Fx 52W vs 53W_Sheet3" xfId="502"/>
    <cellStyle name="_2006 2R variance data_2007 Finance LE Reporting Panyu-0712_P&amp;L KFE" xfId="503"/>
    <cellStyle name="_2006 2R variance data_2007 Finance LE Reporting Panyu-0712_Sheet3" xfId="504"/>
    <cellStyle name="_2006 2R variance data_Category Template AC'11 @Cst Fx 52W vs 53W" xfId="505"/>
    <cellStyle name="_2006 2R variance data_Category Template AC'11 @Cst Fx 52W vs 53W 2" xfId="506"/>
    <cellStyle name="_2006 2R variance data_Category Template AC'11 @Cst Fx 52W vs 53W_P&amp;L KFE" xfId="507"/>
    <cellStyle name="_2006 2R variance data_Category Template AC'11 @Cst Fx 52W vs 53W_Sheet3" xfId="508"/>
    <cellStyle name="_2006 2R variance data_Estimate Updated APAC 2008-py01" xfId="509"/>
    <cellStyle name="_2006 2R variance data_Estimate Updated APAC 2008-py01 2" xfId="510"/>
    <cellStyle name="_2006 2R variance data_Estimate Updated APAC 2008-py01_Category Template AC'11 @Cst Fx 52W vs 53W" xfId="511"/>
    <cellStyle name="_2006 2R variance data_Estimate Updated APAC 2008-py01_Category Template AC'11 @Cst Fx 52W vs 53W 2" xfId="512"/>
    <cellStyle name="_2006 2R variance data_Estimate Updated APAC 2008-py01_Category Template AC'11 @Cst Fx 52W vs 53W_P&amp;L KFE" xfId="513"/>
    <cellStyle name="_2006 2R variance data_Estimate Updated APAC 2008-py01_Category Template AC'11 @Cst Fx 52W vs 53W_Sheet3" xfId="514"/>
    <cellStyle name="_2006 2R variance data_Estimate Updated APAC 2008-py01_P&amp;L KFE" xfId="515"/>
    <cellStyle name="_2006 2R variance data_Estimate Updated APAC 2008-py01_Sheet3" xfId="516"/>
    <cellStyle name="_2006 2R variance data_LE template 200801" xfId="517"/>
    <cellStyle name="_2006 2R variance data_LE template 200801 2" xfId="518"/>
    <cellStyle name="_2006 2R variance data_LE template 200801_Category Template AC'11 @Cst Fx 52W vs 53W" xfId="519"/>
    <cellStyle name="_2006 2R variance data_LE template 200801_Category Template AC'11 @Cst Fx 52W vs 53W 2" xfId="520"/>
    <cellStyle name="_2006 2R variance data_LE template 200801_Category Template AC'11 @Cst Fx 52W vs 53W_P&amp;L KFE" xfId="521"/>
    <cellStyle name="_2006 2R variance data_LE template 200801_Category Template AC'11 @Cst Fx 52W vs 53W_Sheet3" xfId="522"/>
    <cellStyle name="_2006 2R variance data_LE template 200801_P&amp;L KFE" xfId="523"/>
    <cellStyle name="_2006 2R variance data_LE template 200801_Sheet3" xfId="524"/>
    <cellStyle name="_2006 2R variance data_OB 2008 w JAA-PY" xfId="525"/>
    <cellStyle name="_2006 2R variance data_OB 2008 w JAA-PY 2" xfId="526"/>
    <cellStyle name="_2006 2R variance data_OB 2008 w JAA-PY_Category Template AC'11 @Cst Fx 52W vs 53W" xfId="527"/>
    <cellStyle name="_2006 2R variance data_OB 2008 w JAA-PY_Category Template AC'11 @Cst Fx 52W vs 53W 2" xfId="528"/>
    <cellStyle name="_2006 2R variance data_OB 2008 w JAA-PY_Category Template AC'11 @Cst Fx 52W vs 53W_P&amp;L KFE" xfId="529"/>
    <cellStyle name="_2006 2R variance data_OB 2008 w JAA-PY_Category Template AC'11 @Cst Fx 52W vs 53W_Sheet3" xfId="530"/>
    <cellStyle name="_2006 2R variance data_OB 2008 w JAA-PY_P&amp;L KFE" xfId="531"/>
    <cellStyle name="_2006 2R variance data_OB 2008 w JAA-PY_Sheet3" xfId="532"/>
    <cellStyle name="_2006 2R variance data_P&amp;L KFE" xfId="533"/>
    <cellStyle name="_2006 2R variance data_powerpoint content" xfId="534"/>
    <cellStyle name="_2006 2R variance data_powerpoint content 2" xfId="535"/>
    <cellStyle name="_2006 2R variance data_powerpoint content_Category Template AC'11 @Cst Fx 52W vs 53W" xfId="536"/>
    <cellStyle name="_2006 2R variance data_powerpoint content_Category Template AC'11 @Cst Fx 52W vs 53W 2" xfId="537"/>
    <cellStyle name="_2006 2R variance data_powerpoint content_Category Template AC'11 @Cst Fx 52W vs 53W_P&amp;L KFE" xfId="538"/>
    <cellStyle name="_2006 2R variance data_powerpoint content_Category Template AC'11 @Cst Fx 52W vs 53W_Sheet3" xfId="539"/>
    <cellStyle name="_2006 2R variance data_powerpoint content_P&amp;L KFE" xfId="540"/>
    <cellStyle name="_2006 2R variance data_powerpoint content_Sheet3" xfId="541"/>
    <cellStyle name="_2006 2R variance data_Sheet3" xfId="542"/>
    <cellStyle name="_2006 Contract GP22009 Chris Bond V4 - PD version" xfId="543"/>
    <cellStyle name="_2006 CSAP IT Project Spend - GBP" xfId="544"/>
    <cellStyle name="_2007 1R 1d - Forecast Variances" xfId="545"/>
    <cellStyle name="_2007 1R 1d - Forecast Variances 2" xfId="546"/>
    <cellStyle name="_2007 1R 1d - Forecast Variances_Category Template AC'11 @Cst Fx 52W vs 53W" xfId="547"/>
    <cellStyle name="_2007 1R 1d - Forecast Variances_Category Template AC'11 @Cst Fx 52W vs 53W 2" xfId="548"/>
    <cellStyle name="_2007 1R 1d - Forecast Variances_Category Template AC'11 @Cst Fx 52W vs 53W_P&amp;L KFE" xfId="549"/>
    <cellStyle name="_2007 1R 1d - Forecast Variances_Category Template AC'11 @Cst Fx 52W vs 53W_Sheet3" xfId="550"/>
    <cellStyle name="_2007 1R 1d - Forecast Variances_OB 2008 w JAA-PY" xfId="551"/>
    <cellStyle name="_2007 1R 1d - Forecast Variances_OB 2008 w JAA-PY 2" xfId="552"/>
    <cellStyle name="_2007 1R 1d - Forecast Variances_OB 2008 w JAA-PY_Category Template AC'11 @Cst Fx 52W vs 53W" xfId="553"/>
    <cellStyle name="_2007 1R 1d - Forecast Variances_OB 2008 w JAA-PY_Category Template AC'11 @Cst Fx 52W vs 53W 2" xfId="554"/>
    <cellStyle name="_2007 1R 1d - Forecast Variances_OB 2008 w JAA-PY_Category Template AC'11 @Cst Fx 52W vs 53W_P&amp;L KFE" xfId="555"/>
    <cellStyle name="_2007 1R 1d - Forecast Variances_OB 2008 w JAA-PY_Category Template AC'11 @Cst Fx 52W vs 53W_Sheet3" xfId="556"/>
    <cellStyle name="_2007 1R 1d - Forecast Variances_OB 2008 w JAA-PY_P&amp;L KFE" xfId="557"/>
    <cellStyle name="_2007 1R 1d - Forecast Variances_OB 2008 w JAA-PY_Sheet3" xfId="558"/>
    <cellStyle name="_2007 1R 1d - Forecast Variances_P&amp;L KFE" xfId="559"/>
    <cellStyle name="_2007 1R 1d - Forecast Variances_powerpoint content" xfId="560"/>
    <cellStyle name="_2007 1R 1d - Forecast Variances_powerpoint content 2" xfId="561"/>
    <cellStyle name="_2007 1R 1d - Forecast Variances_powerpoint content_Category Template AC'11 @Cst Fx 52W vs 53W" xfId="562"/>
    <cellStyle name="_2007 1R 1d - Forecast Variances_powerpoint content_Category Template AC'11 @Cst Fx 52W vs 53W 2" xfId="563"/>
    <cellStyle name="_2007 1R 1d - Forecast Variances_powerpoint content_Category Template AC'11 @Cst Fx 52W vs 53W_P&amp;L KFE" xfId="564"/>
    <cellStyle name="_2007 1R 1d - Forecast Variances_powerpoint content_Category Template AC'11 @Cst Fx 52W vs 53W_Sheet3" xfId="565"/>
    <cellStyle name="_2007 1R 1d - Forecast Variances_powerpoint content_P&amp;L KFE" xfId="566"/>
    <cellStyle name="_2007 1R 1d - Forecast Variances_powerpoint content_Sheet3" xfId="567"/>
    <cellStyle name="_2007 1R 1d - Forecast Variances_Sheet3" xfId="568"/>
    <cellStyle name="_2007 1R Regional Reporting Template-PY-V2" xfId="569"/>
    <cellStyle name="_2007 1R Regional Reporting Template-PY-V2 2" xfId="570"/>
    <cellStyle name="_2007 1R Regional Reporting Template-PY-V2_Category Template AC'11 @Cst Fx 52W vs 53W" xfId="571"/>
    <cellStyle name="_2007 1R Regional Reporting Template-PY-V2_Category Template AC'11 @Cst Fx 52W vs 53W 2" xfId="572"/>
    <cellStyle name="_2007 1R Regional Reporting Template-PY-V2_Category Template AC'11 @Cst Fx 52W vs 53W_P&amp;L KFE" xfId="573"/>
    <cellStyle name="_2007 1R Regional Reporting Template-PY-V2_Category Template AC'11 @Cst Fx 52W vs 53W_Sheet3" xfId="574"/>
    <cellStyle name="_2007 1R Regional Reporting Template-PY-V2_Estimate Updated APAC 2008-py01" xfId="575"/>
    <cellStyle name="_2007 1R Regional Reporting Template-PY-V2_Estimate Updated APAC 2008-py01 2" xfId="576"/>
    <cellStyle name="_2007 1R Regional Reporting Template-PY-V2_Estimate Updated APAC 2008-py01_Category Template AC'11 @Cst Fx 52W vs 53W" xfId="577"/>
    <cellStyle name="_2007 1R Regional Reporting Template-PY-V2_Estimate Updated APAC 2008-py01_Category Template AC'11 @Cst Fx 52W vs 53W 2" xfId="578"/>
    <cellStyle name="_2007 1R Regional Reporting Template-PY-V2_Estimate Updated APAC 2008-py01_Category Template AC'11 @Cst Fx 52W vs 53W_P&amp;L KFE" xfId="579"/>
    <cellStyle name="_2007 1R Regional Reporting Template-PY-V2_Estimate Updated APAC 2008-py01_Category Template AC'11 @Cst Fx 52W vs 53W_Sheet3" xfId="580"/>
    <cellStyle name="_2007 1R Regional Reporting Template-PY-V2_Estimate Updated APAC 2008-py01_P&amp;L KFE" xfId="581"/>
    <cellStyle name="_2007 1R Regional Reporting Template-PY-V2_Estimate Updated APAC 2008-py01_Sheet3" xfId="582"/>
    <cellStyle name="_2007 1R Regional Reporting Template-PY-V2_P&amp;L KFE" xfId="583"/>
    <cellStyle name="_2007 1R Regional Reporting Template-PY-V2_Sheet3" xfId="584"/>
    <cellStyle name="_2007 6+6 Forecast UK MAC_GP24003 V2" xfId="585"/>
    <cellStyle name="_2007 6+6 Forecast UK MAC_GP24053 v2" xfId="586"/>
    <cellStyle name="_2007 CSAP IT Projects 4+8 29 05 2007v2 (2)" xfId="587"/>
    <cellStyle name="_2007 CSAP Project Pipeline - 4+8 Finance Sheet" xfId="588"/>
    <cellStyle name="_2007 Finance LE Reporting Panyu-0701 final" xfId="589"/>
    <cellStyle name="_2007 Finance LE Reporting Panyu-0701 final 2" xfId="590"/>
    <cellStyle name="_2007 Finance LE Reporting Panyu-0701 final_2007 Finance LE Reporting Panyu-0712" xfId="591"/>
    <cellStyle name="_2007 Finance LE Reporting Panyu-0701 final_2007 Finance LE Reporting Panyu-0712 2" xfId="592"/>
    <cellStyle name="_2007 Finance LE Reporting Panyu-0701 final_2007 Finance LE Reporting Panyu-0712_Category Template AC'11 @Cst Fx 52W vs 53W" xfId="593"/>
    <cellStyle name="_2007 Finance LE Reporting Panyu-0701 final_2007 Finance LE Reporting Panyu-0712_Category Template AC'11 @Cst Fx 52W vs 53W 2" xfId="594"/>
    <cellStyle name="_2007 Finance LE Reporting Panyu-0701 final_2007 Finance LE Reporting Panyu-0712_Category Template AC'11 @Cst Fx 52W vs 53W_P&amp;L KFE" xfId="595"/>
    <cellStyle name="_2007 Finance LE Reporting Panyu-0701 final_2007 Finance LE Reporting Panyu-0712_Category Template AC'11 @Cst Fx 52W vs 53W_Sheet3" xfId="596"/>
    <cellStyle name="_2007 Finance LE Reporting Panyu-0701 final_2007 Finance LE Reporting Panyu-0712_P&amp;L KFE" xfId="597"/>
    <cellStyle name="_2007 Finance LE Reporting Panyu-0701 final_2007 Finance LE Reporting Panyu-0712_Sheet3" xfId="598"/>
    <cellStyle name="_2007 Finance LE Reporting Panyu-0701 final_Category Template AC'11 @Cst Fx 52W vs 53W" xfId="599"/>
    <cellStyle name="_2007 Finance LE Reporting Panyu-0701 final_Category Template AC'11 @Cst Fx 52W vs 53W 2" xfId="600"/>
    <cellStyle name="_2007 Finance LE Reporting Panyu-0701 final_Category Template AC'11 @Cst Fx 52W vs 53W_P&amp;L KFE" xfId="601"/>
    <cellStyle name="_2007 Finance LE Reporting Panyu-0701 final_Category Template AC'11 @Cst Fx 52W vs 53W_Sheet3" xfId="602"/>
    <cellStyle name="_2007 Finance LE Reporting Panyu-0701 final_Estimate Updated APAC 2008-py01" xfId="603"/>
    <cellStyle name="_2007 Finance LE Reporting Panyu-0701 final_Estimate Updated APAC 2008-py01 2" xfId="604"/>
    <cellStyle name="_2007 Finance LE Reporting Panyu-0701 final_Estimate Updated APAC 2008-py01_Category Template AC'11 @Cst Fx 52W vs 53W" xfId="605"/>
    <cellStyle name="_2007 Finance LE Reporting Panyu-0701 final_Estimate Updated APAC 2008-py01_Category Template AC'11 @Cst Fx 52W vs 53W 2" xfId="606"/>
    <cellStyle name="_2007 Finance LE Reporting Panyu-0701 final_Estimate Updated APAC 2008-py01_Category Template AC'11 @Cst Fx 52W vs 53W_P&amp;L KFE" xfId="607"/>
    <cellStyle name="_2007 Finance LE Reporting Panyu-0701 final_Estimate Updated APAC 2008-py01_Category Template AC'11 @Cst Fx 52W vs 53W_Sheet3" xfId="608"/>
    <cellStyle name="_2007 Finance LE Reporting Panyu-0701 final_Estimate Updated APAC 2008-py01_P&amp;L KFE" xfId="609"/>
    <cellStyle name="_2007 Finance LE Reporting Panyu-0701 final_Estimate Updated APAC 2008-py01_Sheet3" xfId="610"/>
    <cellStyle name="_2007 Finance LE Reporting Panyu-0701 final_LE template 200801" xfId="611"/>
    <cellStyle name="_2007 Finance LE Reporting Panyu-0701 final_LE template 200801 2" xfId="612"/>
    <cellStyle name="_2007 Finance LE Reporting Panyu-0701 final_LE template 200801_Category Template AC'11 @Cst Fx 52W vs 53W" xfId="613"/>
    <cellStyle name="_2007 Finance LE Reporting Panyu-0701 final_LE template 200801_Category Template AC'11 @Cst Fx 52W vs 53W 2" xfId="614"/>
    <cellStyle name="_2007 Finance LE Reporting Panyu-0701 final_LE template 200801_Category Template AC'11 @Cst Fx 52W vs 53W_P&amp;L KFE" xfId="615"/>
    <cellStyle name="_2007 Finance LE Reporting Panyu-0701 final_LE template 200801_Category Template AC'11 @Cst Fx 52W vs 53W_Sheet3" xfId="616"/>
    <cellStyle name="_2007 Finance LE Reporting Panyu-0701 final_LE template 200801_P&amp;L KFE" xfId="617"/>
    <cellStyle name="_2007 Finance LE Reporting Panyu-0701 final_LE template 200801_Sheet3" xfId="618"/>
    <cellStyle name="_2007 Finance LE Reporting Panyu-0701 final_OB 2008 w JAA-PY" xfId="619"/>
    <cellStyle name="_2007 Finance LE Reporting Panyu-0701 final_OB 2008 w JAA-PY 2" xfId="620"/>
    <cellStyle name="_2007 Finance LE Reporting Panyu-0701 final_OB 2008 w JAA-PY_Category Template AC'11 @Cst Fx 52W vs 53W" xfId="621"/>
    <cellStyle name="_2007 Finance LE Reporting Panyu-0701 final_OB 2008 w JAA-PY_Category Template AC'11 @Cst Fx 52W vs 53W 2" xfId="622"/>
    <cellStyle name="_2007 Finance LE Reporting Panyu-0701 final_OB 2008 w JAA-PY_Category Template AC'11 @Cst Fx 52W vs 53W_P&amp;L KFE" xfId="623"/>
    <cellStyle name="_2007 Finance LE Reporting Panyu-0701 final_OB 2008 w JAA-PY_Category Template AC'11 @Cst Fx 52W vs 53W_Sheet3" xfId="624"/>
    <cellStyle name="_2007 Finance LE Reporting Panyu-0701 final_OB 2008 w JAA-PY_P&amp;L KFE" xfId="625"/>
    <cellStyle name="_2007 Finance LE Reporting Panyu-0701 final_OB 2008 w JAA-PY_Sheet3" xfId="626"/>
    <cellStyle name="_2007 Finance LE Reporting Panyu-0701 final_P&amp;L KFE" xfId="627"/>
    <cellStyle name="_2007 Finance LE Reporting Panyu-0701 final_powerpoint content" xfId="628"/>
    <cellStyle name="_2007 Finance LE Reporting Panyu-0701 final_powerpoint content 2" xfId="629"/>
    <cellStyle name="_2007 Finance LE Reporting Panyu-0701 final_powerpoint content_Category Template AC'11 @Cst Fx 52W vs 53W" xfId="630"/>
    <cellStyle name="_2007 Finance LE Reporting Panyu-0701 final_powerpoint content_Category Template AC'11 @Cst Fx 52W vs 53W 2" xfId="631"/>
    <cellStyle name="_2007 Finance LE Reporting Panyu-0701 final_powerpoint content_Category Template AC'11 @Cst Fx 52W vs 53W_P&amp;L KFE" xfId="632"/>
    <cellStyle name="_2007 Finance LE Reporting Panyu-0701 final_powerpoint content_Category Template AC'11 @Cst Fx 52W vs 53W_Sheet3" xfId="633"/>
    <cellStyle name="_2007 Finance LE Reporting Panyu-0701 final_powerpoint content_P&amp;L KFE" xfId="634"/>
    <cellStyle name="_2007 Finance LE Reporting Panyu-0701 final_powerpoint content_Sheet3" xfId="635"/>
    <cellStyle name="_2007 Finance LE Reporting Panyu-0701 final_Sheet3" xfId="636"/>
    <cellStyle name="_2007 Finance LE Reporting Panyu-0709" xfId="637"/>
    <cellStyle name="_2007 Finance LE Reporting Panyu-0709 2" xfId="638"/>
    <cellStyle name="_2007 Finance LE Reporting Panyu-0709_Category Template AC'11 @Cst Fx 52W vs 53W" xfId="639"/>
    <cellStyle name="_2007 Finance LE Reporting Panyu-0709_Category Template AC'11 @Cst Fx 52W vs 53W 2" xfId="640"/>
    <cellStyle name="_2007 Finance LE Reporting Panyu-0709_Category Template AC'11 @Cst Fx 52W vs 53W_P&amp;L KFE" xfId="641"/>
    <cellStyle name="_2007 Finance LE Reporting Panyu-0709_Category Template AC'11 @Cst Fx 52W vs 53W_Sheet3" xfId="642"/>
    <cellStyle name="_2007 Finance LE Reporting Panyu-0709_P&amp;L KFE" xfId="643"/>
    <cellStyle name="_2007 Finance LE Reporting Panyu-0709_Sheet3" xfId="644"/>
    <cellStyle name="_2007 Finance LE Reporting Panyu-0712" xfId="645"/>
    <cellStyle name="_2007 Finance LE Reporting Panyu-0712 2" xfId="646"/>
    <cellStyle name="_2007 Finance LE Reporting Panyu-0712_Category Template AC'11 @Cst Fx 52W vs 53W" xfId="647"/>
    <cellStyle name="_2007 Finance LE Reporting Panyu-0712_Category Template AC'11 @Cst Fx 52W vs 53W 2" xfId="648"/>
    <cellStyle name="_2007 Finance LE Reporting Panyu-0712_Category Template AC'11 @Cst Fx 52W vs 53W_P&amp;L KFE" xfId="649"/>
    <cellStyle name="_2007 Finance LE Reporting Panyu-0712_Category Template AC'11 @Cst Fx 52W vs 53W_Sheet3" xfId="650"/>
    <cellStyle name="_2007 Finance LE Reporting Panyu-0712_P&amp;L KFE" xfId="651"/>
    <cellStyle name="_2007 Finance LE Reporting Panyu-0712_Sheet3" xfId="652"/>
    <cellStyle name="_2007 ROU contract" xfId="653"/>
    <cellStyle name="_20071112_Tabela de Preços 2008" xfId="654"/>
    <cellStyle name="_20071112_Tabela de Preços 2008 2" xfId="655"/>
    <cellStyle name="_20071112_Tabela de Preços 2008_Opps&amp;Risks" xfId="656"/>
    <cellStyle name="_20071112_Tabela de Preços 2008_Opps&amp;Risks 2" xfId="657"/>
    <cellStyle name="_20071112_Tabela de Preços 2008_P&amp;L KFE" xfId="658"/>
    <cellStyle name="_20071112_Tabela de Preços 2008_Sheet1" xfId="659"/>
    <cellStyle name="_20071112_Tabela de Preços 2008_Sheet3" xfId="660"/>
    <cellStyle name="_2008 1+11 Forecast - Consol CSAP IT Project Portfolio working" xfId="661"/>
    <cellStyle name="_2008 7+5 CSAP Total IT Costs - FINAL" xfId="662"/>
    <cellStyle name="_2008 8+4 HFM Reports" xfId="663"/>
    <cellStyle name="_2008 APAC Contract NSV" xfId="664"/>
    <cellStyle name="_2008 APAC IT 7+5 Forecast Working" xfId="665"/>
    <cellStyle name="_2008 Contract @ 2008 Exchange Rates" xfId="666"/>
    <cellStyle name="_2008 Contract UK MAC_GP24003_V1" xfId="667"/>
    <cellStyle name="_2008 GPsummary" xfId="668"/>
    <cellStyle name="_2008 HY Position for APAC IT Cost - Revised" xfId="669"/>
    <cellStyle name="_2008 OB_SC for Bill P and RG_Updated Aug 23-Factory level" xfId="670"/>
    <cellStyle name="_2008 OB_SC for Bill P and RG_Updated Aug 23-Factory level 2" xfId="671"/>
    <cellStyle name="_2008 OB_SC for Bill P and RG_Updated Aug 23-Factory level_Category Template AC'11 @Cst Fx 52W vs 53W" xfId="672"/>
    <cellStyle name="_2008 OB_SC for Bill P and RG_Updated Aug 23-Factory level_Category Template AC'11 @Cst Fx 52W vs 53W 2" xfId="673"/>
    <cellStyle name="_2008 OB_SC for Bill P and RG_Updated Aug 23-Factory level_Category Template AC'11 @Cst Fx 52W vs 53W_P&amp;L KFE" xfId="674"/>
    <cellStyle name="_2008 OB_SC for Bill P and RG_Updated Aug 23-Factory level_Category Template AC'11 @Cst Fx 52W vs 53W_Sheet3" xfId="675"/>
    <cellStyle name="_2008 OB_SC for Bill P and RG_Updated Aug 23-Factory level_P&amp;L KFE" xfId="676"/>
    <cellStyle name="_2008 OB_SC for Bill P and RG_Updated Aug 23-Factory level_Sheet3" xfId="677"/>
    <cellStyle name="_2008OB Forecast variance(Regional)" xfId="678"/>
    <cellStyle name="_2008OB Forecast variance(Regional) 2" xfId="679"/>
    <cellStyle name="_2008OB Forecast variance(Regional)_Category Template AC'11 @Cst Fx 52W vs 53W" xfId="680"/>
    <cellStyle name="_2008OB Forecast variance(Regional)_Category Template AC'11 @Cst Fx 52W vs 53W 2" xfId="681"/>
    <cellStyle name="_2008OB Forecast variance(Regional)_Category Template AC'11 @Cst Fx 52W vs 53W_P&amp;L KFE" xfId="682"/>
    <cellStyle name="_2008OB Forecast variance(Regional)_Category Template AC'11 @Cst Fx 52W vs 53W_Sheet3" xfId="683"/>
    <cellStyle name="_2008OB Forecast variance(Regional)_P&amp;L KFE" xfId="684"/>
    <cellStyle name="_2008OB Forecast variance(Regional)_Sheet3" xfId="685"/>
    <cellStyle name="_2009 APAC IT MAC Recharges 13 10 2008" xfId="686"/>
    <cellStyle name="_2009 APAC IT MAC Recharges 24.10.2008" xfId="687"/>
    <cellStyle name="_2009 BU Allocation 520050 FM" xfId="688"/>
    <cellStyle name="_2009 Contract 40APACREG HFM" xfId="689"/>
    <cellStyle name="_2009 Contract and Roadmap" xfId="690"/>
    <cellStyle name="_2009 Contract Report HFM" xfId="691"/>
    <cellStyle name="_2009 CSAP IT Contract Consolidation file XX.09.2008" xfId="692"/>
    <cellStyle name="_2009 March Forecast - Financials" xfId="693"/>
    <cellStyle name="_2009 Productivity overview v20100205" xfId="694"/>
    <cellStyle name="_2009 proposed allocation v4 (2)" xfId="695"/>
    <cellStyle name="_2009 V2 HFM IT MAC Recharges - Asia  Pacific 10 12 2008" xfId="696"/>
    <cellStyle name="_20092010_Simul Pricing Biscuit AC11 Aprs ajust PVC+ 3pts2% + risque clients" xfId="697"/>
    <cellStyle name="_2010 10 08 - Innos pour Deck" xfId="698"/>
    <cellStyle name="_2010 9plus3 - Breakdown by cost centre" xfId="699"/>
    <cellStyle name="_2010 IT Benchmarking refresh_24Sep" xfId="700"/>
    <cellStyle name="_2nd volume" xfId="701"/>
    <cellStyle name="_2nd volume 2" xfId="702"/>
    <cellStyle name="_2nd volume_2007 Finance LE Reporting Panyu-0712" xfId="703"/>
    <cellStyle name="_2nd volume_2007 Finance LE Reporting Panyu-0712 2" xfId="704"/>
    <cellStyle name="_2nd volume_2007 Finance LE Reporting Panyu-0712_Category Template AC'11 @Cst Fx 52W vs 53W" xfId="705"/>
    <cellStyle name="_2nd volume_2007 Finance LE Reporting Panyu-0712_Category Template AC'11 @Cst Fx 52W vs 53W 2" xfId="706"/>
    <cellStyle name="_2nd volume_2007 Finance LE Reporting Panyu-0712_Category Template AC'11 @Cst Fx 52W vs 53W_P&amp;L KFE" xfId="707"/>
    <cellStyle name="_2nd volume_2007 Finance LE Reporting Panyu-0712_Category Template AC'11 @Cst Fx 52W vs 53W_Sheet3" xfId="708"/>
    <cellStyle name="_2nd volume_2007 Finance LE Reporting Panyu-0712_P&amp;L KFE" xfId="709"/>
    <cellStyle name="_2nd volume_2007 Finance LE Reporting Panyu-0712_Sheet3" xfId="710"/>
    <cellStyle name="_2nd volume_Category Template AC'11 @Cst Fx 52W vs 53W" xfId="711"/>
    <cellStyle name="_2nd volume_Category Template AC'11 @Cst Fx 52W vs 53W 2" xfId="712"/>
    <cellStyle name="_2nd volume_Category Template AC'11 @Cst Fx 52W vs 53W_P&amp;L KFE" xfId="713"/>
    <cellStyle name="_2nd volume_Category Template AC'11 @Cst Fx 52W vs 53W_Sheet3" xfId="714"/>
    <cellStyle name="_2nd volume_Estimate Updated APAC 2008-py01" xfId="715"/>
    <cellStyle name="_2nd volume_Estimate Updated APAC 2008-py01 2" xfId="716"/>
    <cellStyle name="_2nd volume_Estimate Updated APAC 2008-py01_Category Template AC'11 @Cst Fx 52W vs 53W" xfId="717"/>
    <cellStyle name="_2nd volume_Estimate Updated APAC 2008-py01_Category Template AC'11 @Cst Fx 52W vs 53W 2" xfId="718"/>
    <cellStyle name="_2nd volume_Estimate Updated APAC 2008-py01_Category Template AC'11 @Cst Fx 52W vs 53W_P&amp;L KFE" xfId="719"/>
    <cellStyle name="_2nd volume_Estimate Updated APAC 2008-py01_Category Template AC'11 @Cst Fx 52W vs 53W_Sheet3" xfId="720"/>
    <cellStyle name="_2nd volume_Estimate Updated APAC 2008-py01_P&amp;L KFE" xfId="721"/>
    <cellStyle name="_2nd volume_Estimate Updated APAC 2008-py01_Sheet3" xfId="722"/>
    <cellStyle name="_2nd volume_LE template 200801" xfId="723"/>
    <cellStyle name="_2nd volume_LE template 200801 2" xfId="724"/>
    <cellStyle name="_2nd volume_LE template 200801_Category Template AC'11 @Cst Fx 52W vs 53W" xfId="725"/>
    <cellStyle name="_2nd volume_LE template 200801_Category Template AC'11 @Cst Fx 52W vs 53W 2" xfId="726"/>
    <cellStyle name="_2nd volume_LE template 200801_Category Template AC'11 @Cst Fx 52W vs 53W_P&amp;L KFE" xfId="727"/>
    <cellStyle name="_2nd volume_LE template 200801_Category Template AC'11 @Cst Fx 52W vs 53W_Sheet3" xfId="728"/>
    <cellStyle name="_2nd volume_LE template 200801_P&amp;L KFE" xfId="729"/>
    <cellStyle name="_2nd volume_LE template 200801_Sheet3" xfId="730"/>
    <cellStyle name="_2nd volume_OB 2008 w JAA-PY" xfId="731"/>
    <cellStyle name="_2nd volume_OB 2008 w JAA-PY 2" xfId="732"/>
    <cellStyle name="_2nd volume_OB 2008 w JAA-PY_Category Template AC'11 @Cst Fx 52W vs 53W" xfId="733"/>
    <cellStyle name="_2nd volume_OB 2008 w JAA-PY_Category Template AC'11 @Cst Fx 52W vs 53W 2" xfId="734"/>
    <cellStyle name="_2nd volume_OB 2008 w JAA-PY_Category Template AC'11 @Cst Fx 52W vs 53W_P&amp;L KFE" xfId="735"/>
    <cellStyle name="_2nd volume_OB 2008 w JAA-PY_Category Template AC'11 @Cst Fx 52W vs 53W_Sheet3" xfId="736"/>
    <cellStyle name="_2nd volume_OB 2008 w JAA-PY_P&amp;L KFE" xfId="737"/>
    <cellStyle name="_2nd volume_OB 2008 w JAA-PY_Sheet3" xfId="738"/>
    <cellStyle name="_2nd volume_P&amp;L KFE" xfId="739"/>
    <cellStyle name="_2nd volume_powerpoint content" xfId="740"/>
    <cellStyle name="_2nd volume_powerpoint content 2" xfId="741"/>
    <cellStyle name="_2nd volume_powerpoint content_Category Template AC'11 @Cst Fx 52W vs 53W" xfId="742"/>
    <cellStyle name="_2nd volume_powerpoint content_Category Template AC'11 @Cst Fx 52W vs 53W 2" xfId="743"/>
    <cellStyle name="_2nd volume_powerpoint content_Category Template AC'11 @Cst Fx 52W vs 53W_P&amp;L KFE" xfId="744"/>
    <cellStyle name="_2nd volume_powerpoint content_Category Template AC'11 @Cst Fx 52W vs 53W_Sheet3" xfId="745"/>
    <cellStyle name="_2nd volume_powerpoint content_P&amp;L KFE" xfId="746"/>
    <cellStyle name="_2nd volume_powerpoint content_Sheet3" xfId="747"/>
    <cellStyle name="_2nd volume_Sheet3" xfId="748"/>
    <cellStyle name="_5+7 by Site v5" xfId="749"/>
    <cellStyle name="_5+7F Cost Driver Summary" xfId="750"/>
    <cellStyle name="_6+6 summaries - PRD" xfId="751"/>
    <cellStyle name="_7+5F Cost Driver Summary" xfId="752"/>
    <cellStyle name="_8.Tb passage décembre 12.01.09" xfId="753"/>
    <cellStyle name="_8+4F Cost Centre Summary" xfId="754"/>
    <cellStyle name="_9+3 Summary 24102009" xfId="755"/>
    <cellStyle name="_99-5YSTP-fin" xfId="756"/>
    <cellStyle name="_99-5YSTP-fin1" xfId="757"/>
    <cellStyle name="_99-5YSTP-final" xfId="758"/>
    <cellStyle name="_A.02 RFP Pricing Response Template" xfId="759"/>
    <cellStyle name="_AC Category Synergies Allocation_020910" xfId="760"/>
    <cellStyle name="_AC'11 Orbis Upload_140910" xfId="761"/>
    <cellStyle name="_Accenture Price Breakout v2a 070805" xfId="762"/>
    <cellStyle name="_Activity Sheet Mapping" xfId="763"/>
    <cellStyle name="_Activity Sheet Mapping_Data" xfId="764"/>
    <cellStyle name="_Activity Sheet Mapping_GP25000 BIMA_Central Functions_ IT Management_3+9" xfId="765"/>
    <cellStyle name="_Activity Sheet Mapping_GP25000 BIMA_Central Functions_ IT Management_3+9_2010 9plus3 - Breakdown by cost centre" xfId="766"/>
    <cellStyle name="_Activity Sheet Mapping_GP25000 BIMA_Central Functions_ IT Management_3+9_CF Portfolio 2010 050510" xfId="767"/>
    <cellStyle name="_Activity Sheet Mapping_GP25000 BIMA_Central Functions_ IT Management_3+9_CV3 submission - UOP entity" xfId="768"/>
    <cellStyle name="_Activity Sheet Mapping_GP25000 BIMA_Central Functions_ IT Management_3+9_Data" xfId="769"/>
    <cellStyle name="_Activity Sheet Mapping_GP25000 BIMA_Central Functions_ IT Management_3+9_Function and cc mapping (2)" xfId="770"/>
    <cellStyle name="_Activity Sheet Mapping_GP25000 BIMA_Central Functions_ IT Management_3+9_Global_Hosting_Services_v02" xfId="771"/>
    <cellStyle name="_Activity Sheet Mapping_GP25000 BIMA_Central Functions_ IT Management_3+9_GP25056 Global Service Desk (UK) 2009" xfId="772"/>
    <cellStyle name="_Activity Sheet Mapping_GP25000 BIMA_Central Functions_ IT Management_3+9_GP25057_EUS_Shared_2009_CC_Report" xfId="773"/>
    <cellStyle name="_Activity Sheet Mapping_GP25000 BIMA_Central Functions_ IT Management_3+9_GP25060 Global Hosting Services 3+9F v5" xfId="774"/>
    <cellStyle name="_Activity Sheet Mapping_GP25000 BIMA_Central Functions_ IT Management_3+9_Sheet1" xfId="775"/>
    <cellStyle name="_Activity Sheet Mapping_GP25000 BIMA_Central Functions_ IT Management_3+9_Sheet2" xfId="776"/>
    <cellStyle name="_Activity Sheet Mapping_GP25000 BIMA_Central Functions_ IT Management_3+9_UOP balance by entity 6+6F" xfId="777"/>
    <cellStyle name="_Activity Sheet Mapping_GP25056 Global Service Desk (UK) 2009" xfId="778"/>
    <cellStyle name="_Activity Sheet Mapping_GP25057_EUS_Shared_2009_CC_Report" xfId="779"/>
    <cellStyle name="_Activity Sheet Mapping_GP25060 Global Hosting Services_2009_CC Report" xfId="780"/>
    <cellStyle name="_Activity Sheet Mapping_GP25060 Global Hosting Services_2009_V1" xfId="781"/>
    <cellStyle name="_Activity Sheet Mapping_GP25060 Global Hosting Services_Sept 08" xfId="782"/>
    <cellStyle name="_Activity Sheet Mapping_Information" xfId="783"/>
    <cellStyle name="_Activity Sheet Mapping_SAP" xfId="784"/>
    <cellStyle name="_Activity Sheet Mapping_SAP_2010 9plus3 - Breakdown by cost centre" xfId="785"/>
    <cellStyle name="_Activity Sheet Mapping_SAP_CF Portfolio 2010 050510" xfId="786"/>
    <cellStyle name="_Activity Sheet Mapping_SAP_CV3 submission - UOP entity" xfId="787"/>
    <cellStyle name="_Activity Sheet Mapping_SAP_Data" xfId="788"/>
    <cellStyle name="_Activity Sheet Mapping_SAP_Function and cc mapping (2)" xfId="789"/>
    <cellStyle name="_Activity Sheet Mapping_SAP_Global_Hosting_Services_v02" xfId="790"/>
    <cellStyle name="_Activity Sheet Mapping_SAP_GP25056 Global Service Desk (UK) 2009" xfId="791"/>
    <cellStyle name="_Activity Sheet Mapping_SAP_GP25057_EUS_Shared_2009_CC_Report" xfId="792"/>
    <cellStyle name="_Activity Sheet Mapping_SAP_GP25060 Global Hosting Services 3+9F v5" xfId="793"/>
    <cellStyle name="_Activity Sheet Mapping_SAP_Sheet1" xfId="794"/>
    <cellStyle name="_Activity Sheet Mapping_SAP_Sheet2" xfId="795"/>
    <cellStyle name="_Activity Sheet Mapping_SAP_UOP balance by entity 6+6F" xfId="796"/>
    <cellStyle name="_Activity Sheet Mapping_Sheet1" xfId="797"/>
    <cellStyle name="_Activity Sheet Mapping_Sheet2" xfId="798"/>
    <cellStyle name="_Actual HFM Template" xfId="799"/>
    <cellStyle name="_ACTUAL Promo 2010 P8" xfId="800"/>
    <cellStyle name="_Actuals and Q1 Summary Retrieves" xfId="801"/>
    <cellStyle name="_Add the new sheet" xfId="802"/>
    <cellStyle name="_Add the new sheet_2009 Period 4 review IT21560 Data Centre" xfId="803"/>
    <cellStyle name="_Add the new sheet_Global_Hosting_Services_v02" xfId="804"/>
    <cellStyle name="_Add the new sheet_GP25000 BIMA_Central Functions_ IT Management_3+9" xfId="805"/>
    <cellStyle name="_Add the new sheet_GP25055 EUS - Desktop Technology Management_Sept 08" xfId="806"/>
    <cellStyle name="_Add the new sheet_GP25056 Global Service Desk (UK) 2009" xfId="807"/>
    <cellStyle name="_Add the new sheet_GP25057_EUS_Shared_2009_CC_Report" xfId="808"/>
    <cellStyle name="_Add the new sheet_GP25060 Global Hosting Services 3+9F v5" xfId="809"/>
    <cellStyle name="_Add the new sheet_GP25060 Global Hosting Services_2009 v10 PD" xfId="810"/>
    <cellStyle name="_Add the new sheet_SAP" xfId="811"/>
    <cellStyle name="_Add the new sheet_Sheet1" xfId="812"/>
    <cellStyle name="_Add the new sheet_Sheet2" xfId="813"/>
    <cellStyle name="_Additional tabs6+6 V2" xfId="814"/>
    <cellStyle name="_Additional tabs6+6 V2_Data" xfId="815"/>
    <cellStyle name="_Additional tabs6+6 V2_GP25000 BIMA_Central Functions_ IT Management_3+9" xfId="816"/>
    <cellStyle name="_Additional tabs6+6 V2_GP25000 BIMA_Central Functions_ IT Management_3+9_2010 9plus3 - Breakdown by cost centre" xfId="817"/>
    <cellStyle name="_Additional tabs6+6 V2_GP25000 BIMA_Central Functions_ IT Management_3+9_CF Portfolio 2010 050510" xfId="818"/>
    <cellStyle name="_Additional tabs6+6 V2_GP25000 BIMA_Central Functions_ IT Management_3+9_CV3 submission - UOP entity" xfId="819"/>
    <cellStyle name="_Additional tabs6+6 V2_GP25000 BIMA_Central Functions_ IT Management_3+9_Data" xfId="820"/>
    <cellStyle name="_Additional tabs6+6 V2_GP25000 BIMA_Central Functions_ IT Management_3+9_Function and cc mapping (2)" xfId="821"/>
    <cellStyle name="_Additional tabs6+6 V2_GP25000 BIMA_Central Functions_ IT Management_3+9_Global_Hosting_Services_v02" xfId="822"/>
    <cellStyle name="_Additional tabs6+6 V2_GP25000 BIMA_Central Functions_ IT Management_3+9_GP25056 Global Service Desk (UK) 2009" xfId="823"/>
    <cellStyle name="_Additional tabs6+6 V2_GP25000 BIMA_Central Functions_ IT Management_3+9_GP25057_EUS_Shared_2009_CC_Report" xfId="824"/>
    <cellStyle name="_Additional tabs6+6 V2_GP25000 BIMA_Central Functions_ IT Management_3+9_GP25060 Global Hosting Services 3+9F v5" xfId="825"/>
    <cellStyle name="_Additional tabs6+6 V2_GP25000 BIMA_Central Functions_ IT Management_3+9_Sheet1" xfId="826"/>
    <cellStyle name="_Additional tabs6+6 V2_GP25000 BIMA_Central Functions_ IT Management_3+9_Sheet2" xfId="827"/>
    <cellStyle name="_Additional tabs6+6 V2_GP25000 BIMA_Central Functions_ IT Management_3+9_UOP balance by entity 6+6F" xfId="828"/>
    <cellStyle name="_Additional tabs6+6 V2_GP25056 Global Service Desk (UK) 2009" xfId="829"/>
    <cellStyle name="_Additional tabs6+6 V2_GP25057_EUS_Shared_2009_CC_Report" xfId="830"/>
    <cellStyle name="_Additional tabs6+6 V2_GP25060 Global Hosting Services_2009_CC Report" xfId="831"/>
    <cellStyle name="_Additional tabs6+6 V2_GP25060 Global Hosting Services_2009_V1" xfId="832"/>
    <cellStyle name="_Additional tabs6+6 V2_GP25060 Global Hosting Services_Sept 08" xfId="833"/>
    <cellStyle name="_Additional tabs6+6 V2_Information" xfId="834"/>
    <cellStyle name="_Additional tabs6+6 V2_IT_Countrysheet_APAC_ChinaBeijing 6+6 V2" xfId="835"/>
    <cellStyle name="_Additional tabs6+6 V2_SAP" xfId="836"/>
    <cellStyle name="_Additional tabs6+6 V2_SAP_2010 9plus3 - Breakdown by cost centre" xfId="837"/>
    <cellStyle name="_Additional tabs6+6 V2_SAP_CF Portfolio 2010 050510" xfId="838"/>
    <cellStyle name="_Additional tabs6+6 V2_SAP_CV3 submission - UOP entity" xfId="839"/>
    <cellStyle name="_Additional tabs6+6 V2_SAP_Data" xfId="840"/>
    <cellStyle name="_Additional tabs6+6 V2_SAP_Function and cc mapping (2)" xfId="841"/>
    <cellStyle name="_Additional tabs6+6 V2_SAP_Global_Hosting_Services_v02" xfId="842"/>
    <cellStyle name="_Additional tabs6+6 V2_SAP_GP25056 Global Service Desk (UK) 2009" xfId="843"/>
    <cellStyle name="_Additional tabs6+6 V2_SAP_GP25057_EUS_Shared_2009_CC_Report" xfId="844"/>
    <cellStyle name="_Additional tabs6+6 V2_SAP_GP25060 Global Hosting Services 3+9F v5" xfId="845"/>
    <cellStyle name="_Additional tabs6+6 V2_SAP_Sheet1" xfId="846"/>
    <cellStyle name="_Additional tabs6+6 V2_SAP_Sheet2" xfId="847"/>
    <cellStyle name="_Additional tabs6+6 V2_SAP_UOP balance by entity 6+6F" xfId="848"/>
    <cellStyle name="_Additional tabs6+6 V2_Sheet1" xfId="849"/>
    <cellStyle name="_Additional tabs6+6 V2_Sheet2" xfId="850"/>
    <cellStyle name="_AG_C2" xfId="851"/>
    <cellStyle name="_AG_C2_AR_TUC new line_Szekes v10" xfId="852"/>
    <cellStyle name="_AL-Database Target Push-Down_Latest" xfId="853"/>
    <cellStyle name="_AL-Database Target Push-Down_V13" xfId="854"/>
    <cellStyle name="_AL-Database Target Push-Down_V7" xfId="855"/>
    <cellStyle name="_AL-Database Target Push-Down_V9_COGS Allocation" xfId="856"/>
    <cellStyle name="_Aldea 14605 Completion Notice 1-3 &amp; 4 partial" xfId="857"/>
    <cellStyle name="_Aldea 14605 Completion Notice 1-3 &amp; 4 partial 2" xfId="858"/>
    <cellStyle name="_Aldea 14605 Completion Notice 1-3 &amp; 4 partial 2_P&amp;L KFE" xfId="859"/>
    <cellStyle name="_Aldea 14605 Completion Notice 1-3 &amp; 4 partial 2_Sheet3" xfId="860"/>
    <cellStyle name="_Aldea 14605 Completion Notice 1-3 &amp; 4 partial_P&amp;L KFE" xfId="861"/>
    <cellStyle name="_Aldea 14605 Completion Notice 1-3 &amp; 4 partial_Sheet3" xfId="862"/>
    <cellStyle name="_Americas data_Share Plans_Disc  Plans_FINAL" xfId="863"/>
    <cellStyle name="_Americas data_Share Plans_Disc  Plans_FINAL v1 (2)" xfId="864"/>
    <cellStyle name="_Analysis for Reporting Decks - June 08 - MN" xfId="865"/>
    <cellStyle name="_Andean Data Package090508" xfId="866"/>
    <cellStyle name="_AOP10 Country presentation" xfId="867"/>
    <cellStyle name="_AOP10 Country presentation 2" xfId="868"/>
    <cellStyle name="_AOP10 Country presentation_P&amp;L KFE" xfId="869"/>
    <cellStyle name="_AOP10 Country presentation_Sheet1" xfId="870"/>
    <cellStyle name="_AOP10 Country presentation_Sheet3" xfId="871"/>
    <cellStyle name="_AOP'10 P1E - T4G Systems Budget" xfId="872"/>
    <cellStyle name="_AOP'10 P1E - T4G Systems Budget v2" xfId="873"/>
    <cellStyle name="_AP Country OB09 DCD Template" xfId="874"/>
    <cellStyle name="_AP Country OB09 DCD Template-M&amp;S NPD" xfId="875"/>
    <cellStyle name="_AP2009 - Cost bridge" xfId="876"/>
    <cellStyle name="_AP2009 - M&amp;S Value" xfId="877"/>
    <cellStyle name="_AP2009 - M&amp;S Volume" xfId="878"/>
    <cellStyle name="_AP2009 - OIE" xfId="879"/>
    <cellStyle name="_AP2009 - Overhead" xfId="880"/>
    <cellStyle name="_AP2009 - Pricing" xfId="881"/>
    <cellStyle name="_Apr 04 PL" xfId="882"/>
    <cellStyle name="_Apr 04 PL 2" xfId="883"/>
    <cellStyle name="_Apr 04 PL_Category Template AC'11 @Cst Fx 52W vs 53W" xfId="884"/>
    <cellStyle name="_Apr 04 PL_Category Template AC'11 @Cst Fx 52W vs 53W 2" xfId="885"/>
    <cellStyle name="_Apr 04 PL_Category Template AC'11 @Cst Fx 52W vs 53W_P&amp;L KFE" xfId="886"/>
    <cellStyle name="_Apr 04 PL_Category Template AC'11 @Cst Fx 52W vs 53W_Sheet3" xfId="887"/>
    <cellStyle name="_Apr 04 PL_P&amp;L KFE" xfId="888"/>
    <cellStyle name="_Apr 04 PL_Sheet3" xfId="889"/>
    <cellStyle name="_April" xfId="890"/>
    <cellStyle name="_April_1" xfId="891"/>
    <cellStyle name="_April_2" xfId="892"/>
    <cellStyle name="_April_3" xfId="893"/>
    <cellStyle name="_April_3 2" xfId="894"/>
    <cellStyle name="_April_3 2_P&amp;L KFE" xfId="895"/>
    <cellStyle name="_April_3 2_Sheet3" xfId="896"/>
    <cellStyle name="_April_3_P&amp;L KFE" xfId="897"/>
    <cellStyle name="_April_3_Sheet3" xfId="898"/>
    <cellStyle name="_APRIL_KRAFT NA MIGRATION_Data Center Lifecycle Monthly Completion Notice" xfId="899"/>
    <cellStyle name="_AR - Project MM2 Financials - 14.12.07" xfId="900"/>
    <cellStyle name="_AR - Project MM2 Financials - 16.01.08" xfId="901"/>
    <cellStyle name="_AR - savings Total EU Restructuring" xfId="902"/>
    <cellStyle name="_AR Cost Reduction Financials Template 2007 02 20" xfId="903"/>
    <cellStyle name="_AR Cost Reduction Financials Template 2007 02 20 2" xfId="904"/>
    <cellStyle name="_AR Cost Reduction Financials Template 2007 02 20 2_P&amp;L KFE" xfId="905"/>
    <cellStyle name="_AR Cost Reduction Financials Template 2007 02 20 2_Sheet3" xfId="906"/>
    <cellStyle name="_AR Cost Reduction Financials Template 2007 02 20_P&amp;L KFE" xfId="907"/>
    <cellStyle name="_AR Cost Reduction Financials Template 2007 02 20_Sheet3" xfId="908"/>
    <cellStyle name="_AR Cote d'Or local prod for Russia and Ukraine _Tro 150807" xfId="909"/>
    <cellStyle name="_AR Cote d'Or local prod for Russia and Ukraine _Tro 150807_AR_TUC new line_Szekes v10" xfId="910"/>
    <cellStyle name="_AR Increased Capacity Financials Template 2007 02 261" xfId="911"/>
    <cellStyle name="_AR Increased Capacity Financials Template 2007 02 261_AR_TUC new line_Szekes v10" xfId="912"/>
    <cellStyle name="_AR Increased Capacity Financials Template 2007 02 261_costRUR" xfId="913"/>
    <cellStyle name="_AR Increased Capacity Financials Template 2007 02 261_costRUR_AR_TUC new line_Szekes v10" xfId="914"/>
    <cellStyle name="_AR Korona Chocolate miniatures 08.02.07" xfId="915"/>
    <cellStyle name="_AR Korona Chocolate miniatures 08.02.07_AR_TUC new line_Szekes v10" xfId="916"/>
    <cellStyle name="_AR Office Site Consolidation - Overview (2)" xfId="917"/>
    <cellStyle name="_AR_iPOD_Szekes" xfId="918"/>
    <cellStyle name="_AR2 2007" xfId="919"/>
    <cellStyle name="_AR2 2007 2" xfId="920"/>
    <cellStyle name="_ARMilka Luflee 08.06.07" xfId="921"/>
    <cellStyle name="_ARMilka Luflee 08.06.07_AR_TUC new line_Szekes v10" xfId="922"/>
    <cellStyle name="_Asia  Pacific IT MAC Recharge model - February 2009 V2" xfId="923"/>
    <cellStyle name="_Asia  Pacific IT MAC Recharge model - January 2009" xfId="924"/>
    <cellStyle name="_Asia  Pacific IT MAC Recharge model - January 2009 (3)" xfId="925"/>
    <cellStyle name="_Asia &amp; Pacific IT MAC Recharge model 13.01.08" xfId="926"/>
    <cellStyle name="_Asia Pacific AP 2009 Implementaion  Restructuring to KI (Edgar Oct8)" xfId="927"/>
    <cellStyle name="_Asia Pacific IT MAC Recharge model -April 2009" xfId="928"/>
    <cellStyle name="_ASO P10, Q4  S38 27-09 bis" xfId="929"/>
    <cellStyle name="_ASSUMPTION" xfId="930"/>
    <cellStyle name="_August 04 - Solutions and Delivery Centres Loaded Costs v4.5" xfId="931"/>
    <cellStyle name="_B&amp;I - Contract 2010 CV1 - IT Costs_v2" xfId="932"/>
    <cellStyle name="_Base case_4b_10ctries" xfId="933"/>
    <cellStyle name="_Base case_4b_10ctries 2" xfId="934"/>
    <cellStyle name="_Base case_4b_10ctries 2_P&amp;L KFE" xfId="935"/>
    <cellStyle name="_Base case_4b_10ctries 2_Sheet3" xfId="936"/>
    <cellStyle name="_Base case_4b_10ctries_P&amp;L KFE" xfId="937"/>
    <cellStyle name="_Base case_4b_10ctries_Sheet3" xfId="938"/>
    <cellStyle name="_Base case_4b_6ctries" xfId="939"/>
    <cellStyle name="_Base case_4b_6ctries 2" xfId="940"/>
    <cellStyle name="_Base case_4b_6ctries 2_P&amp;L KFE" xfId="941"/>
    <cellStyle name="_Base case_4b_6ctries 2_Sheet3" xfId="942"/>
    <cellStyle name="_Base case_4b_6ctries_P&amp;L KFE" xfId="943"/>
    <cellStyle name="_Base case_4b_6ctries_Sheet3" xfId="944"/>
    <cellStyle name="_Baselines" xfId="945"/>
    <cellStyle name="_Baselines08132008KHv1" xfId="946"/>
    <cellStyle name="_Baselines08132008KHv1 2" xfId="947"/>
    <cellStyle name="_Baselines08132008KHv1 2_P&amp;L KFE" xfId="948"/>
    <cellStyle name="_Baselines08132008KHv1 2_Sheet3" xfId="949"/>
    <cellStyle name="_Baselines08132008KHv1_P&amp;L KFE" xfId="950"/>
    <cellStyle name="_Baselines08132008KHv1_Sheet3" xfId="951"/>
    <cellStyle name="_BCPexCHMASS_21.08.2007" xfId="952"/>
    <cellStyle name="_Beans impact vs OB08" xfId="953"/>
    <cellStyle name="_Beans, nuts impact vs OB08 based on new commodities assumptions_071207" xfId="954"/>
    <cellStyle name="_Benefits Assumptions" xfId="955"/>
    <cellStyle name="_BI - Contract 2010 CV1 - IT Costs_v4" xfId="956"/>
    <cellStyle name="_BILAN CO 354 VERSION 3" xfId="957"/>
    <cellStyle name="_BILAN CO 80_VERSION 3" xfId="958"/>
    <cellStyle name="_Biscuits CBY Synergies_sent (2)" xfId="959"/>
    <cellStyle name="_Book Contrat 2009" xfId="960"/>
    <cellStyle name="_Book1" xfId="961"/>
    <cellStyle name="_Book1 (3)" xfId="962"/>
    <cellStyle name="_Book1_1" xfId="963"/>
    <cellStyle name="_Book1_AR_TUC new line_Szekes v10" xfId="964"/>
    <cellStyle name="_Book12" xfId="965"/>
    <cellStyle name="_Book2" xfId="966"/>
    <cellStyle name="_Book2_1" xfId="967"/>
    <cellStyle name="_Book2_AR_TUC new line_Szekes v10" xfId="968"/>
    <cellStyle name="_Book3" xfId="969"/>
    <cellStyle name="_Book5" xfId="970"/>
    <cellStyle name="_Book5 2" xfId="971"/>
    <cellStyle name="_Book5_Category Template AC'11 @Cst Fx 52W vs 53W" xfId="972"/>
    <cellStyle name="_Book5_Category Template AC'11 @Cst Fx 52W vs 53W 2" xfId="973"/>
    <cellStyle name="_Book5_Category Template AC'11 @Cst Fx 52W vs 53W_P&amp;L KFE" xfId="974"/>
    <cellStyle name="_Book5_Category Template AC'11 @Cst Fx 52W vs 53W_Sheet3" xfId="975"/>
    <cellStyle name="_Book5_P&amp;L KFE" xfId="976"/>
    <cellStyle name="_Book5_Sheet3" xfId="977"/>
    <cellStyle name="_Book9" xfId="978"/>
    <cellStyle name="_Book9 2" xfId="979"/>
    <cellStyle name="_Book9 2_P&amp;L KFE" xfId="980"/>
    <cellStyle name="_Book9 2_Sheet3" xfId="981"/>
    <cellStyle name="_Book9_P&amp;L KFE" xfId="982"/>
    <cellStyle name="_Book9_Sheet3" xfId="983"/>
    <cellStyle name="_Bournville_Shared_Dedicated (Sarah)" xfId="984"/>
    <cellStyle name="_Bournville_Shared_Dedicated v2" xfId="985"/>
    <cellStyle name="_Bournville_Shared_Dedicated v3" xfId="986"/>
    <cellStyle name="_Budget IT" xfId="987"/>
    <cellStyle name="_Budget-to-Cost - Time Warner 2007-01-23 v5 - FINAL (Full Opportunity Bus Case - used)" xfId="988"/>
    <cellStyle name="_Budget-to-Cost - Time Warner 2007-01-23 v5 - FINAL (Full Opportunity Bus Case - used) 2" xfId="989"/>
    <cellStyle name="_Budget-to-Cost - Time Warner 2007-01-23 v5 - FINAL (Full Opportunity Bus Case - used) 2_P&amp;L KFE" xfId="990"/>
    <cellStyle name="_Budget-to-Cost - Time Warner 2007-01-23 v5 - FINAL (Full Opportunity Bus Case - used) 2_Sheet3" xfId="991"/>
    <cellStyle name="_Budget-to-Cost - Time Warner 2007-01-23 v5 - FINAL (Full Opportunity Bus Case - used)_P&amp;L KFE" xfId="992"/>
    <cellStyle name="_Budget-to-Cost - Time Warner 2007-01-23 v5 - FINAL (Full Opportunity Bus Case - used)_Sheet3" xfId="993"/>
    <cellStyle name="_c.P&amp;L HFM Summary P12 1001" xfId="994"/>
    <cellStyle name="_CA Masterflow June 15a" xfId="995"/>
    <cellStyle name="_CA Masterflow June 15a 2" xfId="996"/>
    <cellStyle name="_CA Masterflow June 15a_Book5" xfId="997"/>
    <cellStyle name="_CA Masterflow June 15a_Book5 2" xfId="998"/>
    <cellStyle name="_CA Masterflow June 15a_Book5_Category Template AC'11 @Cst Fx 52W vs 53W" xfId="999"/>
    <cellStyle name="_CA Masterflow June 15a_Book5_Category Template AC'11 @Cst Fx 52W vs 53W 2" xfId="1000"/>
    <cellStyle name="_CA Masterflow June 15a_Book5_Category Template AC'11 @Cst Fx 52W vs 53W_P&amp;L KFE" xfId="1001"/>
    <cellStyle name="_CA Masterflow June 15a_Book5_Category Template AC'11 @Cst Fx 52W vs 53W_Sheet3" xfId="1002"/>
    <cellStyle name="_CA Masterflow June 15a_Book5_P&amp;L KFE" xfId="1003"/>
    <cellStyle name="_CA Masterflow June 15a_Book5_Sheet3" xfId="1004"/>
    <cellStyle name="_CA Masterflow June 15a_Category Template AC'11 @Cst Fx 52W vs 53W" xfId="1005"/>
    <cellStyle name="_CA Masterflow June 15a_Category Template AC'11 @Cst Fx 52W vs 53W 2" xfId="1006"/>
    <cellStyle name="_CA Masterflow June 15a_Category Template AC'11 @Cst Fx 52W vs 53W_P&amp;L KFE" xfId="1007"/>
    <cellStyle name="_CA Masterflow June 15a_Category Template AC'11 @Cst Fx 52W vs 53W_Sheet3" xfId="1008"/>
    <cellStyle name="_CA Masterflow June 15a_P&amp;L KFE" xfId="1009"/>
    <cellStyle name="_CA Masterflow June 15a_Sheet3" xfId="1010"/>
    <cellStyle name="_CA Masterflow June 15a_Wrigley - 05 budget&amp;calendar LE 050728 (25I)" xfId="1011"/>
    <cellStyle name="_CA Masterflow June 15a_Wrigley - 05 budget&amp;calendar LE 050728 (25I) 2" xfId="1012"/>
    <cellStyle name="_CA Masterflow June 15a_Wrigley - 05 budget&amp;calendar LE 050728 (25I)_Category Template AC'11 @Cst Fx 52W vs 53W" xfId="1013"/>
    <cellStyle name="_CA Masterflow June 15a_Wrigley - 05 budget&amp;calendar LE 050728 (25I)_Category Template AC'11 @Cst Fx 52W vs 53W 2" xfId="1014"/>
    <cellStyle name="_CA Masterflow June 15a_Wrigley - 05 budget&amp;calendar LE 050728 (25I)_Category Template AC'11 @Cst Fx 52W vs 53W_P&amp;L KFE" xfId="1015"/>
    <cellStyle name="_CA Masterflow June 15a_Wrigley - 05 budget&amp;calendar LE 050728 (25I)_Category Template AC'11 @Cst Fx 52W vs 53W_Sheet3" xfId="1016"/>
    <cellStyle name="_CA Masterflow June 15a_Wrigley - 05 budget&amp;calendar LE 050728 (25I)_P&amp;L KFE" xfId="1017"/>
    <cellStyle name="_CA Masterflow June 15a_Wrigley - 05 budget&amp;calendar LE 050728 (25I)_Sheet3" xfId="1018"/>
    <cellStyle name="_CA Masterflow June 15a_Wrigley - 05 budget&amp;calendar LE 050728 (25I)_Wrigley - 06 simple chart Sep 14" xfId="1019"/>
    <cellStyle name="_CA Masterflow June 15a_Wrigley - 05 budget&amp;calendar LE 050728 (25I)_Wrigley - 06 simple chart Sep 14 2" xfId="1020"/>
    <cellStyle name="_CA Masterflow June 15a_Wrigley - 05 budget&amp;calendar LE 050728 (25I)_Wrigley - 06 simple chart Sep 14_Category Template AC'11 @Cst Fx 52W vs 53W" xfId="1021"/>
    <cellStyle name="_CA Masterflow June 15a_Wrigley - 05 budget&amp;calendar LE 050728 (25I)_Wrigley - 06 simple chart Sep 14_Category Template AC'11 @Cst Fx 52W vs 53W 2" xfId="1022"/>
    <cellStyle name="_CA Masterflow June 15a_Wrigley - 05 budget&amp;calendar LE 050728 (25I)_Wrigley - 06 simple chart Sep 14_Category Template AC'11 @Cst Fx 52W vs 53W_P&amp;L KFE" xfId="1023"/>
    <cellStyle name="_CA Masterflow June 15a_Wrigley - 05 budget&amp;calendar LE 050728 (25I)_Wrigley - 06 simple chart Sep 14_Category Template AC'11 @Cst Fx 52W vs 53W_Sheet3" xfId="1024"/>
    <cellStyle name="_CA Masterflow June 15a_Wrigley - 05 budget&amp;calendar LE 050728 (25I)_Wrigley - 06 simple chart Sep 14_P&amp;L KFE" xfId="1025"/>
    <cellStyle name="_CA Masterflow June 15a_Wrigley - 05 budget&amp;calendar LE 050728 (25I)_Wrigley - 06 simple chart Sep 14_Sheet3" xfId="1026"/>
    <cellStyle name="_CA Masterflow June 15a_Wrigley - 05 budget&amp;calendar LE 050824 (25F)" xfId="1027"/>
    <cellStyle name="_CA Masterflow June 15a_Wrigley - 05 budget&amp;calendar LE 050824 (25F) 2" xfId="1028"/>
    <cellStyle name="_CA Masterflow June 15a_Wrigley - 05 budget&amp;calendar LE 050824 (25F)_Category Template AC'11 @Cst Fx 52W vs 53W" xfId="1029"/>
    <cellStyle name="_CA Masterflow June 15a_Wrigley - 05 budget&amp;calendar LE 050824 (25F)_Category Template AC'11 @Cst Fx 52W vs 53W 2" xfId="1030"/>
    <cellStyle name="_CA Masterflow June 15a_Wrigley - 05 budget&amp;calendar LE 050824 (25F)_Category Template AC'11 @Cst Fx 52W vs 53W_P&amp;L KFE" xfId="1031"/>
    <cellStyle name="_CA Masterflow June 15a_Wrigley - 05 budget&amp;calendar LE 050824 (25F)_Category Template AC'11 @Cst Fx 52W vs 53W_Sheet3" xfId="1032"/>
    <cellStyle name="_CA Masterflow June 15a_Wrigley - 05 budget&amp;calendar LE 050824 (25F)_P&amp;L KFE" xfId="1033"/>
    <cellStyle name="_CA Masterflow June 15a_Wrigley - 05 budget&amp;calendar LE 050824 (25F)_Sheet3" xfId="1034"/>
    <cellStyle name="_CA Masterflow June 15a_Wrigley - 05 budget&amp;calendar LE 050824 (25F)_Wrigley - 06 simple chart Sep 14" xfId="1035"/>
    <cellStyle name="_CA Masterflow June 15a_Wrigley - 05 budget&amp;calendar LE 050824 (25F)_Wrigley - 06 simple chart Sep 14 2" xfId="1036"/>
    <cellStyle name="_CA Masterflow June 15a_Wrigley - 05 budget&amp;calendar LE 050824 (25F)_Wrigley - 06 simple chart Sep 14_Category Template AC'11 @Cst Fx 52W vs 53W" xfId="1037"/>
    <cellStyle name="_CA Masterflow June 15a_Wrigley - 05 budget&amp;calendar LE 050824 (25F)_Wrigley - 06 simple chart Sep 14_Category Template AC'11 @Cst Fx 52W vs 53W 2" xfId="1038"/>
    <cellStyle name="_CA Masterflow June 15a_Wrigley - 05 budget&amp;calendar LE 050824 (25F)_Wrigley - 06 simple chart Sep 14_Category Template AC'11 @Cst Fx 52W vs 53W_P&amp;L KFE" xfId="1039"/>
    <cellStyle name="_CA Masterflow June 15a_Wrigley - 05 budget&amp;calendar LE 050824 (25F)_Wrigley - 06 simple chart Sep 14_Category Template AC'11 @Cst Fx 52W vs 53W_Sheet3" xfId="1040"/>
    <cellStyle name="_CA Masterflow June 15a_Wrigley - 05 budget&amp;calendar LE 050824 (25F)_Wrigley - 06 simple chart Sep 14_P&amp;L KFE" xfId="1041"/>
    <cellStyle name="_CA Masterflow June 15a_Wrigley - 05 budget&amp;calendar LE 050824 (25F)_Wrigley - 06 simple chart Sep 14_Sheet3" xfId="1042"/>
    <cellStyle name="_CA Masterflow June 15a_Wrigley - 05 budget&amp;calendar LE 050824 (25I)" xfId="1043"/>
    <cellStyle name="_CA Masterflow June 15a_Wrigley - 05 budget&amp;calendar LE 050824 (25I) 2" xfId="1044"/>
    <cellStyle name="_CA Masterflow June 15a_Wrigley - 05 budget&amp;calendar LE 050824 (25I)_Category Template AC'11 @Cst Fx 52W vs 53W" xfId="1045"/>
    <cellStyle name="_CA Masterflow June 15a_Wrigley - 05 budget&amp;calendar LE 050824 (25I)_Category Template AC'11 @Cst Fx 52W vs 53W 2" xfId="1046"/>
    <cellStyle name="_CA Masterflow June 15a_Wrigley - 05 budget&amp;calendar LE 050824 (25I)_Category Template AC'11 @Cst Fx 52W vs 53W_P&amp;L KFE" xfId="1047"/>
    <cellStyle name="_CA Masterflow June 15a_Wrigley - 05 budget&amp;calendar LE 050824 (25I)_Category Template AC'11 @Cst Fx 52W vs 53W_Sheet3" xfId="1048"/>
    <cellStyle name="_CA Masterflow June 15a_Wrigley - 05 budget&amp;calendar LE 050824 (25I)_P&amp;L KFE" xfId="1049"/>
    <cellStyle name="_CA Masterflow June 15a_Wrigley - 05 budget&amp;calendar LE 050824 (25I)_Sheet3" xfId="1050"/>
    <cellStyle name="_CA Masterflow June 15a_Wrigley - 05 budget&amp;calendar LE 050824 (25I)_Wrigley - 06 simple chart Sep 14" xfId="1051"/>
    <cellStyle name="_CA Masterflow June 15a_Wrigley - 05 budget&amp;calendar LE 050824 (25I)_Wrigley - 06 simple chart Sep 14 2" xfId="1052"/>
    <cellStyle name="_CA Masterflow June 15a_Wrigley - 05 budget&amp;calendar LE 050824 (25I)_Wrigley - 06 simple chart Sep 14_Category Template AC'11 @Cst Fx 52W vs 53W" xfId="1053"/>
    <cellStyle name="_CA Masterflow June 15a_Wrigley - 05 budget&amp;calendar LE 050824 (25I)_Wrigley - 06 simple chart Sep 14_Category Template AC'11 @Cst Fx 52W vs 53W 2" xfId="1054"/>
    <cellStyle name="_CA Masterflow June 15a_Wrigley - 05 budget&amp;calendar LE 050824 (25I)_Wrigley - 06 simple chart Sep 14_Category Template AC'11 @Cst Fx 52W vs 53W_P&amp;L KFE" xfId="1055"/>
    <cellStyle name="_CA Masterflow June 15a_Wrigley - 05 budget&amp;calendar LE 050824 (25I)_Wrigley - 06 simple chart Sep 14_Category Template AC'11 @Cst Fx 52W vs 53W_Sheet3" xfId="1056"/>
    <cellStyle name="_CA Masterflow June 15a_Wrigley - 05 budget&amp;calendar LE 050824 (25I)_Wrigley - 06 simple chart Sep 14_P&amp;L KFE" xfId="1057"/>
    <cellStyle name="_CA Masterflow June 15a_Wrigley - 05 budget&amp;calendar LE 050824 (25I)_Wrigley - 06 simple chart Sep 14_Sheet3" xfId="1058"/>
    <cellStyle name="_CA Masterflow June 15a_Wrigley - 06 simple chart Sep 14" xfId="1059"/>
    <cellStyle name="_CA Masterflow June 15a_Wrigley - 06 simple chart Sep 14 2" xfId="1060"/>
    <cellStyle name="_CA Masterflow June 15a_Wrigley - 06 simple chart Sep 14_Category Template AC'11 @Cst Fx 52W vs 53W" xfId="1061"/>
    <cellStyle name="_CA Masterflow June 15a_Wrigley - 06 simple chart Sep 14_Category Template AC'11 @Cst Fx 52W vs 53W 2" xfId="1062"/>
    <cellStyle name="_CA Masterflow June 15a_Wrigley - 06 simple chart Sep 14_Category Template AC'11 @Cst Fx 52W vs 53W_P&amp;L KFE" xfId="1063"/>
    <cellStyle name="_CA Masterflow June 15a_Wrigley - 06 simple chart Sep 14_Category Template AC'11 @Cst Fx 52W vs 53W_Sheet3" xfId="1064"/>
    <cellStyle name="_CA Masterflow June 15a_Wrigley - 06 simple chart Sep 14_P&amp;L KFE" xfId="1065"/>
    <cellStyle name="_CA Masterflow June 15a_Wrigley - 06 simple chart Sep 14_Sheet3" xfId="1066"/>
    <cellStyle name="_CairEG - OB07" xfId="1067"/>
    <cellStyle name="_CairoEG - OB08 v2+" xfId="1068"/>
    <cellStyle name="_Calculation of incremental go-find targets to countries" xfId="1069"/>
    <cellStyle name="_Capex 10_10.06.09 with IT" xfId="1070"/>
    <cellStyle name="_CapEx 850 Milka Lufflee" xfId="1071"/>
    <cellStyle name="_CapEx 850 Milka Lufflee_AR_TUC new line_Szekes v10" xfId="1072"/>
    <cellStyle name="_Capex Extention Adm Building121" xfId="1073"/>
    <cellStyle name="_Capex Extention Adm Building121_AR_TUC new line_Szekes v10" xfId="1074"/>
    <cellStyle name="_CAR_Vozdushny New_Rev.4" xfId="1075"/>
    <cellStyle name="_CAR_Vozdushny New_Rev.4_AR_TUC new line_Szekes v10" xfId="1076"/>
    <cellStyle name="_Cash Flow KBE Transition April 2009" xfId="1077"/>
    <cellStyle name="_Cash Flow KBE Transition April 2009 2" xfId="1078"/>
    <cellStyle name="_Cash Flow KBE Transition April 2009 2_P&amp;L KFE" xfId="1079"/>
    <cellStyle name="_Cash Flow KBE Transition April 2009 2_Sheet3" xfId="1080"/>
    <cellStyle name="_Cash Flow KBE Transition April 2009_P&amp;L KFE" xfId="1081"/>
    <cellStyle name="_Cash Flow KBE Transition April 2009_Sheet3" xfId="1082"/>
    <cellStyle name="_Category &amp; Brand detail" xfId="1083"/>
    <cellStyle name="_Category Template AC'11_sent to countries" xfId="1084"/>
    <cellStyle name="_Category Template AC'11_sent to countries BE" xfId="1085"/>
    <cellStyle name="_C-B analisys_p04'08" xfId="1086"/>
    <cellStyle name="_CC Activities_v21dummy" xfId="1087"/>
    <cellStyle name="_CCAS Infrastructure COE Americas 4+8_2006_v0.2 with SP amendment" xfId="1088"/>
    <cellStyle name="_CCAS Infrastructure COE Americas 4+8_2006_v0.2 with SP amendment_2009 Period 4 review IT21560 Data Centre" xfId="1089"/>
    <cellStyle name="_CCAS Infrastructure COE Americas 4+8_2006_v0.2 with SP amendment_Global_Hosting_Services_v02" xfId="1090"/>
    <cellStyle name="_CCAS Infrastructure COE Americas 4+8_2006_v0.2 with SP amendment_GP25000 BIMA_Central Functions_ IT Management_3+9" xfId="1091"/>
    <cellStyle name="_CCAS Infrastructure COE Americas 4+8_2006_v0.2 with SP amendment_GP25055 EUS - Desktop Technology Management_Sept 08" xfId="1092"/>
    <cellStyle name="_CCAS Infrastructure COE Americas 4+8_2006_v0.2 with SP amendment_GP25056 Global Service Desk (UK) 2009" xfId="1093"/>
    <cellStyle name="_CCAS Infrastructure COE Americas 4+8_2006_v0.2 with SP amendment_GP25057_EUS_Shared_2009_CC_Report" xfId="1094"/>
    <cellStyle name="_CCAS Infrastructure COE Americas 4+8_2006_v0.2 with SP amendment_GP25060 Global Hosting Services 3+9F v5" xfId="1095"/>
    <cellStyle name="_CCAS Infrastructure COE Americas 4+8_2006_v0.2 with SP amendment_GP25060 Global Hosting Services_2009 v10 PD" xfId="1096"/>
    <cellStyle name="_CCAS Infrastructure COE Americas 4+8_2006_v0.2 with SP amendment_SAP" xfId="1097"/>
    <cellStyle name="_CCAS Infrastructure COE Americas 4+8_2006_v0.2 with SP amendment_Sheet1" xfId="1098"/>
    <cellStyle name="_CCAS Infrastructure COE Americas 4+8_2006_v0.2 with SP amendment_Sheet2" xfId="1099"/>
    <cellStyle name="_CD'o comparison PKR vs  TRO common file 03 12 07" xfId="1100"/>
    <cellStyle name="_CD'o comparison PKR vs  TRO common file 03 12 07_AR_TUC new line_Szekes v10" xfId="1101"/>
    <cellStyle name="_CD'o comparison PKR vs  TRO common file 15.02.08" xfId="1102"/>
    <cellStyle name="_CD'o comparison PKR vs  TRO common file 15.02.08_AR_TUC new line_Szekes v10" xfId="1103"/>
    <cellStyle name="_CEEMA" xfId="1104"/>
    <cellStyle name="_CF OB vs PY at rep FX (2)" xfId="1105"/>
    <cellStyle name="_CF OB vs PY at rep FX (2) 2" xfId="1106"/>
    <cellStyle name="_CF OB vs PY at rep FX (2)_OI_ADJ" xfId="1107"/>
    <cellStyle name="_CF OB vs PY at rep FX (2)_OI_ADJ 2" xfId="1108"/>
    <cellStyle name="_CF Portfolio 2010 050510" xfId="1109"/>
    <cellStyle name="_CG Masterflow June 15a" xfId="1110"/>
    <cellStyle name="_CG Masterflow June 15a 2" xfId="1111"/>
    <cellStyle name="_CG Masterflow June 15a_Book5" xfId="1112"/>
    <cellStyle name="_CG Masterflow June 15a_Book5 2" xfId="1113"/>
    <cellStyle name="_CG Masterflow June 15a_Book5_Category Template AC'11 @Cst Fx 52W vs 53W" xfId="1114"/>
    <cellStyle name="_CG Masterflow June 15a_Book5_Category Template AC'11 @Cst Fx 52W vs 53W 2" xfId="1115"/>
    <cellStyle name="_CG Masterflow June 15a_Book5_Category Template AC'11 @Cst Fx 52W vs 53W_P&amp;L KFE" xfId="1116"/>
    <cellStyle name="_CG Masterflow June 15a_Book5_Category Template AC'11 @Cst Fx 52W vs 53W_Sheet3" xfId="1117"/>
    <cellStyle name="_CG Masterflow June 15a_Book5_P&amp;L KFE" xfId="1118"/>
    <cellStyle name="_CG Masterflow June 15a_Book5_Sheet3" xfId="1119"/>
    <cellStyle name="_CG Masterflow June 15a_Category Template AC'11 @Cst Fx 52W vs 53W" xfId="1120"/>
    <cellStyle name="_CG Masterflow June 15a_Category Template AC'11 @Cst Fx 52W vs 53W 2" xfId="1121"/>
    <cellStyle name="_CG Masterflow June 15a_Category Template AC'11 @Cst Fx 52W vs 53W_P&amp;L KFE" xfId="1122"/>
    <cellStyle name="_CG Masterflow June 15a_Category Template AC'11 @Cst Fx 52W vs 53W_Sheet3" xfId="1123"/>
    <cellStyle name="_CG Masterflow June 15a_P&amp;L KFE" xfId="1124"/>
    <cellStyle name="_CG Masterflow June 15a_Sheet3" xfId="1125"/>
    <cellStyle name="_CG Masterflow June 15a_Wrigley - 05 budget&amp;calendar LE 050728 (25I)" xfId="1126"/>
    <cellStyle name="_CG Masterflow June 15a_Wrigley - 05 budget&amp;calendar LE 050728 (25I) 2" xfId="1127"/>
    <cellStyle name="_CG Masterflow June 15a_Wrigley - 05 budget&amp;calendar LE 050728 (25I)_Category Template AC'11 @Cst Fx 52W vs 53W" xfId="1128"/>
    <cellStyle name="_CG Masterflow June 15a_Wrigley - 05 budget&amp;calendar LE 050728 (25I)_Category Template AC'11 @Cst Fx 52W vs 53W 2" xfId="1129"/>
    <cellStyle name="_CG Masterflow June 15a_Wrigley - 05 budget&amp;calendar LE 050728 (25I)_Category Template AC'11 @Cst Fx 52W vs 53W_P&amp;L KFE" xfId="1130"/>
    <cellStyle name="_CG Masterflow June 15a_Wrigley - 05 budget&amp;calendar LE 050728 (25I)_Category Template AC'11 @Cst Fx 52W vs 53W_Sheet3" xfId="1131"/>
    <cellStyle name="_CG Masterflow June 15a_Wrigley - 05 budget&amp;calendar LE 050728 (25I)_P&amp;L KFE" xfId="1132"/>
    <cellStyle name="_CG Masterflow June 15a_Wrigley - 05 budget&amp;calendar LE 050728 (25I)_Sheet3" xfId="1133"/>
    <cellStyle name="_CG Masterflow June 15a_Wrigley - 05 budget&amp;calendar LE 050728 (25I)_Wrigley - 06 simple chart Sep 14" xfId="1134"/>
    <cellStyle name="_CG Masterflow June 15a_Wrigley - 05 budget&amp;calendar LE 050728 (25I)_Wrigley - 06 simple chart Sep 14 2" xfId="1135"/>
    <cellStyle name="_CG Masterflow June 15a_Wrigley - 05 budget&amp;calendar LE 050728 (25I)_Wrigley - 06 simple chart Sep 14_Category Template AC'11 @Cst Fx 52W vs 53W" xfId="1136"/>
    <cellStyle name="_CG Masterflow June 15a_Wrigley - 05 budget&amp;calendar LE 050728 (25I)_Wrigley - 06 simple chart Sep 14_Category Template AC'11 @Cst Fx 52W vs 53W 2" xfId="1137"/>
    <cellStyle name="_CG Masterflow June 15a_Wrigley - 05 budget&amp;calendar LE 050728 (25I)_Wrigley - 06 simple chart Sep 14_Category Template AC'11 @Cst Fx 52W vs 53W_P&amp;L KFE" xfId="1138"/>
    <cellStyle name="_CG Masterflow June 15a_Wrigley - 05 budget&amp;calendar LE 050728 (25I)_Wrigley - 06 simple chart Sep 14_Category Template AC'11 @Cst Fx 52W vs 53W_Sheet3" xfId="1139"/>
    <cellStyle name="_CG Masterflow June 15a_Wrigley - 05 budget&amp;calendar LE 050728 (25I)_Wrigley - 06 simple chart Sep 14_P&amp;L KFE" xfId="1140"/>
    <cellStyle name="_CG Masterflow June 15a_Wrigley - 05 budget&amp;calendar LE 050728 (25I)_Wrigley - 06 simple chart Sep 14_Sheet3" xfId="1141"/>
    <cellStyle name="_CG Masterflow June 15a_Wrigley - 05 budget&amp;calendar LE 050824 (25F)" xfId="1142"/>
    <cellStyle name="_CG Masterflow June 15a_Wrigley - 05 budget&amp;calendar LE 050824 (25F) 2" xfId="1143"/>
    <cellStyle name="_CG Masterflow June 15a_Wrigley - 05 budget&amp;calendar LE 050824 (25F)_Category Template AC'11 @Cst Fx 52W vs 53W" xfId="1144"/>
    <cellStyle name="_CG Masterflow June 15a_Wrigley - 05 budget&amp;calendar LE 050824 (25F)_Category Template AC'11 @Cst Fx 52W vs 53W 2" xfId="1145"/>
    <cellStyle name="_CG Masterflow June 15a_Wrigley - 05 budget&amp;calendar LE 050824 (25F)_Category Template AC'11 @Cst Fx 52W vs 53W_P&amp;L KFE" xfId="1146"/>
    <cellStyle name="_CG Masterflow June 15a_Wrigley - 05 budget&amp;calendar LE 050824 (25F)_Category Template AC'11 @Cst Fx 52W vs 53W_Sheet3" xfId="1147"/>
    <cellStyle name="_CG Masterflow June 15a_Wrigley - 05 budget&amp;calendar LE 050824 (25F)_P&amp;L KFE" xfId="1148"/>
    <cellStyle name="_CG Masterflow June 15a_Wrigley - 05 budget&amp;calendar LE 050824 (25F)_Sheet3" xfId="1149"/>
    <cellStyle name="_CG Masterflow June 15a_Wrigley - 05 budget&amp;calendar LE 050824 (25F)_Wrigley - 06 simple chart Sep 14" xfId="1150"/>
    <cellStyle name="_CG Masterflow June 15a_Wrigley - 05 budget&amp;calendar LE 050824 (25F)_Wrigley - 06 simple chart Sep 14 2" xfId="1151"/>
    <cellStyle name="_CG Masterflow June 15a_Wrigley - 05 budget&amp;calendar LE 050824 (25F)_Wrigley - 06 simple chart Sep 14_Category Template AC'11 @Cst Fx 52W vs 53W" xfId="1152"/>
    <cellStyle name="_CG Masterflow June 15a_Wrigley - 05 budget&amp;calendar LE 050824 (25F)_Wrigley - 06 simple chart Sep 14_Category Template AC'11 @Cst Fx 52W vs 53W 2" xfId="1153"/>
    <cellStyle name="_CG Masterflow June 15a_Wrigley - 05 budget&amp;calendar LE 050824 (25F)_Wrigley - 06 simple chart Sep 14_Category Template AC'11 @Cst Fx 52W vs 53W_P&amp;L KFE" xfId="1154"/>
    <cellStyle name="_CG Masterflow June 15a_Wrigley - 05 budget&amp;calendar LE 050824 (25F)_Wrigley - 06 simple chart Sep 14_Category Template AC'11 @Cst Fx 52W vs 53W_Sheet3" xfId="1155"/>
    <cellStyle name="_CG Masterflow June 15a_Wrigley - 05 budget&amp;calendar LE 050824 (25F)_Wrigley - 06 simple chart Sep 14_P&amp;L KFE" xfId="1156"/>
    <cellStyle name="_CG Masterflow June 15a_Wrigley - 05 budget&amp;calendar LE 050824 (25F)_Wrigley - 06 simple chart Sep 14_Sheet3" xfId="1157"/>
    <cellStyle name="_CG Masterflow June 15a_Wrigley - 05 budget&amp;calendar LE 050824 (25I)" xfId="1158"/>
    <cellStyle name="_CG Masterflow June 15a_Wrigley - 05 budget&amp;calendar LE 050824 (25I) 2" xfId="1159"/>
    <cellStyle name="_CG Masterflow June 15a_Wrigley - 05 budget&amp;calendar LE 050824 (25I)_Category Template AC'11 @Cst Fx 52W vs 53W" xfId="1160"/>
    <cellStyle name="_CG Masterflow June 15a_Wrigley - 05 budget&amp;calendar LE 050824 (25I)_Category Template AC'11 @Cst Fx 52W vs 53W 2" xfId="1161"/>
    <cellStyle name="_CG Masterflow June 15a_Wrigley - 05 budget&amp;calendar LE 050824 (25I)_Category Template AC'11 @Cst Fx 52W vs 53W_P&amp;L KFE" xfId="1162"/>
    <cellStyle name="_CG Masterflow June 15a_Wrigley - 05 budget&amp;calendar LE 050824 (25I)_Category Template AC'11 @Cst Fx 52W vs 53W_Sheet3" xfId="1163"/>
    <cellStyle name="_CG Masterflow June 15a_Wrigley - 05 budget&amp;calendar LE 050824 (25I)_P&amp;L KFE" xfId="1164"/>
    <cellStyle name="_CG Masterflow June 15a_Wrigley - 05 budget&amp;calendar LE 050824 (25I)_Sheet3" xfId="1165"/>
    <cellStyle name="_CG Masterflow June 15a_Wrigley - 05 budget&amp;calendar LE 050824 (25I)_Wrigley - 06 simple chart Sep 14" xfId="1166"/>
    <cellStyle name="_CG Masterflow June 15a_Wrigley - 05 budget&amp;calendar LE 050824 (25I)_Wrigley - 06 simple chart Sep 14 2" xfId="1167"/>
    <cellStyle name="_CG Masterflow June 15a_Wrigley - 05 budget&amp;calendar LE 050824 (25I)_Wrigley - 06 simple chart Sep 14_Category Template AC'11 @Cst Fx 52W vs 53W" xfId="1168"/>
    <cellStyle name="_CG Masterflow June 15a_Wrigley - 05 budget&amp;calendar LE 050824 (25I)_Wrigley - 06 simple chart Sep 14_Category Template AC'11 @Cst Fx 52W vs 53W 2" xfId="1169"/>
    <cellStyle name="_CG Masterflow June 15a_Wrigley - 05 budget&amp;calendar LE 050824 (25I)_Wrigley - 06 simple chart Sep 14_Category Template AC'11 @Cst Fx 52W vs 53W_P&amp;L KFE" xfId="1170"/>
    <cellStyle name="_CG Masterflow June 15a_Wrigley - 05 budget&amp;calendar LE 050824 (25I)_Wrigley - 06 simple chart Sep 14_Category Template AC'11 @Cst Fx 52W vs 53W_Sheet3" xfId="1171"/>
    <cellStyle name="_CG Masterflow June 15a_Wrigley - 05 budget&amp;calendar LE 050824 (25I)_Wrigley - 06 simple chart Sep 14_P&amp;L KFE" xfId="1172"/>
    <cellStyle name="_CG Masterflow June 15a_Wrigley - 05 budget&amp;calendar LE 050824 (25I)_Wrigley - 06 simple chart Sep 14_Sheet3" xfId="1173"/>
    <cellStyle name="_CG Masterflow June 15a_Wrigley - 06 simple chart Sep 14" xfId="1174"/>
    <cellStyle name="_CG Masterflow June 15a_Wrigley - 06 simple chart Sep 14 2" xfId="1175"/>
    <cellStyle name="_CG Masterflow June 15a_Wrigley - 06 simple chart Sep 14_Category Template AC'11 @Cst Fx 52W vs 53W" xfId="1176"/>
    <cellStyle name="_CG Masterflow June 15a_Wrigley - 06 simple chart Sep 14_Category Template AC'11 @Cst Fx 52W vs 53W 2" xfId="1177"/>
    <cellStyle name="_CG Masterflow June 15a_Wrigley - 06 simple chart Sep 14_Category Template AC'11 @Cst Fx 52W vs 53W_P&amp;L KFE" xfId="1178"/>
    <cellStyle name="_CG Masterflow June 15a_Wrigley - 06 simple chart Sep 14_Category Template AC'11 @Cst Fx 52W vs 53W_Sheet3" xfId="1179"/>
    <cellStyle name="_CG Masterflow June 15a_Wrigley - 06 simple chart Sep 14_P&amp;L KFE" xfId="1180"/>
    <cellStyle name="_CG Masterflow June 15a_Wrigley - 06 simple chart Sep 14_Sheet3" xfId="1181"/>
    <cellStyle name="_Choc Covered l PL Options 190410- 2.49 RRP" xfId="1182"/>
    <cellStyle name="_cierre" xfId="1183"/>
    <cellStyle name="_Classeur1" xfId="1184"/>
    <cellStyle name="_Classeur1_100422 - KFG Office Site Consolidation Overview" xfId="1185"/>
    <cellStyle name="_Classeur1_AR - Office Site Consolidation Switzerland" xfId="1186"/>
    <cellStyle name="_Classeur1_Update_AR - Office Site Consolidation Switzerland" xfId="1187"/>
    <cellStyle name="_CNF data for MC" xfId="1188"/>
    <cellStyle name="_CNF data for MC_AR_TUC new line_Szekes v10" xfId="1189"/>
    <cellStyle name="_Cocoa-Beans,butter, nuts, fats price for CU1'08" xfId="1190"/>
    <cellStyle name="_COGS bridge 30-09 sr ch" xfId="1191"/>
    <cellStyle name="_COGS E2 2007 pr PTD v031007" xfId="1192"/>
    <cellStyle name="_Column1" xfId="1193"/>
    <cellStyle name="_Column1 2" xfId="1194"/>
    <cellStyle name="_Column1_2011 Targets by Category" xfId="1195"/>
    <cellStyle name="_Column1_2011 Targets by category Aug 25" xfId="1196"/>
    <cellStyle name="_Column1_2011 Targets by Category Last OM" xfId="1197"/>
    <cellStyle name="_Column1_2011 Targets by Category Last OM.xls" xfId="1198"/>
    <cellStyle name="_Column1_2011 Targets by Category Oct 1 incl Cby adjustments" xfId="1199"/>
    <cellStyle name="_Column1_2011 Targets by Category Sep 06" xfId="1200"/>
    <cellStyle name="_Column1_2011 Targets by Category Sep 07" xfId="1201"/>
    <cellStyle name="_Column1_2011 Targets by Category Sep 07 incl. JK feedback" xfId="1202"/>
    <cellStyle name="_Column1_AC11 conso @Cst Fx after LFL restatement" xfId="1203"/>
    <cellStyle name="_Column1_AC11 conso @Cst Fx after LFL restatement 2" xfId="1204"/>
    <cellStyle name="_Column1_AC11 conso @Cst Fx after LFL restatement_P&amp;L KFE" xfId="1205"/>
    <cellStyle name="_Column1_AC11 conso @Cst Fx after LFL restatement_Sheet3" xfId="1206"/>
    <cellStyle name="_Column1_Category Targets 2011_1.2" xfId="1207"/>
    <cellStyle name="_Column1_Category Template AC'11 @Cst Fx 52W vs 53W" xfId="1208"/>
    <cellStyle name="_Column1_Category Template AC'11 @Cst Fx 52W vs 53W 2" xfId="1209"/>
    <cellStyle name="_Column1_Category Template AC'11 @Cst Fx 52W vs 53W_P&amp;L KFE" xfId="1210"/>
    <cellStyle name="_Column1_Category Template AC'11 @Cst Fx 52W vs 53W_Sheet3" xfId="1211"/>
    <cellStyle name="_Column1_P&amp;L KBE 2008-2011" xfId="1212"/>
    <cellStyle name="_Column1_P&amp;L KBE 2008-2011 2" xfId="1213"/>
    <cellStyle name="_Column1_P&amp;L KBE 2008-2011_P&amp;L KFE" xfId="1214"/>
    <cellStyle name="_Column1_P&amp;L KBE 2008-2011_Sheet3" xfId="1215"/>
    <cellStyle name="_Column1_P&amp;L KFE" xfId="1216"/>
    <cellStyle name="_Column1_Sheet3" xfId="1217"/>
    <cellStyle name="_Column2" xfId="1218"/>
    <cellStyle name="_Column2 2" xfId="1219"/>
    <cellStyle name="_Column2_bridge" xfId="1220"/>
    <cellStyle name="_Column2_Category Template AC'11 @Cst Fx 52W vs 53W" xfId="1221"/>
    <cellStyle name="_Column2_Category Template AC'11 @Cst Fx 52W vs 53W 2" xfId="1222"/>
    <cellStyle name="_Column2_Category Template AC'11 28092010" xfId="1223"/>
    <cellStyle name="_Column2_Category Template AC'11 30092010v4" xfId="1224"/>
    <cellStyle name="_Column2_Category Template AC'11_sent to countries" xfId="1225"/>
    <cellStyle name="_Column2_Category Template AC'11_sent to countries ( euro )" xfId="1226"/>
    <cellStyle name="_Column2_Category Template AC'11_sent to countries à modifier" xfId="1227"/>
    <cellStyle name="_Column2_Cost bridge" xfId="1228"/>
    <cellStyle name="_Column2_Mgmt bridge AC'11 vs Aug Fc_Spain" xfId="1229"/>
    <cellStyle name="_Column2_NC Drivers PY Qrt excl Cadbury" xfId="1230"/>
    <cellStyle name="_Column2_P&amp;L Qrt" xfId="1231"/>
    <cellStyle name="_Column2_PA" xfId="1232"/>
    <cellStyle name="_Column2_Pricing Bridge" xfId="1233"/>
    <cellStyle name="_Column3" xfId="1234"/>
    <cellStyle name="_Column3 2" xfId="1235"/>
    <cellStyle name="_Column3 2 2" xfId="1236"/>
    <cellStyle name="_Column3 2 2_P&amp;L KFE" xfId="1237"/>
    <cellStyle name="_Column3 2 2_Sheet3" xfId="1238"/>
    <cellStyle name="_Column3 2_P&amp;L KFE" xfId="1239"/>
    <cellStyle name="_Column3 2_Sheet3" xfId="1240"/>
    <cellStyle name="_Column3 3" xfId="1241"/>
    <cellStyle name="_Column3 3_P&amp;L KFE" xfId="1242"/>
    <cellStyle name="_Column3 3_Sheet3" xfId="1243"/>
    <cellStyle name="_Column3 4" xfId="1244"/>
    <cellStyle name="_Column3_2011 Targets by category Aug 25" xfId="1245"/>
    <cellStyle name="_Column3_AC11 conso @Cst Fx" xfId="1246"/>
    <cellStyle name="_Column3_AC11 conso @Cst Fx 2" xfId="1247"/>
    <cellStyle name="_Column3_AC11 conso @Cst Fx after LFL restatement" xfId="1248"/>
    <cellStyle name="_Column3_AC11 conso @Cst Fx after LFL restatement 2" xfId="1249"/>
    <cellStyle name="_Column3_AC11 conso @Cst Fx after LFL restatement_P&amp;L KFE" xfId="1250"/>
    <cellStyle name="_Column3_AC11 conso @Cst Fx after LFL restatement_Sheet3" xfId="1251"/>
    <cellStyle name="_Column3_AC11 conso @Cst Fx_P&amp;L KFE" xfId="1252"/>
    <cellStyle name="_Column3_AC11 conso @Cst Fx_Sheet3" xfId="1253"/>
    <cellStyle name="_Column3_Book Budget 2002-2003" xfId="1254"/>
    <cellStyle name="_Column3_Book Budget 2002-2003 2" xfId="1255"/>
    <cellStyle name="_Column3_Book Budget 2002-2003 2 2" xfId="1256"/>
    <cellStyle name="_Column3_Book Budget 2002-2003 2 2_P&amp;L KFE" xfId="1257"/>
    <cellStyle name="_Column3_Book Budget 2002-2003 2 2_Sheet3" xfId="1258"/>
    <cellStyle name="_Column3_Book Budget 2002-2003 2_P&amp;L KFE" xfId="1259"/>
    <cellStyle name="_Column3_Book Budget 2002-2003 2_Sheet3" xfId="1260"/>
    <cellStyle name="_Column3_Book Budget 2002-2003 3" xfId="1261"/>
    <cellStyle name="_Column3_Book Budget 2002-2003 3_P&amp;L KFE" xfId="1262"/>
    <cellStyle name="_Column3_Book Budget 2002-2003 3_Sheet3" xfId="1263"/>
    <cellStyle name="_Column3_Book Budget 2002-2003 4" xfId="1264"/>
    <cellStyle name="_Column3_Book Budget 2002-2003_2011 Targets by category Aug 25" xfId="1265"/>
    <cellStyle name="_Column3_Book Budget 2002-2003_AC11 conso @Cst Fx" xfId="1266"/>
    <cellStyle name="_Column3_Book Budget 2002-2003_AC11 conso @Cst Fx 2" xfId="1267"/>
    <cellStyle name="_Column3_Book Budget 2002-2003_AC11 conso @Cst Fx after LFL restatement" xfId="1268"/>
    <cellStyle name="_Column3_Book Budget 2002-2003_AC11 conso @Cst Fx after LFL restatement 2" xfId="1269"/>
    <cellStyle name="_Column3_Book Budget 2002-2003_AC11 conso @Cst Fx after LFL restatement_P&amp;L KFE" xfId="1270"/>
    <cellStyle name="_Column3_Book Budget 2002-2003_AC11 conso @Cst Fx after LFL restatement_Sheet3" xfId="1271"/>
    <cellStyle name="_Column3_Book Budget 2002-2003_AC11 conso @Cst Fx_P&amp;L KFE" xfId="1272"/>
    <cellStyle name="_Column3_Book Budget 2002-2003_AC11 conso @Cst Fx_Sheet3" xfId="1273"/>
    <cellStyle name="_Column3_Book Budget 2002-2003_Category PnL" xfId="1274"/>
    <cellStyle name="_Column3_Book Budget 2002-2003_Category PnL 2" xfId="1275"/>
    <cellStyle name="_Column3_Book Budget 2002-2003_Category PnL_P&amp;L KFE" xfId="1276"/>
    <cellStyle name="_Column3_Book Budget 2002-2003_Category PnL_Sheet3" xfId="1277"/>
    <cellStyle name="_Column3_Book Budget 2002-2003_Category Targets 2011_1.2" xfId="1278"/>
    <cellStyle name="_Column3_Book Budget 2002-2003_Category Template_Actuals" xfId="1279"/>
    <cellStyle name="_Column3_Book Budget 2002-2003_Category Template_Actuals 2" xfId="1280"/>
    <cellStyle name="_Column3_Book Budget 2002-2003_Category Template_Actuals NEW" xfId="1281"/>
    <cellStyle name="_Column3_Book Budget 2002-2003_Category Template_Actuals NEW 2" xfId="1282"/>
    <cellStyle name="_Column3_Book Budget 2002-2003_Category Template_Actuals NEW_Biscuits Actual Results P01" xfId="1283"/>
    <cellStyle name="_Column3_Book Budget 2002-2003_Category Template_Actuals NEW_Biscuits Actual Results P01 2" xfId="1284"/>
    <cellStyle name="_Column3_Book Budget 2002-2003_Category Template_Actuals NEW_Biscuits Actual Results P01_Category Template_Actuals" xfId="1285"/>
    <cellStyle name="_Column3_Book Budget 2002-2003_Category Template_Actuals NEW_Biscuits Actual Results P01_Category Template_Actuals 2" xfId="1286"/>
    <cellStyle name="_Column3_Book Budget 2002-2003_Category Template_Actuals NEW_Biscuits Actual Results P01_Category Template_Actuals_Biscuits Actual Results P02" xfId="1287"/>
    <cellStyle name="_Column3_Book Budget 2002-2003_Category Template_Actuals NEW_Biscuits Actual Results P01_Category Template_Actuals_Biscuits Actual Results P02 2" xfId="1288"/>
    <cellStyle name="_Column3_Book Budget 2002-2003_Category Template_Actuals NEW_Biscuits Actual Results P01_Category Template_Actuals_Biscuits Actual Results P02_Category Template_Actuals" xfId="1289"/>
    <cellStyle name="_Column3_Book Budget 2002-2003_Category Template_Actuals NEW_Biscuits Actual Results P01_Category Template_Actuals_Biscuits Actual Results P02_Category Template_Actuals_Biscuits Actual Results P04" xfId="1290"/>
    <cellStyle name="_Column3_Book Budget 2002-2003_Category Template_Actuals NEW_Biscuits Actual Results P01_Category Template_Actuals_Biscuits Actual Results P02_Category Template_Actuals_P&amp;L P06 AFH AC US" xfId="1291"/>
    <cellStyle name="_Column3_Book Budget 2002-2003_Category Template_Actuals NEW_Biscuits Actual Results P01_Category Template_Actuals_Biscuits Actual Results P02_P&amp;L" xfId="1292"/>
    <cellStyle name="_Column3_Book Budget 2002-2003_Category Template_Actuals NEW_Biscuits Actual Results P01_Category Template_Actuals_Biscuits Actual Results P02_P&amp;L_P&amp;L KFE" xfId="1293"/>
    <cellStyle name="_Column3_Book Budget 2002-2003_Category Template_Actuals NEW_Biscuits Actual Results P01_Category Template_Actuals_Biscuits Actual Results P02_P&amp;L_Sheet3" xfId="1294"/>
    <cellStyle name="_Column3_Book Budget 2002-2003_Category Template_Actuals NEW_Biscuits Actual Results P01_Category Template_Actuals_Biscuits Actual Results P02_VRAN YTD" xfId="1295"/>
    <cellStyle name="_Column3_Book Budget 2002-2003_Category Template_Actuals NEW_Biscuits Actual Results P01_Category Template_Actuals_Biscuits Actual Results P04" xfId="1296"/>
    <cellStyle name="_Column3_Book Budget 2002-2003_Category Template_Actuals NEW_Biscuits Actual Results P01_Category Template_Actuals_P&amp;L" xfId="1297"/>
    <cellStyle name="_Column3_Book Budget 2002-2003_Category Template_Actuals NEW_Biscuits Actual Results P01_Category Template_Actuals_P&amp;L P06 AFH AC US" xfId="1298"/>
    <cellStyle name="_Column3_Book Budget 2002-2003_Category Template_Actuals NEW_Biscuits Actual Results P01_Category Template_Actuals_P&amp;L_P&amp;L KFE" xfId="1299"/>
    <cellStyle name="_Column3_Book Budget 2002-2003_Category Template_Actuals NEW_Biscuits Actual Results P01_Category Template_Actuals_P&amp;L_Sheet3" xfId="1300"/>
    <cellStyle name="_Column3_Book Budget 2002-2003_Category Template_Actuals NEW_Biscuits Actual Results P01_P&amp;L" xfId="1301"/>
    <cellStyle name="_Column3_Book Budget 2002-2003_Category Template_Actuals NEW_Biscuits Actual Results P01_P&amp;L_P&amp;L KFE" xfId="1302"/>
    <cellStyle name="_Column3_Book Budget 2002-2003_Category Template_Actuals NEW_Biscuits Actual Results P01_P&amp;L_Sheet3" xfId="1303"/>
    <cellStyle name="_Column3_Book Budget 2002-2003_Category Template_Actuals NEW_Biscuits Actual Results P01_VRAN YTD" xfId="1304"/>
    <cellStyle name="_Column3_Book Budget 2002-2003_Category Template_Actuals NEW_Biscuits Actual Results P02" xfId="1305"/>
    <cellStyle name="_Column3_Book Budget 2002-2003_Category Template_Actuals NEW_Biscuits Actual Results P02 2" xfId="1306"/>
    <cellStyle name="_Column3_Book Budget 2002-2003_Category Template_Actuals NEW_Biscuits Actual Results P02_Category Template_Actuals" xfId="1307"/>
    <cellStyle name="_Column3_Book Budget 2002-2003_Category Template_Actuals NEW_Biscuits Actual Results P02_Category Template_Actuals_Biscuits Actual Results P04" xfId="1308"/>
    <cellStyle name="_Column3_Book Budget 2002-2003_Category Template_Actuals NEW_Biscuits Actual Results P02_Category Template_Actuals_P&amp;L P06 AFH AC US" xfId="1309"/>
    <cellStyle name="_Column3_Book Budget 2002-2003_Category Template_Actuals NEW_Biscuits Actual Results P02_P&amp;L" xfId="1310"/>
    <cellStyle name="_Column3_Book Budget 2002-2003_Category Template_Actuals NEW_Biscuits Actual Results P02_P&amp;L_P&amp;L KFE" xfId="1311"/>
    <cellStyle name="_Column3_Book Budget 2002-2003_Category Template_Actuals NEW_Biscuits Actual Results P02_P&amp;L_Sheet3" xfId="1312"/>
    <cellStyle name="_Column3_Book Budget 2002-2003_Category Template_Actuals NEW_Biscuits Actual Results P02_VRAN YTD" xfId="1313"/>
    <cellStyle name="_Column3_Book Budget 2002-2003_Category Template_Actuals NEW_Biscuits Actual Results P04" xfId="1314"/>
    <cellStyle name="_Column3_Book Budget 2002-2003_Category Template_Actuals NEW_Biscuits Actual Results P1 BIS" xfId="1315"/>
    <cellStyle name="_Column3_Book Budget 2002-2003_Category Template_Actuals NEW_Biscuits Actual Results P1 BIS 2" xfId="1316"/>
    <cellStyle name="_Column3_Book Budget 2002-2003_Category Template_Actuals NEW_Biscuits Actual Results P1 BIS_Category Template_Actuals" xfId="1317"/>
    <cellStyle name="_Column3_Book Budget 2002-2003_Category Template_Actuals NEW_Biscuits Actual Results P1 BIS_Category Template_Actuals_Biscuits Actual Results P04" xfId="1318"/>
    <cellStyle name="_Column3_Book Budget 2002-2003_Category Template_Actuals NEW_Biscuits Actual Results P1 BIS_Category Template_Actuals_P&amp;L P06 AFH AC US" xfId="1319"/>
    <cellStyle name="_Column3_Book Budget 2002-2003_Category Template_Actuals NEW_Biscuits Actual Results P1 BIS_P&amp;L" xfId="1320"/>
    <cellStyle name="_Column3_Book Budget 2002-2003_Category Template_Actuals NEW_Biscuits Actual Results P1 BIS_P&amp;L_P&amp;L KFE" xfId="1321"/>
    <cellStyle name="_Column3_Book Budget 2002-2003_Category Template_Actuals NEW_Biscuits Actual Results P1 BIS_P&amp;L_Sheet3" xfId="1322"/>
    <cellStyle name="_Column3_Book Budget 2002-2003_Category Template_Actuals NEW_Biscuits Actual Results P1 BIS_VRAN YTD" xfId="1323"/>
    <cellStyle name="_Column3_Book Budget 2002-2003_Category Template_Actuals NEW_Biscuits Actual Results P12 161210" xfId="1324"/>
    <cellStyle name="_Column3_Book Budget 2002-2003_Category Template_Actuals NEW_Biscuits Actual Results P12 161210 2" xfId="1325"/>
    <cellStyle name="_Column3_Book Budget 2002-2003_Category Template_Actuals NEW_Biscuits Actual Results P12 161210_Category Template_Actuals" xfId="1326"/>
    <cellStyle name="_Column3_Book Budget 2002-2003_Category Template_Actuals NEW_Biscuits Actual Results P12 161210_Category Template_Actuals 2" xfId="1327"/>
    <cellStyle name="_Column3_Book Budget 2002-2003_Category Template_Actuals NEW_Biscuits Actual Results P12 161210_Category Template_Actuals_Biscuits Actual Results P02" xfId="1328"/>
    <cellStyle name="_Column3_Book Budget 2002-2003_Category Template_Actuals NEW_Biscuits Actual Results P12 161210_Category Template_Actuals_Biscuits Actual Results P02 2" xfId="1329"/>
    <cellStyle name="_Column3_Book Budget 2002-2003_Category Template_Actuals NEW_Biscuits Actual Results P12 161210_Category Template_Actuals_Biscuits Actual Results P02_Category Template_Actuals" xfId="1330"/>
    <cellStyle name="_Column3_Book Budget 2002-2003_Category Template_Actuals NEW_Biscuits Actual Results P12 161210_Category Template_Actuals_Biscuits Actual Results P02_Category Template_Actuals_Biscuits Actual Results P04" xfId="1331"/>
    <cellStyle name="_Column3_Book Budget 2002-2003_Category Template_Actuals NEW_Biscuits Actual Results P12 161210_Category Template_Actuals_Biscuits Actual Results P02_Category Template_Actuals_P&amp;L P06 AFH AC US" xfId="1332"/>
    <cellStyle name="_Column3_Book Budget 2002-2003_Category Template_Actuals NEW_Biscuits Actual Results P12 161210_Category Template_Actuals_Biscuits Actual Results P02_P&amp;L" xfId="1333"/>
    <cellStyle name="_Column3_Book Budget 2002-2003_Category Template_Actuals NEW_Biscuits Actual Results P12 161210_Category Template_Actuals_Biscuits Actual Results P02_P&amp;L_P&amp;L KFE" xfId="1334"/>
    <cellStyle name="_Column3_Book Budget 2002-2003_Category Template_Actuals NEW_Biscuits Actual Results P12 161210_Category Template_Actuals_Biscuits Actual Results P02_P&amp;L_Sheet3" xfId="1335"/>
    <cellStyle name="_Column3_Book Budget 2002-2003_Category Template_Actuals NEW_Biscuits Actual Results P12 161210_Category Template_Actuals_Biscuits Actual Results P02_VRAN YTD" xfId="1336"/>
    <cellStyle name="_Column3_Book Budget 2002-2003_Category Template_Actuals NEW_Biscuits Actual Results P12 161210_Category Template_Actuals_Biscuits Actual Results P04" xfId="1337"/>
    <cellStyle name="_Column3_Book Budget 2002-2003_Category Template_Actuals NEW_Biscuits Actual Results P12 161210_Category Template_Actuals_P&amp;L" xfId="1338"/>
    <cellStyle name="_Column3_Book Budget 2002-2003_Category Template_Actuals NEW_Biscuits Actual Results P12 161210_Category Template_Actuals_P&amp;L P06 AFH AC US" xfId="1339"/>
    <cellStyle name="_Column3_Book Budget 2002-2003_Category Template_Actuals NEW_Biscuits Actual Results P12 161210_Category Template_Actuals_P&amp;L_P&amp;L KFE" xfId="1340"/>
    <cellStyle name="_Column3_Book Budget 2002-2003_Category Template_Actuals NEW_Biscuits Actual Results P12 161210_Category Template_Actuals_P&amp;L_Sheet3" xfId="1341"/>
    <cellStyle name="_Column3_Book Budget 2002-2003_Category Template_Actuals NEW_Biscuits Actual Results P12 161210_P&amp;L" xfId="1342"/>
    <cellStyle name="_Column3_Book Budget 2002-2003_Category Template_Actuals NEW_Biscuits Actual Results P12 161210_P&amp;L_P&amp;L KFE" xfId="1343"/>
    <cellStyle name="_Column3_Book Budget 2002-2003_Category Template_Actuals NEW_Biscuits Actual Results P12 161210_P&amp;L_Sheet3" xfId="1344"/>
    <cellStyle name="_Column3_Book Budget 2002-2003_Category Template_Actuals NEW_Biscuits Actual Results P12 161210_VRAN YTD" xfId="1345"/>
    <cellStyle name="_Column3_Book Budget 2002-2003_Category Template_Actuals NEW_P&amp;L" xfId="1346"/>
    <cellStyle name="_Column3_Book Budget 2002-2003_Category Template_Actuals NEW_P&amp;L P06 AFH AC US" xfId="1347"/>
    <cellStyle name="_Column3_Book Budget 2002-2003_Category Template_Actuals NEW_P&amp;L_P&amp;L KFE" xfId="1348"/>
    <cellStyle name="_Column3_Book Budget 2002-2003_Category Template_Actuals NEW_P&amp;L_Sheet3" xfId="1349"/>
    <cellStyle name="_Column3_Book Budget 2002-2003_Category Template_Actuals_Biscuits Actual Results P02" xfId="1350"/>
    <cellStyle name="_Column3_Book Budget 2002-2003_Category Template_Actuals_Biscuits Actual Results P02 2" xfId="1351"/>
    <cellStyle name="_Column3_Book Budget 2002-2003_Category Template_Actuals_Biscuits Actual Results P02_Category Template_Actuals" xfId="1352"/>
    <cellStyle name="_Column3_Book Budget 2002-2003_Category Template_Actuals_Biscuits Actual Results P02_Category Template_Actuals_Biscuits Actual Results P04" xfId="1353"/>
    <cellStyle name="_Column3_Book Budget 2002-2003_Category Template_Actuals_Biscuits Actual Results P02_Category Template_Actuals_P&amp;L P06 AFH AC US" xfId="1354"/>
    <cellStyle name="_Column3_Book Budget 2002-2003_Category Template_Actuals_Biscuits Actual Results P02_P&amp;L" xfId="1355"/>
    <cellStyle name="_Column3_Book Budget 2002-2003_Category Template_Actuals_Biscuits Actual Results P02_P&amp;L_P&amp;L KFE" xfId="1356"/>
    <cellStyle name="_Column3_Book Budget 2002-2003_Category Template_Actuals_Biscuits Actual Results P02_P&amp;L_Sheet3" xfId="1357"/>
    <cellStyle name="_Column3_Book Budget 2002-2003_Category Template_Actuals_Biscuits Actual Results P02_VRAN YTD" xfId="1358"/>
    <cellStyle name="_Column3_Book Budget 2002-2003_Category Template_Actuals_Biscuits Actual Results P04" xfId="1359"/>
    <cellStyle name="_Column3_Book Budget 2002-2003_Category Template_Actuals_P&amp;L" xfId="1360"/>
    <cellStyle name="_Column3_Book Budget 2002-2003_Category Template_Actuals_P&amp;L P06 AFH AC US" xfId="1361"/>
    <cellStyle name="_Column3_Book Budget 2002-2003_Category Template_Actuals_P&amp;L_P&amp;L KFE" xfId="1362"/>
    <cellStyle name="_Column3_Book Budget 2002-2003_Category Template_Actuals_P&amp;L_Sheet3" xfId="1363"/>
    <cellStyle name="_Column3_Book Budget 2002-2003_KFE Category PnL template_Combined_P03 (2)" xfId="1364"/>
    <cellStyle name="_Column3_Book Budget 2002-2003_KFE Category PnL template_Combined_P03 (2)_P&amp;L KFE" xfId="1365"/>
    <cellStyle name="_Column3_Book Budget 2002-2003_KFE Category PnL template_Combined_P03 (2)_Sheet3" xfId="1366"/>
    <cellStyle name="_Column3_Book Budget 2002-2003_KFE Category PnL template_Kraft Legacy (2)" xfId="1367"/>
    <cellStyle name="_Column3_Book Budget 2002-2003_KFE Category PnL template_Kraft Legacy (2)_P&amp;L KFE" xfId="1368"/>
    <cellStyle name="_Column3_Book Budget 2002-2003_KFE Category PnL template_Kraft Legacy (2)_Sheet3" xfId="1369"/>
    <cellStyle name="_Column3_Book Budget 2002-2003_KFE Category PnL template_Kraft Legacy (4)" xfId="1370"/>
    <cellStyle name="_Column3_Book Budget 2002-2003_KFE Category PnL template_Kraft Legacy (4)_P&amp;L KFE" xfId="1371"/>
    <cellStyle name="_Column3_Book Budget 2002-2003_KFE Category PnL template_Kraft Legacy (4)_Sheet3" xfId="1372"/>
    <cellStyle name="_Column3_Book Budget 2002-2003_OI Bridge 0" xfId="1373"/>
    <cellStyle name="_Column3_Book Budget 2002-2003_OI Bridge 0_1" xfId="1374"/>
    <cellStyle name="_Column3_Book Budget 2002-2003_OI Bridge 1" xfId="1375"/>
    <cellStyle name="_Column3_Book Budget 2002-2003_P&amp;L" xfId="1376"/>
    <cellStyle name="_Column3_Book Budget 2002-2003_P&amp;L_P&amp;L KFE" xfId="1377"/>
    <cellStyle name="_Column3_Book Budget 2002-2003_P&amp;L_Sheet3" xfId="1378"/>
    <cellStyle name="_Column3_Book Budget 2002-2003_Sheet1" xfId="1379"/>
    <cellStyle name="_Column3_Book Budget 2002-2003_VRAN YTD" xfId="1380"/>
    <cellStyle name="_Column3_Book Budget 2002-2003_VRAN YTD 2" xfId="1381"/>
    <cellStyle name="_Column3_Book Budget 2002-2003_VRAN YTD_Biscuits Actual Results P01" xfId="1382"/>
    <cellStyle name="_Column3_Book Budget 2002-2003_VRAN YTD_Biscuits Actual Results P01 2" xfId="1383"/>
    <cellStyle name="_Column3_Book Budget 2002-2003_VRAN YTD_Biscuits Actual Results P01_Category Template_Actuals" xfId="1384"/>
    <cellStyle name="_Column3_Book Budget 2002-2003_VRAN YTD_Biscuits Actual Results P01_Category Template_Actuals 2" xfId="1385"/>
    <cellStyle name="_Column3_Book Budget 2002-2003_VRAN YTD_Biscuits Actual Results P01_Category Template_Actuals_Biscuits Actual Results P02" xfId="1386"/>
    <cellStyle name="_Column3_Book Budget 2002-2003_VRAN YTD_Biscuits Actual Results P01_Category Template_Actuals_Biscuits Actual Results P02 2" xfId="1387"/>
    <cellStyle name="_Column3_Book Budget 2002-2003_VRAN YTD_Biscuits Actual Results P01_Category Template_Actuals_Biscuits Actual Results P02_Category Template_Actuals" xfId="1388"/>
    <cellStyle name="_Column3_Book Budget 2002-2003_VRAN YTD_Biscuits Actual Results P01_Category Template_Actuals_Biscuits Actual Results P02_Category Template_Actuals_Biscuits Actual Results P04" xfId="1389"/>
    <cellStyle name="_Column3_Book Budget 2002-2003_VRAN YTD_Biscuits Actual Results P01_Category Template_Actuals_Biscuits Actual Results P02_Category Template_Actuals_P&amp;L P06 AFH AC US" xfId="1390"/>
    <cellStyle name="_Column3_Book Budget 2002-2003_VRAN YTD_Biscuits Actual Results P01_Category Template_Actuals_Biscuits Actual Results P02_P&amp;L" xfId="1391"/>
    <cellStyle name="_Column3_Book Budget 2002-2003_VRAN YTD_Biscuits Actual Results P01_Category Template_Actuals_Biscuits Actual Results P02_P&amp;L_P&amp;L KFE" xfId="1392"/>
    <cellStyle name="_Column3_Book Budget 2002-2003_VRAN YTD_Biscuits Actual Results P01_Category Template_Actuals_Biscuits Actual Results P02_P&amp;L_Sheet3" xfId="1393"/>
    <cellStyle name="_Column3_Book Budget 2002-2003_VRAN YTD_Biscuits Actual Results P01_Category Template_Actuals_Biscuits Actual Results P02_VRAN YTD" xfId="1394"/>
    <cellStyle name="_Column3_Book Budget 2002-2003_VRAN YTD_Biscuits Actual Results P01_Category Template_Actuals_Biscuits Actual Results P04" xfId="1395"/>
    <cellStyle name="_Column3_Book Budget 2002-2003_VRAN YTD_Biscuits Actual Results P01_Category Template_Actuals_P&amp;L" xfId="1396"/>
    <cellStyle name="_Column3_Book Budget 2002-2003_VRAN YTD_Biscuits Actual Results P01_Category Template_Actuals_P&amp;L P06 AFH AC US" xfId="1397"/>
    <cellStyle name="_Column3_Book Budget 2002-2003_VRAN YTD_Biscuits Actual Results P01_Category Template_Actuals_P&amp;L_P&amp;L KFE" xfId="1398"/>
    <cellStyle name="_Column3_Book Budget 2002-2003_VRAN YTD_Biscuits Actual Results P01_Category Template_Actuals_P&amp;L_Sheet3" xfId="1399"/>
    <cellStyle name="_Column3_Book Budget 2002-2003_VRAN YTD_Biscuits Actual Results P01_P&amp;L" xfId="1400"/>
    <cellStyle name="_Column3_Book Budget 2002-2003_VRAN YTD_Biscuits Actual Results P01_P&amp;L_P&amp;L KFE" xfId="1401"/>
    <cellStyle name="_Column3_Book Budget 2002-2003_VRAN YTD_Biscuits Actual Results P01_P&amp;L_Sheet3" xfId="1402"/>
    <cellStyle name="_Column3_Book Budget 2002-2003_VRAN YTD_Biscuits Actual Results P01_VRAN YTD" xfId="1403"/>
    <cellStyle name="_Column3_Book Budget 2002-2003_VRAN YTD_Biscuits Actual Results P02" xfId="1404"/>
    <cellStyle name="_Column3_Book Budget 2002-2003_VRAN YTD_Biscuits Actual Results P02 2" xfId="1405"/>
    <cellStyle name="_Column3_Book Budget 2002-2003_VRAN YTD_Biscuits Actual Results P02_Category Template_Actuals" xfId="1406"/>
    <cellStyle name="_Column3_Book Budget 2002-2003_VRAN YTD_Biscuits Actual Results P02_Category Template_Actuals_Biscuits Actual Results P04" xfId="1407"/>
    <cellStyle name="_Column3_Book Budget 2002-2003_VRAN YTD_Biscuits Actual Results P02_Category Template_Actuals_P&amp;L P06 AFH AC US" xfId="1408"/>
    <cellStyle name="_Column3_Book Budget 2002-2003_VRAN YTD_Biscuits Actual Results P02_P&amp;L" xfId="1409"/>
    <cellStyle name="_Column3_Book Budget 2002-2003_VRAN YTD_Biscuits Actual Results P02_P&amp;L_P&amp;L KFE" xfId="1410"/>
    <cellStyle name="_Column3_Book Budget 2002-2003_VRAN YTD_Biscuits Actual Results P02_P&amp;L_Sheet3" xfId="1411"/>
    <cellStyle name="_Column3_Book Budget 2002-2003_VRAN YTD_Biscuits Actual Results P02_VRAN YTD" xfId="1412"/>
    <cellStyle name="_Column3_Book Budget 2002-2003_VRAN YTD_Biscuits Actual Results P04" xfId="1413"/>
    <cellStyle name="_Column3_Book Budget 2002-2003_VRAN YTD_Biscuits Actual Results P1 BIS" xfId="1414"/>
    <cellStyle name="_Column3_Book Budget 2002-2003_VRAN YTD_Biscuits Actual Results P1 BIS 2" xfId="1415"/>
    <cellStyle name="_Column3_Book Budget 2002-2003_VRAN YTD_Biscuits Actual Results P1 BIS_Category Template_Actuals" xfId="1416"/>
    <cellStyle name="_Column3_Book Budget 2002-2003_VRAN YTD_Biscuits Actual Results P1 BIS_Category Template_Actuals_Biscuits Actual Results P04" xfId="1417"/>
    <cellStyle name="_Column3_Book Budget 2002-2003_VRAN YTD_Biscuits Actual Results P1 BIS_Category Template_Actuals_P&amp;L P06 AFH AC US" xfId="1418"/>
    <cellStyle name="_Column3_Book Budget 2002-2003_VRAN YTD_Biscuits Actual Results P1 BIS_P&amp;L" xfId="1419"/>
    <cellStyle name="_Column3_Book Budget 2002-2003_VRAN YTD_Biscuits Actual Results P1 BIS_P&amp;L_P&amp;L KFE" xfId="1420"/>
    <cellStyle name="_Column3_Book Budget 2002-2003_VRAN YTD_Biscuits Actual Results P1 BIS_P&amp;L_Sheet3" xfId="1421"/>
    <cellStyle name="_Column3_Book Budget 2002-2003_VRAN YTD_Biscuits Actual Results P1 BIS_VRAN YTD" xfId="1422"/>
    <cellStyle name="_Column3_Book Budget 2002-2003_VRAN YTD_Biscuits Actual Results P12 161210" xfId="1423"/>
    <cellStyle name="_Column3_Book Budget 2002-2003_VRAN YTD_Biscuits Actual Results P12 161210 2" xfId="1424"/>
    <cellStyle name="_Column3_Book Budget 2002-2003_VRAN YTD_Biscuits Actual Results P12 161210_Category Template_Actuals" xfId="1425"/>
    <cellStyle name="_Column3_Book Budget 2002-2003_VRAN YTD_Biscuits Actual Results P12 161210_Category Template_Actuals 2" xfId="1426"/>
    <cellStyle name="_Column3_Book Budget 2002-2003_VRAN YTD_Biscuits Actual Results P12 161210_Category Template_Actuals_Biscuits Actual Results P02" xfId="1427"/>
    <cellStyle name="_Column3_Book Budget 2002-2003_VRAN YTD_Biscuits Actual Results P12 161210_Category Template_Actuals_Biscuits Actual Results P02 2" xfId="1428"/>
    <cellStyle name="_Column3_Book Budget 2002-2003_VRAN YTD_Biscuits Actual Results P12 161210_Category Template_Actuals_Biscuits Actual Results P02_Category Template_Actuals" xfId="1429"/>
    <cellStyle name="_Column3_Book Budget 2002-2003_VRAN YTD_Biscuits Actual Results P12 161210_Category Template_Actuals_Biscuits Actual Results P02_Category Template_Actuals_Biscuits Actual Results P04" xfId="1430"/>
    <cellStyle name="_Column3_Book Budget 2002-2003_VRAN YTD_Biscuits Actual Results P12 161210_Category Template_Actuals_Biscuits Actual Results P02_Category Template_Actuals_P&amp;L P06 AFH AC US" xfId="1431"/>
    <cellStyle name="_Column3_Book Budget 2002-2003_VRAN YTD_Biscuits Actual Results P12 161210_Category Template_Actuals_Biscuits Actual Results P02_P&amp;L" xfId="1432"/>
    <cellStyle name="_Column3_Book Budget 2002-2003_VRAN YTD_Biscuits Actual Results P12 161210_Category Template_Actuals_Biscuits Actual Results P02_P&amp;L_P&amp;L KFE" xfId="1433"/>
    <cellStyle name="_Column3_Book Budget 2002-2003_VRAN YTD_Biscuits Actual Results P12 161210_Category Template_Actuals_Biscuits Actual Results P02_P&amp;L_Sheet3" xfId="1434"/>
    <cellStyle name="_Column3_Book Budget 2002-2003_VRAN YTD_Biscuits Actual Results P12 161210_Category Template_Actuals_Biscuits Actual Results P02_VRAN YTD" xfId="1435"/>
    <cellStyle name="_Column3_Book Budget 2002-2003_VRAN YTD_Biscuits Actual Results P12 161210_Category Template_Actuals_Biscuits Actual Results P04" xfId="1436"/>
    <cellStyle name="_Column3_Book Budget 2002-2003_VRAN YTD_Biscuits Actual Results P12 161210_Category Template_Actuals_P&amp;L" xfId="1437"/>
    <cellStyle name="_Column3_Book Budget 2002-2003_VRAN YTD_Biscuits Actual Results P12 161210_Category Template_Actuals_P&amp;L P06 AFH AC US" xfId="1438"/>
    <cellStyle name="_Column3_Book Budget 2002-2003_VRAN YTD_Biscuits Actual Results P12 161210_Category Template_Actuals_P&amp;L_P&amp;L KFE" xfId="1439"/>
    <cellStyle name="_Column3_Book Budget 2002-2003_VRAN YTD_Biscuits Actual Results P12 161210_Category Template_Actuals_P&amp;L_Sheet3" xfId="1440"/>
    <cellStyle name="_Column3_Book Budget 2002-2003_VRAN YTD_Biscuits Actual Results P12 161210_P&amp;L" xfId="1441"/>
    <cellStyle name="_Column3_Book Budget 2002-2003_VRAN YTD_Biscuits Actual Results P12 161210_P&amp;L_P&amp;L KFE" xfId="1442"/>
    <cellStyle name="_Column3_Book Budget 2002-2003_VRAN YTD_Biscuits Actual Results P12 161210_P&amp;L_Sheet3" xfId="1443"/>
    <cellStyle name="_Column3_Book Budget 2002-2003_VRAN YTD_Biscuits Actual Results P12 161210_VRAN YTD" xfId="1444"/>
    <cellStyle name="_Column3_Book Budget 2002-2003_VRAN YTD_P&amp;L" xfId="1445"/>
    <cellStyle name="_Column3_Book Budget 2002-2003_VRAN YTD_P&amp;L P06 AFH AC US" xfId="1446"/>
    <cellStyle name="_Column3_Book Budget 2002-2003_VRAN YTD_P&amp;L_P&amp;L KFE" xfId="1447"/>
    <cellStyle name="_Column3_Book Budget 2002-2003_VRAN YTD_P&amp;L_Sheet3" xfId="1448"/>
    <cellStyle name="_Column3_Book Budget 2002-2003_WP_AC11 P&amp;L LFL 27.10.10" xfId="1449"/>
    <cellStyle name="_Column3_Category PnL" xfId="1450"/>
    <cellStyle name="_Column3_Category PnL 2" xfId="1451"/>
    <cellStyle name="_Column3_Category PnL_P&amp;L KFE" xfId="1452"/>
    <cellStyle name="_Column3_Category PnL_Sheet3" xfId="1453"/>
    <cellStyle name="_Column3_Category Targets 2011_1.2" xfId="1454"/>
    <cellStyle name="_Column3_Category Template_Actuals" xfId="1455"/>
    <cellStyle name="_Column3_Category Template_Actuals 2" xfId="1456"/>
    <cellStyle name="_Column3_Category Template_Actuals NEW" xfId="1457"/>
    <cellStyle name="_Column3_Category Template_Actuals NEW 2" xfId="1458"/>
    <cellStyle name="_Column3_Category Template_Actuals NEW_Biscuits Actual Results P01" xfId="1459"/>
    <cellStyle name="_Column3_Category Template_Actuals NEW_Biscuits Actual Results P01 2" xfId="1460"/>
    <cellStyle name="_Column3_Category Template_Actuals NEW_Biscuits Actual Results P01_Category Template_Actuals" xfId="1461"/>
    <cellStyle name="_Column3_Category Template_Actuals NEW_Biscuits Actual Results P01_Category Template_Actuals 2" xfId="1462"/>
    <cellStyle name="_Column3_Category Template_Actuals NEW_Biscuits Actual Results P01_Category Template_Actuals_Biscuits Actual Results P02" xfId="1463"/>
    <cellStyle name="_Column3_Category Template_Actuals NEW_Biscuits Actual Results P01_Category Template_Actuals_Biscuits Actual Results P02 2" xfId="1464"/>
    <cellStyle name="_Column3_Category Template_Actuals NEW_Biscuits Actual Results P01_Category Template_Actuals_Biscuits Actual Results P02_Category Template_Actuals" xfId="1465"/>
    <cellStyle name="_Column3_Category Template_Actuals NEW_Biscuits Actual Results P01_Category Template_Actuals_Biscuits Actual Results P02_Category Template_Actuals_Biscuits Actual Results P04" xfId="1466"/>
    <cellStyle name="_Column3_Category Template_Actuals NEW_Biscuits Actual Results P01_Category Template_Actuals_Biscuits Actual Results P02_Category Template_Actuals_P&amp;L P06 AFH AC US" xfId="1467"/>
    <cellStyle name="_Column3_Category Template_Actuals NEW_Biscuits Actual Results P01_Category Template_Actuals_Biscuits Actual Results P02_P&amp;L" xfId="1468"/>
    <cellStyle name="_Column3_Category Template_Actuals NEW_Biscuits Actual Results P01_Category Template_Actuals_Biscuits Actual Results P02_P&amp;L_P&amp;L KFE" xfId="1469"/>
    <cellStyle name="_Column3_Category Template_Actuals NEW_Biscuits Actual Results P01_Category Template_Actuals_Biscuits Actual Results P02_P&amp;L_Sheet3" xfId="1470"/>
    <cellStyle name="_Column3_Category Template_Actuals NEW_Biscuits Actual Results P01_Category Template_Actuals_Biscuits Actual Results P02_VRAN YTD" xfId="1471"/>
    <cellStyle name="_Column3_Category Template_Actuals NEW_Biscuits Actual Results P01_Category Template_Actuals_Biscuits Actual Results P04" xfId="1472"/>
    <cellStyle name="_Column3_Category Template_Actuals NEW_Biscuits Actual Results P01_Category Template_Actuals_P&amp;L" xfId="1473"/>
    <cellStyle name="_Column3_Category Template_Actuals NEW_Biscuits Actual Results P01_Category Template_Actuals_P&amp;L P06 AFH AC US" xfId="1474"/>
    <cellStyle name="_Column3_Category Template_Actuals NEW_Biscuits Actual Results P01_Category Template_Actuals_P&amp;L_P&amp;L KFE" xfId="1475"/>
    <cellStyle name="_Column3_Category Template_Actuals NEW_Biscuits Actual Results P01_Category Template_Actuals_P&amp;L_Sheet3" xfId="1476"/>
    <cellStyle name="_Column3_Category Template_Actuals NEW_Biscuits Actual Results P01_P&amp;L" xfId="1477"/>
    <cellStyle name="_Column3_Category Template_Actuals NEW_Biscuits Actual Results P01_P&amp;L_P&amp;L KFE" xfId="1478"/>
    <cellStyle name="_Column3_Category Template_Actuals NEW_Biscuits Actual Results P01_P&amp;L_Sheet3" xfId="1479"/>
    <cellStyle name="_Column3_Category Template_Actuals NEW_Biscuits Actual Results P01_VRAN YTD" xfId="1480"/>
    <cellStyle name="_Column3_Category Template_Actuals NEW_Biscuits Actual Results P02" xfId="1481"/>
    <cellStyle name="_Column3_Category Template_Actuals NEW_Biscuits Actual Results P02 2" xfId="1482"/>
    <cellStyle name="_Column3_Category Template_Actuals NEW_Biscuits Actual Results P02_Category Template_Actuals" xfId="1483"/>
    <cellStyle name="_Column3_Category Template_Actuals NEW_Biscuits Actual Results P02_Category Template_Actuals_Biscuits Actual Results P04" xfId="1484"/>
    <cellStyle name="_Column3_Category Template_Actuals NEW_Biscuits Actual Results P02_Category Template_Actuals_P&amp;L P06 AFH AC US" xfId="1485"/>
    <cellStyle name="_Column3_Category Template_Actuals NEW_Biscuits Actual Results P02_P&amp;L" xfId="1486"/>
    <cellStyle name="_Column3_Category Template_Actuals NEW_Biscuits Actual Results P02_P&amp;L_P&amp;L KFE" xfId="1487"/>
    <cellStyle name="_Column3_Category Template_Actuals NEW_Biscuits Actual Results P02_P&amp;L_Sheet3" xfId="1488"/>
    <cellStyle name="_Column3_Category Template_Actuals NEW_Biscuits Actual Results P02_VRAN YTD" xfId="1489"/>
    <cellStyle name="_Column3_Category Template_Actuals NEW_Biscuits Actual Results P04" xfId="1490"/>
    <cellStyle name="_Column3_Category Template_Actuals NEW_Biscuits Actual Results P1 BIS" xfId="1491"/>
    <cellStyle name="_Column3_Category Template_Actuals NEW_Biscuits Actual Results P1 BIS 2" xfId="1492"/>
    <cellStyle name="_Column3_Category Template_Actuals NEW_Biscuits Actual Results P1 BIS_Category Template_Actuals" xfId="1493"/>
    <cellStyle name="_Column3_Category Template_Actuals NEW_Biscuits Actual Results P1 BIS_Category Template_Actuals_Biscuits Actual Results P04" xfId="1494"/>
    <cellStyle name="_Column3_Category Template_Actuals NEW_Biscuits Actual Results P1 BIS_Category Template_Actuals_P&amp;L P06 AFH AC US" xfId="1495"/>
    <cellStyle name="_Column3_Category Template_Actuals NEW_Biscuits Actual Results P1 BIS_P&amp;L" xfId="1496"/>
    <cellStyle name="_Column3_Category Template_Actuals NEW_Biscuits Actual Results P1 BIS_P&amp;L_P&amp;L KFE" xfId="1497"/>
    <cellStyle name="_Column3_Category Template_Actuals NEW_Biscuits Actual Results P1 BIS_P&amp;L_Sheet3" xfId="1498"/>
    <cellStyle name="_Column3_Category Template_Actuals NEW_Biscuits Actual Results P1 BIS_VRAN YTD" xfId="1499"/>
    <cellStyle name="_Column3_Category Template_Actuals NEW_Biscuits Actual Results P12 161210" xfId="1500"/>
    <cellStyle name="_Column3_Category Template_Actuals NEW_Biscuits Actual Results P12 161210 2" xfId="1501"/>
    <cellStyle name="_Column3_Category Template_Actuals NEW_Biscuits Actual Results P12 161210_Category Template_Actuals" xfId="1502"/>
    <cellStyle name="_Column3_Category Template_Actuals NEW_Biscuits Actual Results P12 161210_Category Template_Actuals 2" xfId="1503"/>
    <cellStyle name="_Column3_Category Template_Actuals NEW_Biscuits Actual Results P12 161210_Category Template_Actuals_Biscuits Actual Results P02" xfId="1504"/>
    <cellStyle name="_Column3_Category Template_Actuals NEW_Biscuits Actual Results P12 161210_Category Template_Actuals_Biscuits Actual Results P02 2" xfId="1505"/>
    <cellStyle name="_Column3_Category Template_Actuals NEW_Biscuits Actual Results P12 161210_Category Template_Actuals_Biscuits Actual Results P02_Category Template_Actuals" xfId="1506"/>
    <cellStyle name="_Column3_Category Template_Actuals NEW_Biscuits Actual Results P12 161210_Category Template_Actuals_Biscuits Actual Results P02_Category Template_Actuals_Biscuits Actual Results P04" xfId="1507"/>
    <cellStyle name="_Column3_Category Template_Actuals NEW_Biscuits Actual Results P12 161210_Category Template_Actuals_Biscuits Actual Results P02_Category Template_Actuals_P&amp;L P06 AFH AC US" xfId="1508"/>
    <cellStyle name="_Column3_Category Template_Actuals NEW_Biscuits Actual Results P12 161210_Category Template_Actuals_Biscuits Actual Results P02_P&amp;L" xfId="1509"/>
    <cellStyle name="_Column3_Category Template_Actuals NEW_Biscuits Actual Results P12 161210_Category Template_Actuals_Biscuits Actual Results P02_P&amp;L_P&amp;L KFE" xfId="1510"/>
    <cellStyle name="_Column3_Category Template_Actuals NEW_Biscuits Actual Results P12 161210_Category Template_Actuals_Biscuits Actual Results P02_P&amp;L_Sheet3" xfId="1511"/>
    <cellStyle name="_Column3_Category Template_Actuals NEW_Biscuits Actual Results P12 161210_Category Template_Actuals_Biscuits Actual Results P02_VRAN YTD" xfId="1512"/>
    <cellStyle name="_Column3_Category Template_Actuals NEW_Biscuits Actual Results P12 161210_Category Template_Actuals_Biscuits Actual Results P04" xfId="1513"/>
    <cellStyle name="_Column3_Category Template_Actuals NEW_Biscuits Actual Results P12 161210_Category Template_Actuals_P&amp;L" xfId="1514"/>
    <cellStyle name="_Column3_Category Template_Actuals NEW_Biscuits Actual Results P12 161210_Category Template_Actuals_P&amp;L P06 AFH AC US" xfId="1515"/>
    <cellStyle name="_Column3_Category Template_Actuals NEW_Biscuits Actual Results P12 161210_Category Template_Actuals_P&amp;L_P&amp;L KFE" xfId="1516"/>
    <cellStyle name="_Column3_Category Template_Actuals NEW_Biscuits Actual Results P12 161210_Category Template_Actuals_P&amp;L_Sheet3" xfId="1517"/>
    <cellStyle name="_Column3_Category Template_Actuals NEW_Biscuits Actual Results P12 161210_P&amp;L" xfId="1518"/>
    <cellStyle name="_Column3_Category Template_Actuals NEW_Biscuits Actual Results P12 161210_P&amp;L_P&amp;L KFE" xfId="1519"/>
    <cellStyle name="_Column3_Category Template_Actuals NEW_Biscuits Actual Results P12 161210_P&amp;L_Sheet3" xfId="1520"/>
    <cellStyle name="_Column3_Category Template_Actuals NEW_Biscuits Actual Results P12 161210_VRAN YTD" xfId="1521"/>
    <cellStyle name="_Column3_Category Template_Actuals NEW_P&amp;L" xfId="1522"/>
    <cellStyle name="_Column3_Category Template_Actuals NEW_P&amp;L P06 AFH AC US" xfId="1523"/>
    <cellStyle name="_Column3_Category Template_Actuals NEW_P&amp;L_P&amp;L KFE" xfId="1524"/>
    <cellStyle name="_Column3_Category Template_Actuals NEW_P&amp;L_Sheet3" xfId="1525"/>
    <cellStyle name="_Column3_Category Template_Actuals_Biscuits Actual Results P02" xfId="1526"/>
    <cellStyle name="_Column3_Category Template_Actuals_Biscuits Actual Results P02 2" xfId="1527"/>
    <cellStyle name="_Column3_Category Template_Actuals_Biscuits Actual Results P02_Category Template_Actuals" xfId="1528"/>
    <cellStyle name="_Column3_Category Template_Actuals_Biscuits Actual Results P02_Category Template_Actuals_Biscuits Actual Results P04" xfId="1529"/>
    <cellStyle name="_Column3_Category Template_Actuals_Biscuits Actual Results P02_Category Template_Actuals_P&amp;L P06 AFH AC US" xfId="1530"/>
    <cellStyle name="_Column3_Category Template_Actuals_Biscuits Actual Results P02_P&amp;L" xfId="1531"/>
    <cellStyle name="_Column3_Category Template_Actuals_Biscuits Actual Results P02_P&amp;L_P&amp;L KFE" xfId="1532"/>
    <cellStyle name="_Column3_Category Template_Actuals_Biscuits Actual Results P02_P&amp;L_Sheet3" xfId="1533"/>
    <cellStyle name="_Column3_Category Template_Actuals_Biscuits Actual Results P02_VRAN YTD" xfId="1534"/>
    <cellStyle name="_Column3_Category Template_Actuals_Biscuits Actual Results P04" xfId="1535"/>
    <cellStyle name="_Column3_Category Template_Actuals_P&amp;L" xfId="1536"/>
    <cellStyle name="_Column3_Category Template_Actuals_P&amp;L P06 AFH AC US" xfId="1537"/>
    <cellStyle name="_Column3_Category Template_Actuals_P&amp;L_P&amp;L KFE" xfId="1538"/>
    <cellStyle name="_Column3_Category Template_Actuals_P&amp;L_Sheet3" xfId="1539"/>
    <cellStyle name="_Column3_KFE Category PnL template_Combined_P03 (2)" xfId="1540"/>
    <cellStyle name="_Column3_KFE Category PnL template_Combined_P03 (2)_P&amp;L KFE" xfId="1541"/>
    <cellStyle name="_Column3_KFE Category PnL template_Combined_P03 (2)_Sheet3" xfId="1542"/>
    <cellStyle name="_Column3_KFE Category PnL template_Kraft Legacy (2)" xfId="1543"/>
    <cellStyle name="_Column3_KFE Category PnL template_Kraft Legacy (2)_P&amp;L KFE" xfId="1544"/>
    <cellStyle name="_Column3_KFE Category PnL template_Kraft Legacy (2)_Sheet3" xfId="1545"/>
    <cellStyle name="_Column3_KFE Category PnL template_Kraft Legacy (4)" xfId="1546"/>
    <cellStyle name="_Column3_KFE Category PnL template_Kraft Legacy (4)_P&amp;L KFE" xfId="1547"/>
    <cellStyle name="_Column3_KFE Category PnL template_Kraft Legacy (4)_Sheet3" xfId="1548"/>
    <cellStyle name="_Column3_OI Bridge 0" xfId="1549"/>
    <cellStyle name="_Column3_OI Bridge 0_1" xfId="1550"/>
    <cellStyle name="_Column3_OI Bridge 1" xfId="1551"/>
    <cellStyle name="_Column3_P&amp;L" xfId="1552"/>
    <cellStyle name="_Column3_P&amp;L_P&amp;L KFE" xfId="1553"/>
    <cellStyle name="_Column3_P&amp;L_Sheet3" xfId="1554"/>
    <cellStyle name="_Column3_Sheet1" xfId="1555"/>
    <cellStyle name="_Column3_VRAN YTD" xfId="1556"/>
    <cellStyle name="_Column3_VRAN YTD 2" xfId="1557"/>
    <cellStyle name="_Column3_VRAN YTD_Biscuits Actual Results P01" xfId="1558"/>
    <cellStyle name="_Column3_VRAN YTD_Biscuits Actual Results P01 2" xfId="1559"/>
    <cellStyle name="_Column3_VRAN YTD_Biscuits Actual Results P01_Category Template_Actuals" xfId="1560"/>
    <cellStyle name="_Column3_VRAN YTD_Biscuits Actual Results P01_Category Template_Actuals 2" xfId="1561"/>
    <cellStyle name="_Column3_VRAN YTD_Biscuits Actual Results P01_Category Template_Actuals_Biscuits Actual Results P02" xfId="1562"/>
    <cellStyle name="_Column3_VRAN YTD_Biscuits Actual Results P01_Category Template_Actuals_Biscuits Actual Results P02 2" xfId="1563"/>
    <cellStyle name="_Column3_VRAN YTD_Biscuits Actual Results P01_Category Template_Actuals_Biscuits Actual Results P02_Category Template_Actuals" xfId="1564"/>
    <cellStyle name="_Column3_VRAN YTD_Biscuits Actual Results P01_Category Template_Actuals_Biscuits Actual Results P02_Category Template_Actuals_Biscuits Actual Results P04" xfId="1565"/>
    <cellStyle name="_Column3_VRAN YTD_Biscuits Actual Results P01_Category Template_Actuals_Biscuits Actual Results P02_Category Template_Actuals_P&amp;L P06 AFH AC US" xfId="1566"/>
    <cellStyle name="_Column3_VRAN YTD_Biscuits Actual Results P01_Category Template_Actuals_Biscuits Actual Results P02_P&amp;L" xfId="1567"/>
    <cellStyle name="_Column3_VRAN YTD_Biscuits Actual Results P01_Category Template_Actuals_Biscuits Actual Results P02_P&amp;L_P&amp;L KFE" xfId="1568"/>
    <cellStyle name="_Column3_VRAN YTD_Biscuits Actual Results P01_Category Template_Actuals_Biscuits Actual Results P02_P&amp;L_Sheet3" xfId="1569"/>
    <cellStyle name="_Column3_VRAN YTD_Biscuits Actual Results P01_Category Template_Actuals_Biscuits Actual Results P02_VRAN YTD" xfId="1570"/>
    <cellStyle name="_Column3_VRAN YTD_Biscuits Actual Results P01_Category Template_Actuals_Biscuits Actual Results P04" xfId="1571"/>
    <cellStyle name="_Column3_VRAN YTD_Biscuits Actual Results P01_Category Template_Actuals_P&amp;L" xfId="1572"/>
    <cellStyle name="_Column3_VRAN YTD_Biscuits Actual Results P01_Category Template_Actuals_P&amp;L P06 AFH AC US" xfId="1573"/>
    <cellStyle name="_Column3_VRAN YTD_Biscuits Actual Results P01_Category Template_Actuals_P&amp;L_P&amp;L KFE" xfId="1574"/>
    <cellStyle name="_Column3_VRAN YTD_Biscuits Actual Results P01_Category Template_Actuals_P&amp;L_Sheet3" xfId="1575"/>
    <cellStyle name="_Column3_VRAN YTD_Biscuits Actual Results P01_P&amp;L" xfId="1576"/>
    <cellStyle name="_Column3_VRAN YTD_Biscuits Actual Results P01_P&amp;L_P&amp;L KFE" xfId="1577"/>
    <cellStyle name="_Column3_VRAN YTD_Biscuits Actual Results P01_P&amp;L_Sheet3" xfId="1578"/>
    <cellStyle name="_Column3_VRAN YTD_Biscuits Actual Results P01_VRAN YTD" xfId="1579"/>
    <cellStyle name="_Column3_VRAN YTD_Biscuits Actual Results P02" xfId="1580"/>
    <cellStyle name="_Column3_VRAN YTD_Biscuits Actual Results P02 2" xfId="1581"/>
    <cellStyle name="_Column3_VRAN YTD_Biscuits Actual Results P02_Category Template_Actuals" xfId="1582"/>
    <cellStyle name="_Column3_VRAN YTD_Biscuits Actual Results P02_Category Template_Actuals_Biscuits Actual Results P04" xfId="1583"/>
    <cellStyle name="_Column3_VRAN YTD_Biscuits Actual Results P02_Category Template_Actuals_P&amp;L P06 AFH AC US" xfId="1584"/>
    <cellStyle name="_Column3_VRAN YTD_Biscuits Actual Results P02_P&amp;L" xfId="1585"/>
    <cellStyle name="_Column3_VRAN YTD_Biscuits Actual Results P02_P&amp;L_P&amp;L KFE" xfId="1586"/>
    <cellStyle name="_Column3_VRAN YTD_Biscuits Actual Results P02_P&amp;L_Sheet3" xfId="1587"/>
    <cellStyle name="_Column3_VRAN YTD_Biscuits Actual Results P02_VRAN YTD" xfId="1588"/>
    <cellStyle name="_Column3_VRAN YTD_Biscuits Actual Results P04" xfId="1589"/>
    <cellStyle name="_Column3_VRAN YTD_Biscuits Actual Results P1 BIS" xfId="1590"/>
    <cellStyle name="_Column3_VRAN YTD_Biscuits Actual Results P1 BIS 2" xfId="1591"/>
    <cellStyle name="_Column3_VRAN YTD_Biscuits Actual Results P1 BIS_Category Template_Actuals" xfId="1592"/>
    <cellStyle name="_Column3_VRAN YTD_Biscuits Actual Results P1 BIS_Category Template_Actuals_Biscuits Actual Results P04" xfId="1593"/>
    <cellStyle name="_Column3_VRAN YTD_Biscuits Actual Results P1 BIS_Category Template_Actuals_P&amp;L P06 AFH AC US" xfId="1594"/>
    <cellStyle name="_Column3_VRAN YTD_Biscuits Actual Results P1 BIS_P&amp;L" xfId="1595"/>
    <cellStyle name="_Column3_VRAN YTD_Biscuits Actual Results P1 BIS_P&amp;L_P&amp;L KFE" xfId="1596"/>
    <cellStyle name="_Column3_VRAN YTD_Biscuits Actual Results P1 BIS_P&amp;L_Sheet3" xfId="1597"/>
    <cellStyle name="_Column3_VRAN YTD_Biscuits Actual Results P1 BIS_VRAN YTD" xfId="1598"/>
    <cellStyle name="_Column3_VRAN YTD_Biscuits Actual Results P12 161210" xfId="1599"/>
    <cellStyle name="_Column3_VRAN YTD_Biscuits Actual Results P12 161210 2" xfId="1600"/>
    <cellStyle name="_Column3_VRAN YTD_Biscuits Actual Results P12 161210_Category Template_Actuals" xfId="1601"/>
    <cellStyle name="_Column3_VRAN YTD_Biscuits Actual Results P12 161210_Category Template_Actuals 2" xfId="1602"/>
    <cellStyle name="_Column3_VRAN YTD_Biscuits Actual Results P12 161210_Category Template_Actuals_Biscuits Actual Results P02" xfId="1603"/>
    <cellStyle name="_Column3_VRAN YTD_Biscuits Actual Results P12 161210_Category Template_Actuals_Biscuits Actual Results P02 2" xfId="1604"/>
    <cellStyle name="_Column3_VRAN YTD_Biscuits Actual Results P12 161210_Category Template_Actuals_Biscuits Actual Results P02_Category Template_Actuals" xfId="1605"/>
    <cellStyle name="_Column3_VRAN YTD_Biscuits Actual Results P12 161210_Category Template_Actuals_Biscuits Actual Results P02_Category Template_Actuals_Biscuits Actual Results P04" xfId="1606"/>
    <cellStyle name="_Column3_VRAN YTD_Biscuits Actual Results P12 161210_Category Template_Actuals_Biscuits Actual Results P02_Category Template_Actuals_P&amp;L P06 AFH AC US" xfId="1607"/>
    <cellStyle name="_Column3_VRAN YTD_Biscuits Actual Results P12 161210_Category Template_Actuals_Biscuits Actual Results P02_P&amp;L" xfId="1608"/>
    <cellStyle name="_Column3_VRAN YTD_Biscuits Actual Results P12 161210_Category Template_Actuals_Biscuits Actual Results P02_P&amp;L_P&amp;L KFE" xfId="1609"/>
    <cellStyle name="_Column3_VRAN YTD_Biscuits Actual Results P12 161210_Category Template_Actuals_Biscuits Actual Results P02_P&amp;L_Sheet3" xfId="1610"/>
    <cellStyle name="_Column3_VRAN YTD_Biscuits Actual Results P12 161210_Category Template_Actuals_Biscuits Actual Results P02_VRAN YTD" xfId="1611"/>
    <cellStyle name="_Column3_VRAN YTD_Biscuits Actual Results P12 161210_Category Template_Actuals_Biscuits Actual Results P04" xfId="1612"/>
    <cellStyle name="_Column3_VRAN YTD_Biscuits Actual Results P12 161210_Category Template_Actuals_P&amp;L" xfId="1613"/>
    <cellStyle name="_Column3_VRAN YTD_Biscuits Actual Results P12 161210_Category Template_Actuals_P&amp;L P06 AFH AC US" xfId="1614"/>
    <cellStyle name="_Column3_VRAN YTD_Biscuits Actual Results P12 161210_Category Template_Actuals_P&amp;L_P&amp;L KFE" xfId="1615"/>
    <cellStyle name="_Column3_VRAN YTD_Biscuits Actual Results P12 161210_Category Template_Actuals_P&amp;L_Sheet3" xfId="1616"/>
    <cellStyle name="_Column3_VRAN YTD_Biscuits Actual Results P12 161210_P&amp;L" xfId="1617"/>
    <cellStyle name="_Column3_VRAN YTD_Biscuits Actual Results P12 161210_P&amp;L_P&amp;L KFE" xfId="1618"/>
    <cellStyle name="_Column3_VRAN YTD_Biscuits Actual Results P12 161210_P&amp;L_Sheet3" xfId="1619"/>
    <cellStyle name="_Column3_VRAN YTD_Biscuits Actual Results P12 161210_VRAN YTD" xfId="1620"/>
    <cellStyle name="_Column3_VRAN YTD_P&amp;L" xfId="1621"/>
    <cellStyle name="_Column3_VRAN YTD_P&amp;L P06 AFH AC US" xfId="1622"/>
    <cellStyle name="_Column3_VRAN YTD_P&amp;L_P&amp;L KFE" xfId="1623"/>
    <cellStyle name="_Column3_VRAN YTD_P&amp;L_Sheet3" xfId="1624"/>
    <cellStyle name="_Column3_WP_AC11 P&amp;L LFL 27.10.10" xfId="1625"/>
    <cellStyle name="_Column4" xfId="1626"/>
    <cellStyle name="_Column4 2" xfId="1627"/>
    <cellStyle name="_Column4 2 2" xfId="1628"/>
    <cellStyle name="_Column4 2 2_P&amp;L KFE" xfId="1629"/>
    <cellStyle name="_Column4 2 2_Sheet3" xfId="1630"/>
    <cellStyle name="_Column4 2_P&amp;L KFE" xfId="1631"/>
    <cellStyle name="_Column4 2_Sheet3" xfId="1632"/>
    <cellStyle name="_Column4 3" xfId="1633"/>
    <cellStyle name="_Column4 3_P&amp;L KFE" xfId="1634"/>
    <cellStyle name="_Column4 3_Sheet3" xfId="1635"/>
    <cellStyle name="_Column4 4" xfId="1636"/>
    <cellStyle name="_Column4_2011 Targets by category Aug 25" xfId="1637"/>
    <cellStyle name="_Column4_AC11 conso @Cst Fx" xfId="1638"/>
    <cellStyle name="_Column4_AC11 conso @Cst Fx 2" xfId="1639"/>
    <cellStyle name="_Column4_AC11 conso @Cst Fx after LFL restatement" xfId="1640"/>
    <cellStyle name="_Column4_AC11 conso @Cst Fx after LFL restatement 2" xfId="1641"/>
    <cellStyle name="_Column4_AC11 conso @Cst Fx after LFL restatement_P&amp;L KFE" xfId="1642"/>
    <cellStyle name="_Column4_AC11 conso @Cst Fx after LFL restatement_Sheet3" xfId="1643"/>
    <cellStyle name="_Column4_AC11 conso @Cst Fx_P&amp;L KFE" xfId="1644"/>
    <cellStyle name="_Column4_AC11 conso @Cst Fx_Sheet3" xfId="1645"/>
    <cellStyle name="_Column4_Book Budget 2002-2003" xfId="1646"/>
    <cellStyle name="_Column4_Book Budget 2002-2003 2" xfId="1647"/>
    <cellStyle name="_Column4_Book Budget 2002-2003 2 2" xfId="1648"/>
    <cellStyle name="_Column4_Book Budget 2002-2003 2 2_P&amp;L KFE" xfId="1649"/>
    <cellStyle name="_Column4_Book Budget 2002-2003 2 2_Sheet3" xfId="1650"/>
    <cellStyle name="_Column4_Book Budget 2002-2003 2_P&amp;L KFE" xfId="1651"/>
    <cellStyle name="_Column4_Book Budget 2002-2003 2_Sheet3" xfId="1652"/>
    <cellStyle name="_Column4_Book Budget 2002-2003 3" xfId="1653"/>
    <cellStyle name="_Column4_Book Budget 2002-2003 3_P&amp;L KFE" xfId="1654"/>
    <cellStyle name="_Column4_Book Budget 2002-2003 3_Sheet3" xfId="1655"/>
    <cellStyle name="_Column4_Book Budget 2002-2003 4" xfId="1656"/>
    <cellStyle name="_Column4_Book Budget 2002-2003_2011 Targets by category Aug 25" xfId="1657"/>
    <cellStyle name="_Column4_Book Budget 2002-2003_AC11 conso @Cst Fx" xfId="1658"/>
    <cellStyle name="_Column4_Book Budget 2002-2003_AC11 conso @Cst Fx 2" xfId="1659"/>
    <cellStyle name="_Column4_Book Budget 2002-2003_AC11 conso @Cst Fx after LFL restatement" xfId="1660"/>
    <cellStyle name="_Column4_Book Budget 2002-2003_AC11 conso @Cst Fx after LFL restatement 2" xfId="1661"/>
    <cellStyle name="_Column4_Book Budget 2002-2003_AC11 conso @Cst Fx after LFL restatement_P&amp;L KFE" xfId="1662"/>
    <cellStyle name="_Column4_Book Budget 2002-2003_AC11 conso @Cst Fx after LFL restatement_Sheet3" xfId="1663"/>
    <cellStyle name="_Column4_Book Budget 2002-2003_AC11 conso @Cst Fx_P&amp;L KFE" xfId="1664"/>
    <cellStyle name="_Column4_Book Budget 2002-2003_AC11 conso @Cst Fx_Sheet3" xfId="1665"/>
    <cellStyle name="_Column4_Book Budget 2002-2003_Category PnL" xfId="1666"/>
    <cellStyle name="_Column4_Book Budget 2002-2003_Category PnL 2" xfId="1667"/>
    <cellStyle name="_Column4_Book Budget 2002-2003_Category PnL_P&amp;L KFE" xfId="1668"/>
    <cellStyle name="_Column4_Book Budget 2002-2003_Category PnL_Sheet3" xfId="1669"/>
    <cellStyle name="_Column4_Book Budget 2002-2003_Category Targets 2011_1.2" xfId="1670"/>
    <cellStyle name="_Column4_Book Budget 2002-2003_Category Template_Actuals" xfId="1671"/>
    <cellStyle name="_Column4_Book Budget 2002-2003_Category Template_Actuals 2" xfId="1672"/>
    <cellStyle name="_Column4_Book Budget 2002-2003_Category Template_Actuals NEW" xfId="1673"/>
    <cellStyle name="_Column4_Book Budget 2002-2003_Category Template_Actuals NEW 2" xfId="1674"/>
    <cellStyle name="_Column4_Book Budget 2002-2003_Category Template_Actuals NEW_Biscuits Actual Results P01" xfId="1675"/>
    <cellStyle name="_Column4_Book Budget 2002-2003_Category Template_Actuals NEW_Biscuits Actual Results P01 2" xfId="1676"/>
    <cellStyle name="_Column4_Book Budget 2002-2003_Category Template_Actuals NEW_Biscuits Actual Results P01_Category Template_Actuals" xfId="1677"/>
    <cellStyle name="_Column4_Book Budget 2002-2003_Category Template_Actuals NEW_Biscuits Actual Results P01_Category Template_Actuals 2" xfId="1678"/>
    <cellStyle name="_Column4_Book Budget 2002-2003_Category Template_Actuals NEW_Biscuits Actual Results P01_Category Template_Actuals_Biscuits Actual Results P02" xfId="1679"/>
    <cellStyle name="_Column4_Book Budget 2002-2003_Category Template_Actuals NEW_Biscuits Actual Results P01_Category Template_Actuals_Biscuits Actual Results P02 2" xfId="1680"/>
    <cellStyle name="_Column4_Book Budget 2002-2003_Category Template_Actuals NEW_Biscuits Actual Results P01_Category Template_Actuals_Biscuits Actual Results P02_Category Template_Actuals" xfId="1681"/>
    <cellStyle name="_Column4_Book Budget 2002-2003_Category Template_Actuals NEW_Biscuits Actual Results P01_Category Template_Actuals_Biscuits Actual Results P02_Category Template_Actuals_Biscuits Actual Results P04" xfId="1682"/>
    <cellStyle name="_Column4_Book Budget 2002-2003_Category Template_Actuals NEW_Biscuits Actual Results P01_Category Template_Actuals_Biscuits Actual Results P02_Category Template_Actuals_P&amp;L P06 AFH AC US" xfId="1683"/>
    <cellStyle name="_Column4_Book Budget 2002-2003_Category Template_Actuals NEW_Biscuits Actual Results P01_Category Template_Actuals_Biscuits Actual Results P02_P&amp;L" xfId="1684"/>
    <cellStyle name="_Column4_Book Budget 2002-2003_Category Template_Actuals NEW_Biscuits Actual Results P01_Category Template_Actuals_Biscuits Actual Results P02_P&amp;L_P&amp;L KFE" xfId="1685"/>
    <cellStyle name="_Column4_Book Budget 2002-2003_Category Template_Actuals NEW_Biscuits Actual Results P01_Category Template_Actuals_Biscuits Actual Results P02_P&amp;L_Sheet3" xfId="1686"/>
    <cellStyle name="_Column4_Book Budget 2002-2003_Category Template_Actuals NEW_Biscuits Actual Results P01_Category Template_Actuals_Biscuits Actual Results P02_VRAN YTD" xfId="1687"/>
    <cellStyle name="_Column4_Book Budget 2002-2003_Category Template_Actuals NEW_Biscuits Actual Results P01_Category Template_Actuals_Biscuits Actual Results P04" xfId="1688"/>
    <cellStyle name="_Column4_Book Budget 2002-2003_Category Template_Actuals NEW_Biscuits Actual Results P01_Category Template_Actuals_P&amp;L" xfId="1689"/>
    <cellStyle name="_Column4_Book Budget 2002-2003_Category Template_Actuals NEW_Biscuits Actual Results P01_Category Template_Actuals_P&amp;L P06 AFH AC US" xfId="1690"/>
    <cellStyle name="_Column4_Book Budget 2002-2003_Category Template_Actuals NEW_Biscuits Actual Results P01_Category Template_Actuals_P&amp;L_P&amp;L KFE" xfId="1691"/>
    <cellStyle name="_Column4_Book Budget 2002-2003_Category Template_Actuals NEW_Biscuits Actual Results P01_Category Template_Actuals_P&amp;L_Sheet3" xfId="1692"/>
    <cellStyle name="_Column4_Book Budget 2002-2003_Category Template_Actuals NEW_Biscuits Actual Results P01_P&amp;L" xfId="1693"/>
    <cellStyle name="_Column4_Book Budget 2002-2003_Category Template_Actuals NEW_Biscuits Actual Results P01_P&amp;L_P&amp;L KFE" xfId="1694"/>
    <cellStyle name="_Column4_Book Budget 2002-2003_Category Template_Actuals NEW_Biscuits Actual Results P01_P&amp;L_Sheet3" xfId="1695"/>
    <cellStyle name="_Column4_Book Budget 2002-2003_Category Template_Actuals NEW_Biscuits Actual Results P01_VRAN YTD" xfId="1696"/>
    <cellStyle name="_Column4_Book Budget 2002-2003_Category Template_Actuals NEW_Biscuits Actual Results P02" xfId="1697"/>
    <cellStyle name="_Column4_Book Budget 2002-2003_Category Template_Actuals NEW_Biscuits Actual Results P02 2" xfId="1698"/>
    <cellStyle name="_Column4_Book Budget 2002-2003_Category Template_Actuals NEW_Biscuits Actual Results P02_Category Template_Actuals" xfId="1699"/>
    <cellStyle name="_Column4_Book Budget 2002-2003_Category Template_Actuals NEW_Biscuits Actual Results P02_Category Template_Actuals_Biscuits Actual Results P04" xfId="1700"/>
    <cellStyle name="_Column4_Book Budget 2002-2003_Category Template_Actuals NEW_Biscuits Actual Results P02_Category Template_Actuals_P&amp;L P06 AFH AC US" xfId="1701"/>
    <cellStyle name="_Column4_Book Budget 2002-2003_Category Template_Actuals NEW_Biscuits Actual Results P02_P&amp;L" xfId="1702"/>
    <cellStyle name="_Column4_Book Budget 2002-2003_Category Template_Actuals NEW_Biscuits Actual Results P02_P&amp;L_P&amp;L KFE" xfId="1703"/>
    <cellStyle name="_Column4_Book Budget 2002-2003_Category Template_Actuals NEW_Biscuits Actual Results P02_P&amp;L_Sheet3" xfId="1704"/>
    <cellStyle name="_Column4_Book Budget 2002-2003_Category Template_Actuals NEW_Biscuits Actual Results P02_VRAN YTD" xfId="1705"/>
    <cellStyle name="_Column4_Book Budget 2002-2003_Category Template_Actuals NEW_Biscuits Actual Results P04" xfId="1706"/>
    <cellStyle name="_Column4_Book Budget 2002-2003_Category Template_Actuals NEW_Biscuits Actual Results P1 BIS" xfId="1707"/>
    <cellStyle name="_Column4_Book Budget 2002-2003_Category Template_Actuals NEW_Biscuits Actual Results P1 BIS 2" xfId="1708"/>
    <cellStyle name="_Column4_Book Budget 2002-2003_Category Template_Actuals NEW_Biscuits Actual Results P1 BIS_Category Template_Actuals" xfId="1709"/>
    <cellStyle name="_Column4_Book Budget 2002-2003_Category Template_Actuals NEW_Biscuits Actual Results P1 BIS_Category Template_Actuals_Biscuits Actual Results P04" xfId="1710"/>
    <cellStyle name="_Column4_Book Budget 2002-2003_Category Template_Actuals NEW_Biscuits Actual Results P1 BIS_Category Template_Actuals_P&amp;L P06 AFH AC US" xfId="1711"/>
    <cellStyle name="_Column4_Book Budget 2002-2003_Category Template_Actuals NEW_Biscuits Actual Results P1 BIS_P&amp;L" xfId="1712"/>
    <cellStyle name="_Column4_Book Budget 2002-2003_Category Template_Actuals NEW_Biscuits Actual Results P1 BIS_P&amp;L_P&amp;L KFE" xfId="1713"/>
    <cellStyle name="_Column4_Book Budget 2002-2003_Category Template_Actuals NEW_Biscuits Actual Results P1 BIS_P&amp;L_Sheet3" xfId="1714"/>
    <cellStyle name="_Column4_Book Budget 2002-2003_Category Template_Actuals NEW_Biscuits Actual Results P1 BIS_VRAN YTD" xfId="1715"/>
    <cellStyle name="_Column4_Book Budget 2002-2003_Category Template_Actuals NEW_Biscuits Actual Results P12 161210" xfId="1716"/>
    <cellStyle name="_Column4_Book Budget 2002-2003_Category Template_Actuals NEW_Biscuits Actual Results P12 161210 2" xfId="1717"/>
    <cellStyle name="_Column4_Book Budget 2002-2003_Category Template_Actuals NEW_Biscuits Actual Results P12 161210_Category Template_Actuals" xfId="1718"/>
    <cellStyle name="_Column4_Book Budget 2002-2003_Category Template_Actuals NEW_Biscuits Actual Results P12 161210_Category Template_Actuals 2" xfId="1719"/>
    <cellStyle name="_Column4_Book Budget 2002-2003_Category Template_Actuals NEW_Biscuits Actual Results P12 161210_Category Template_Actuals_Biscuits Actual Results P02" xfId="1720"/>
    <cellStyle name="_Column4_Book Budget 2002-2003_Category Template_Actuals NEW_Biscuits Actual Results P12 161210_Category Template_Actuals_Biscuits Actual Results P02 2" xfId="1721"/>
    <cellStyle name="_Column4_Book Budget 2002-2003_Category Template_Actuals NEW_Biscuits Actual Results P12 161210_Category Template_Actuals_Biscuits Actual Results P02_Category Template_Actuals" xfId="1722"/>
    <cellStyle name="_Column4_Book Budget 2002-2003_Category Template_Actuals NEW_Biscuits Actual Results P12 161210_Category Template_Actuals_Biscuits Actual Results P02_Category Template_Actuals_Biscuits Actual Results P04" xfId="1723"/>
    <cellStyle name="_Column4_Book Budget 2002-2003_Category Template_Actuals NEW_Biscuits Actual Results P12 161210_Category Template_Actuals_Biscuits Actual Results P02_Category Template_Actuals_P&amp;L P06 AFH AC US" xfId="1724"/>
    <cellStyle name="_Column4_Book Budget 2002-2003_Category Template_Actuals NEW_Biscuits Actual Results P12 161210_Category Template_Actuals_Biscuits Actual Results P02_P&amp;L" xfId="1725"/>
    <cellStyle name="_Column4_Book Budget 2002-2003_Category Template_Actuals NEW_Biscuits Actual Results P12 161210_Category Template_Actuals_Biscuits Actual Results P02_P&amp;L_P&amp;L KFE" xfId="1726"/>
    <cellStyle name="_Column4_Book Budget 2002-2003_Category Template_Actuals NEW_Biscuits Actual Results P12 161210_Category Template_Actuals_Biscuits Actual Results P02_P&amp;L_Sheet3" xfId="1727"/>
    <cellStyle name="_Column4_Book Budget 2002-2003_Category Template_Actuals NEW_Biscuits Actual Results P12 161210_Category Template_Actuals_Biscuits Actual Results P02_VRAN YTD" xfId="1728"/>
    <cellStyle name="_Column4_Book Budget 2002-2003_Category Template_Actuals NEW_Biscuits Actual Results P12 161210_Category Template_Actuals_Biscuits Actual Results P04" xfId="1729"/>
    <cellStyle name="_Column4_Book Budget 2002-2003_Category Template_Actuals NEW_Biscuits Actual Results P12 161210_Category Template_Actuals_P&amp;L" xfId="1730"/>
    <cellStyle name="_Column4_Book Budget 2002-2003_Category Template_Actuals NEW_Biscuits Actual Results P12 161210_Category Template_Actuals_P&amp;L P06 AFH AC US" xfId="1731"/>
    <cellStyle name="_Column4_Book Budget 2002-2003_Category Template_Actuals NEW_Biscuits Actual Results P12 161210_Category Template_Actuals_P&amp;L_P&amp;L KFE" xfId="1732"/>
    <cellStyle name="_Column4_Book Budget 2002-2003_Category Template_Actuals NEW_Biscuits Actual Results P12 161210_Category Template_Actuals_P&amp;L_Sheet3" xfId="1733"/>
    <cellStyle name="_Column4_Book Budget 2002-2003_Category Template_Actuals NEW_Biscuits Actual Results P12 161210_P&amp;L" xfId="1734"/>
    <cellStyle name="_Column4_Book Budget 2002-2003_Category Template_Actuals NEW_Biscuits Actual Results P12 161210_P&amp;L_P&amp;L KFE" xfId="1735"/>
    <cellStyle name="_Column4_Book Budget 2002-2003_Category Template_Actuals NEW_Biscuits Actual Results P12 161210_P&amp;L_Sheet3" xfId="1736"/>
    <cellStyle name="_Column4_Book Budget 2002-2003_Category Template_Actuals NEW_Biscuits Actual Results P12 161210_VRAN YTD" xfId="1737"/>
    <cellStyle name="_Column4_Book Budget 2002-2003_Category Template_Actuals NEW_P&amp;L" xfId="1738"/>
    <cellStyle name="_Column4_Book Budget 2002-2003_Category Template_Actuals NEW_P&amp;L P06 AFH AC US" xfId="1739"/>
    <cellStyle name="_Column4_Book Budget 2002-2003_Category Template_Actuals NEW_P&amp;L_P&amp;L KFE" xfId="1740"/>
    <cellStyle name="_Column4_Book Budget 2002-2003_Category Template_Actuals NEW_P&amp;L_Sheet3" xfId="1741"/>
    <cellStyle name="_Column4_Book Budget 2002-2003_Category Template_Actuals_Biscuits Actual Results P02" xfId="1742"/>
    <cellStyle name="_Column4_Book Budget 2002-2003_Category Template_Actuals_Biscuits Actual Results P02 2" xfId="1743"/>
    <cellStyle name="_Column4_Book Budget 2002-2003_Category Template_Actuals_Biscuits Actual Results P02_Category Template_Actuals" xfId="1744"/>
    <cellStyle name="_Column4_Book Budget 2002-2003_Category Template_Actuals_Biscuits Actual Results P02_Category Template_Actuals_Biscuits Actual Results P04" xfId="1745"/>
    <cellStyle name="_Column4_Book Budget 2002-2003_Category Template_Actuals_Biscuits Actual Results P02_Category Template_Actuals_P&amp;L P06 AFH AC US" xfId="1746"/>
    <cellStyle name="_Column4_Book Budget 2002-2003_Category Template_Actuals_Biscuits Actual Results P02_P&amp;L" xfId="1747"/>
    <cellStyle name="_Column4_Book Budget 2002-2003_Category Template_Actuals_Biscuits Actual Results P02_P&amp;L_P&amp;L KFE" xfId="1748"/>
    <cellStyle name="_Column4_Book Budget 2002-2003_Category Template_Actuals_Biscuits Actual Results P02_P&amp;L_Sheet3" xfId="1749"/>
    <cellStyle name="_Column4_Book Budget 2002-2003_Category Template_Actuals_Biscuits Actual Results P02_VRAN YTD" xfId="1750"/>
    <cellStyle name="_Column4_Book Budget 2002-2003_Category Template_Actuals_Biscuits Actual Results P04" xfId="1751"/>
    <cellStyle name="_Column4_Book Budget 2002-2003_Category Template_Actuals_P&amp;L" xfId="1752"/>
    <cellStyle name="_Column4_Book Budget 2002-2003_Category Template_Actuals_P&amp;L P06 AFH AC US" xfId="1753"/>
    <cellStyle name="_Column4_Book Budget 2002-2003_Category Template_Actuals_P&amp;L_P&amp;L KFE" xfId="1754"/>
    <cellStyle name="_Column4_Book Budget 2002-2003_Category Template_Actuals_P&amp;L_Sheet3" xfId="1755"/>
    <cellStyle name="_Column4_Book Budget 2002-2003_KFE Category PnL template_Combined_P03 (2)" xfId="1756"/>
    <cellStyle name="_Column4_Book Budget 2002-2003_KFE Category PnL template_Combined_P03 (2)_P&amp;L KFE" xfId="1757"/>
    <cellStyle name="_Column4_Book Budget 2002-2003_KFE Category PnL template_Combined_P03 (2)_Sheet3" xfId="1758"/>
    <cellStyle name="_Column4_Book Budget 2002-2003_KFE Category PnL template_Kraft Legacy (2)" xfId="1759"/>
    <cellStyle name="_Column4_Book Budget 2002-2003_KFE Category PnL template_Kraft Legacy (2)_P&amp;L KFE" xfId="1760"/>
    <cellStyle name="_Column4_Book Budget 2002-2003_KFE Category PnL template_Kraft Legacy (2)_Sheet3" xfId="1761"/>
    <cellStyle name="_Column4_Book Budget 2002-2003_KFE Category PnL template_Kraft Legacy (4)" xfId="1762"/>
    <cellStyle name="_Column4_Book Budget 2002-2003_KFE Category PnL template_Kraft Legacy (4)_P&amp;L KFE" xfId="1763"/>
    <cellStyle name="_Column4_Book Budget 2002-2003_KFE Category PnL template_Kraft Legacy (4)_Sheet3" xfId="1764"/>
    <cellStyle name="_Column4_Book Budget 2002-2003_OI Bridge 0" xfId="1765"/>
    <cellStyle name="_Column4_Book Budget 2002-2003_OI Bridge 0_1" xfId="1766"/>
    <cellStyle name="_Column4_Book Budget 2002-2003_OI Bridge 1" xfId="1767"/>
    <cellStyle name="_Column4_Book Budget 2002-2003_P&amp;L" xfId="1768"/>
    <cellStyle name="_Column4_Book Budget 2002-2003_P&amp;L_P&amp;L KFE" xfId="1769"/>
    <cellStyle name="_Column4_Book Budget 2002-2003_P&amp;L_Sheet3" xfId="1770"/>
    <cellStyle name="_Column4_Book Budget 2002-2003_Sheet1" xfId="1771"/>
    <cellStyle name="_Column4_Book Budget 2002-2003_VRAN YTD" xfId="1772"/>
    <cellStyle name="_Column4_Book Budget 2002-2003_VRAN YTD 2" xfId="1773"/>
    <cellStyle name="_Column4_Book Budget 2002-2003_VRAN YTD_Biscuits Actual Results P01" xfId="1774"/>
    <cellStyle name="_Column4_Book Budget 2002-2003_VRAN YTD_Biscuits Actual Results P01 2" xfId="1775"/>
    <cellStyle name="_Column4_Book Budget 2002-2003_VRAN YTD_Biscuits Actual Results P01_Category Template_Actuals" xfId="1776"/>
    <cellStyle name="_Column4_Book Budget 2002-2003_VRAN YTD_Biscuits Actual Results P01_Category Template_Actuals 2" xfId="1777"/>
    <cellStyle name="_Column4_Book Budget 2002-2003_VRAN YTD_Biscuits Actual Results P01_Category Template_Actuals_Biscuits Actual Results P02" xfId="1778"/>
    <cellStyle name="_Column4_Book Budget 2002-2003_VRAN YTD_Biscuits Actual Results P01_Category Template_Actuals_Biscuits Actual Results P02 2" xfId="1779"/>
    <cellStyle name="_Column4_Book Budget 2002-2003_VRAN YTD_Biscuits Actual Results P01_Category Template_Actuals_Biscuits Actual Results P02_Category Template_Actuals" xfId="1780"/>
    <cellStyle name="_Column4_Book Budget 2002-2003_VRAN YTD_Biscuits Actual Results P01_Category Template_Actuals_Biscuits Actual Results P02_Category Template_Actuals_Biscuits Actual Results P04" xfId="1781"/>
    <cellStyle name="_Column4_Book Budget 2002-2003_VRAN YTD_Biscuits Actual Results P01_Category Template_Actuals_Biscuits Actual Results P02_Category Template_Actuals_P&amp;L P06 AFH AC US" xfId="1782"/>
    <cellStyle name="_Column4_Book Budget 2002-2003_VRAN YTD_Biscuits Actual Results P01_Category Template_Actuals_Biscuits Actual Results P02_P&amp;L" xfId="1783"/>
    <cellStyle name="_Column4_Book Budget 2002-2003_VRAN YTD_Biscuits Actual Results P01_Category Template_Actuals_Biscuits Actual Results P02_P&amp;L_P&amp;L KFE" xfId="1784"/>
    <cellStyle name="_Column4_Book Budget 2002-2003_VRAN YTD_Biscuits Actual Results P01_Category Template_Actuals_Biscuits Actual Results P02_P&amp;L_Sheet3" xfId="1785"/>
    <cellStyle name="_Column4_Book Budget 2002-2003_VRAN YTD_Biscuits Actual Results P01_Category Template_Actuals_Biscuits Actual Results P02_VRAN YTD" xfId="1786"/>
    <cellStyle name="_Column4_Book Budget 2002-2003_VRAN YTD_Biscuits Actual Results P01_Category Template_Actuals_Biscuits Actual Results P04" xfId="1787"/>
    <cellStyle name="_Column4_Book Budget 2002-2003_VRAN YTD_Biscuits Actual Results P01_Category Template_Actuals_P&amp;L" xfId="1788"/>
    <cellStyle name="_Column4_Book Budget 2002-2003_VRAN YTD_Biscuits Actual Results P01_Category Template_Actuals_P&amp;L P06 AFH AC US" xfId="1789"/>
    <cellStyle name="_Column4_Book Budget 2002-2003_VRAN YTD_Biscuits Actual Results P01_Category Template_Actuals_P&amp;L_P&amp;L KFE" xfId="1790"/>
    <cellStyle name="_Column4_Book Budget 2002-2003_VRAN YTD_Biscuits Actual Results P01_Category Template_Actuals_P&amp;L_Sheet3" xfId="1791"/>
    <cellStyle name="_Column4_Book Budget 2002-2003_VRAN YTD_Biscuits Actual Results P01_P&amp;L" xfId="1792"/>
    <cellStyle name="_Column4_Book Budget 2002-2003_VRAN YTD_Biscuits Actual Results P01_P&amp;L_P&amp;L KFE" xfId="1793"/>
    <cellStyle name="_Column4_Book Budget 2002-2003_VRAN YTD_Biscuits Actual Results P01_P&amp;L_Sheet3" xfId="1794"/>
    <cellStyle name="_Column4_Book Budget 2002-2003_VRAN YTD_Biscuits Actual Results P01_VRAN YTD" xfId="1795"/>
    <cellStyle name="_Column4_Book Budget 2002-2003_VRAN YTD_Biscuits Actual Results P02" xfId="1796"/>
    <cellStyle name="_Column4_Book Budget 2002-2003_VRAN YTD_Biscuits Actual Results P02 2" xfId="1797"/>
    <cellStyle name="_Column4_Book Budget 2002-2003_VRAN YTD_Biscuits Actual Results P02_Category Template_Actuals" xfId="1798"/>
    <cellStyle name="_Column4_Book Budget 2002-2003_VRAN YTD_Biscuits Actual Results P02_Category Template_Actuals_Biscuits Actual Results P04" xfId="1799"/>
    <cellStyle name="_Column4_Book Budget 2002-2003_VRAN YTD_Biscuits Actual Results P02_Category Template_Actuals_P&amp;L P06 AFH AC US" xfId="1800"/>
    <cellStyle name="_Column4_Book Budget 2002-2003_VRAN YTD_Biscuits Actual Results P02_P&amp;L" xfId="1801"/>
    <cellStyle name="_Column4_Book Budget 2002-2003_VRAN YTD_Biscuits Actual Results P02_P&amp;L_P&amp;L KFE" xfId="1802"/>
    <cellStyle name="_Column4_Book Budget 2002-2003_VRAN YTD_Biscuits Actual Results P02_P&amp;L_Sheet3" xfId="1803"/>
    <cellStyle name="_Column4_Book Budget 2002-2003_VRAN YTD_Biscuits Actual Results P02_VRAN YTD" xfId="1804"/>
    <cellStyle name="_Column4_Book Budget 2002-2003_VRAN YTD_Biscuits Actual Results P04" xfId="1805"/>
    <cellStyle name="_Column4_Book Budget 2002-2003_VRAN YTD_Biscuits Actual Results P1 BIS" xfId="1806"/>
    <cellStyle name="_Column4_Book Budget 2002-2003_VRAN YTD_Biscuits Actual Results P1 BIS 2" xfId="1807"/>
    <cellStyle name="_Column4_Book Budget 2002-2003_VRAN YTD_Biscuits Actual Results P1 BIS_Category Template_Actuals" xfId="1808"/>
    <cellStyle name="_Column4_Book Budget 2002-2003_VRAN YTD_Biscuits Actual Results P1 BIS_Category Template_Actuals_Biscuits Actual Results P04" xfId="1809"/>
    <cellStyle name="_Column4_Book Budget 2002-2003_VRAN YTD_Biscuits Actual Results P1 BIS_Category Template_Actuals_P&amp;L P06 AFH AC US" xfId="1810"/>
    <cellStyle name="_Column4_Book Budget 2002-2003_VRAN YTD_Biscuits Actual Results P1 BIS_P&amp;L" xfId="1811"/>
    <cellStyle name="_Column4_Book Budget 2002-2003_VRAN YTD_Biscuits Actual Results P1 BIS_P&amp;L_P&amp;L KFE" xfId="1812"/>
    <cellStyle name="_Column4_Book Budget 2002-2003_VRAN YTD_Biscuits Actual Results P1 BIS_P&amp;L_Sheet3" xfId="1813"/>
    <cellStyle name="_Column4_Book Budget 2002-2003_VRAN YTD_Biscuits Actual Results P1 BIS_VRAN YTD" xfId="1814"/>
    <cellStyle name="_Column4_Book Budget 2002-2003_VRAN YTD_Biscuits Actual Results P12 161210" xfId="1815"/>
    <cellStyle name="_Column4_Book Budget 2002-2003_VRAN YTD_Biscuits Actual Results P12 161210 2" xfId="1816"/>
    <cellStyle name="_Column4_Book Budget 2002-2003_VRAN YTD_Biscuits Actual Results P12 161210_Category Template_Actuals" xfId="1817"/>
    <cellStyle name="_Column4_Book Budget 2002-2003_VRAN YTD_Biscuits Actual Results P12 161210_Category Template_Actuals 2" xfId="1818"/>
    <cellStyle name="_Column4_Book Budget 2002-2003_VRAN YTD_Biscuits Actual Results P12 161210_Category Template_Actuals_Biscuits Actual Results P02" xfId="1819"/>
    <cellStyle name="_Column4_Book Budget 2002-2003_VRAN YTD_Biscuits Actual Results P12 161210_Category Template_Actuals_Biscuits Actual Results P02 2" xfId="1820"/>
    <cellStyle name="_Column4_Book Budget 2002-2003_VRAN YTD_Biscuits Actual Results P12 161210_Category Template_Actuals_Biscuits Actual Results P02_Category Template_Actuals" xfId="1821"/>
    <cellStyle name="_Column4_Book Budget 2002-2003_VRAN YTD_Biscuits Actual Results P12 161210_Category Template_Actuals_Biscuits Actual Results P02_Category Template_Actuals_Biscuits Actual Results P04" xfId="1822"/>
    <cellStyle name="_Column4_Book Budget 2002-2003_VRAN YTD_Biscuits Actual Results P12 161210_Category Template_Actuals_Biscuits Actual Results P02_Category Template_Actuals_P&amp;L P06 AFH AC US" xfId="1823"/>
    <cellStyle name="_Column4_Book Budget 2002-2003_VRAN YTD_Biscuits Actual Results P12 161210_Category Template_Actuals_Biscuits Actual Results P02_P&amp;L" xfId="1824"/>
    <cellStyle name="_Column4_Book Budget 2002-2003_VRAN YTD_Biscuits Actual Results P12 161210_Category Template_Actuals_Biscuits Actual Results P02_P&amp;L_P&amp;L KFE" xfId="1825"/>
    <cellStyle name="_Column4_Book Budget 2002-2003_VRAN YTD_Biscuits Actual Results P12 161210_Category Template_Actuals_Biscuits Actual Results P02_P&amp;L_Sheet3" xfId="1826"/>
    <cellStyle name="_Column4_Book Budget 2002-2003_VRAN YTD_Biscuits Actual Results P12 161210_Category Template_Actuals_Biscuits Actual Results P02_VRAN YTD" xfId="1827"/>
    <cellStyle name="_Column4_Book Budget 2002-2003_VRAN YTD_Biscuits Actual Results P12 161210_Category Template_Actuals_Biscuits Actual Results P04" xfId="1828"/>
    <cellStyle name="_Column4_Book Budget 2002-2003_VRAN YTD_Biscuits Actual Results P12 161210_Category Template_Actuals_P&amp;L" xfId="1829"/>
    <cellStyle name="_Column4_Book Budget 2002-2003_VRAN YTD_Biscuits Actual Results P12 161210_Category Template_Actuals_P&amp;L P06 AFH AC US" xfId="1830"/>
    <cellStyle name="_Column4_Book Budget 2002-2003_VRAN YTD_Biscuits Actual Results P12 161210_Category Template_Actuals_P&amp;L_P&amp;L KFE" xfId="1831"/>
    <cellStyle name="_Column4_Book Budget 2002-2003_VRAN YTD_Biscuits Actual Results P12 161210_Category Template_Actuals_P&amp;L_Sheet3" xfId="1832"/>
    <cellStyle name="_Column4_Book Budget 2002-2003_VRAN YTD_Biscuits Actual Results P12 161210_P&amp;L" xfId="1833"/>
    <cellStyle name="_Column4_Book Budget 2002-2003_VRAN YTD_Biscuits Actual Results P12 161210_P&amp;L_P&amp;L KFE" xfId="1834"/>
    <cellStyle name="_Column4_Book Budget 2002-2003_VRAN YTD_Biscuits Actual Results P12 161210_P&amp;L_Sheet3" xfId="1835"/>
    <cellStyle name="_Column4_Book Budget 2002-2003_VRAN YTD_Biscuits Actual Results P12 161210_VRAN YTD" xfId="1836"/>
    <cellStyle name="_Column4_Book Budget 2002-2003_VRAN YTD_P&amp;L" xfId="1837"/>
    <cellStyle name="_Column4_Book Budget 2002-2003_VRAN YTD_P&amp;L P06 AFH AC US" xfId="1838"/>
    <cellStyle name="_Column4_Book Budget 2002-2003_VRAN YTD_P&amp;L_P&amp;L KFE" xfId="1839"/>
    <cellStyle name="_Column4_Book Budget 2002-2003_VRAN YTD_P&amp;L_Sheet3" xfId="1840"/>
    <cellStyle name="_Column4_Book Budget 2002-2003_WP_AC11 P&amp;L LFL 27.10.10" xfId="1841"/>
    <cellStyle name="_Column4_Category PnL" xfId="1842"/>
    <cellStyle name="_Column4_Category PnL 2" xfId="1843"/>
    <cellStyle name="_Column4_Category PnL_P&amp;L KFE" xfId="1844"/>
    <cellStyle name="_Column4_Category PnL_Sheet3" xfId="1845"/>
    <cellStyle name="_Column4_Category Targets 2011_1.2" xfId="1846"/>
    <cellStyle name="_Column4_Category Template_Actuals" xfId="1847"/>
    <cellStyle name="_Column4_Category Template_Actuals 2" xfId="1848"/>
    <cellStyle name="_Column4_Category Template_Actuals NEW" xfId="1849"/>
    <cellStyle name="_Column4_Category Template_Actuals NEW 2" xfId="1850"/>
    <cellStyle name="_Column4_Category Template_Actuals NEW_Biscuits Actual Results P01" xfId="1851"/>
    <cellStyle name="_Column4_Category Template_Actuals NEW_Biscuits Actual Results P01 2" xfId="1852"/>
    <cellStyle name="_Column4_Category Template_Actuals NEW_Biscuits Actual Results P01_Category Template_Actuals" xfId="1853"/>
    <cellStyle name="_Column4_Category Template_Actuals NEW_Biscuits Actual Results P01_Category Template_Actuals 2" xfId="1854"/>
    <cellStyle name="_Column4_Category Template_Actuals NEW_Biscuits Actual Results P01_Category Template_Actuals_Biscuits Actual Results P02" xfId="1855"/>
    <cellStyle name="_Column4_Category Template_Actuals NEW_Biscuits Actual Results P01_Category Template_Actuals_Biscuits Actual Results P02 2" xfId="1856"/>
    <cellStyle name="_Column4_Category Template_Actuals NEW_Biscuits Actual Results P01_Category Template_Actuals_Biscuits Actual Results P02_Category Template_Actuals" xfId="1857"/>
    <cellStyle name="_Column4_Category Template_Actuals NEW_Biscuits Actual Results P01_Category Template_Actuals_Biscuits Actual Results P02_Category Template_Actuals_Biscuits Actual Results P04" xfId="1858"/>
    <cellStyle name="_Column4_Category Template_Actuals NEW_Biscuits Actual Results P01_Category Template_Actuals_Biscuits Actual Results P02_Category Template_Actuals_P&amp;L P06 AFH AC US" xfId="1859"/>
    <cellStyle name="_Column4_Category Template_Actuals NEW_Biscuits Actual Results P01_Category Template_Actuals_Biscuits Actual Results P02_P&amp;L" xfId="1860"/>
    <cellStyle name="_Column4_Category Template_Actuals NEW_Biscuits Actual Results P01_Category Template_Actuals_Biscuits Actual Results P02_P&amp;L_P&amp;L KFE" xfId="1861"/>
    <cellStyle name="_Column4_Category Template_Actuals NEW_Biscuits Actual Results P01_Category Template_Actuals_Biscuits Actual Results P02_P&amp;L_Sheet3" xfId="1862"/>
    <cellStyle name="_Column4_Category Template_Actuals NEW_Biscuits Actual Results P01_Category Template_Actuals_Biscuits Actual Results P02_VRAN YTD" xfId="1863"/>
    <cellStyle name="_Column4_Category Template_Actuals NEW_Biscuits Actual Results P01_Category Template_Actuals_Biscuits Actual Results P04" xfId="1864"/>
    <cellStyle name="_Column4_Category Template_Actuals NEW_Biscuits Actual Results P01_Category Template_Actuals_P&amp;L" xfId="1865"/>
    <cellStyle name="_Column4_Category Template_Actuals NEW_Biscuits Actual Results P01_Category Template_Actuals_P&amp;L P06 AFH AC US" xfId="1866"/>
    <cellStyle name="_Column4_Category Template_Actuals NEW_Biscuits Actual Results P01_Category Template_Actuals_P&amp;L_P&amp;L KFE" xfId="1867"/>
    <cellStyle name="_Column4_Category Template_Actuals NEW_Biscuits Actual Results P01_Category Template_Actuals_P&amp;L_Sheet3" xfId="1868"/>
    <cellStyle name="_Column4_Category Template_Actuals NEW_Biscuits Actual Results P01_P&amp;L" xfId="1869"/>
    <cellStyle name="_Column4_Category Template_Actuals NEW_Biscuits Actual Results P01_P&amp;L_P&amp;L KFE" xfId="1870"/>
    <cellStyle name="_Column4_Category Template_Actuals NEW_Biscuits Actual Results P01_P&amp;L_Sheet3" xfId="1871"/>
    <cellStyle name="_Column4_Category Template_Actuals NEW_Biscuits Actual Results P01_VRAN YTD" xfId="1872"/>
    <cellStyle name="_Column4_Category Template_Actuals NEW_Biscuits Actual Results P02" xfId="1873"/>
    <cellStyle name="_Column4_Category Template_Actuals NEW_Biscuits Actual Results P02 2" xfId="1874"/>
    <cellStyle name="_Column4_Category Template_Actuals NEW_Biscuits Actual Results P02_Category Template_Actuals" xfId="1875"/>
    <cellStyle name="_Column4_Category Template_Actuals NEW_Biscuits Actual Results P02_Category Template_Actuals_Biscuits Actual Results P04" xfId="1876"/>
    <cellStyle name="_Column4_Category Template_Actuals NEW_Biscuits Actual Results P02_Category Template_Actuals_P&amp;L P06 AFH AC US" xfId="1877"/>
    <cellStyle name="_Column4_Category Template_Actuals NEW_Biscuits Actual Results P02_P&amp;L" xfId="1878"/>
    <cellStyle name="_Column4_Category Template_Actuals NEW_Biscuits Actual Results P02_P&amp;L_P&amp;L KFE" xfId="1879"/>
    <cellStyle name="_Column4_Category Template_Actuals NEW_Biscuits Actual Results P02_P&amp;L_Sheet3" xfId="1880"/>
    <cellStyle name="_Column4_Category Template_Actuals NEW_Biscuits Actual Results P02_VRAN YTD" xfId="1881"/>
    <cellStyle name="_Column4_Category Template_Actuals NEW_Biscuits Actual Results P04" xfId="1882"/>
    <cellStyle name="_Column4_Category Template_Actuals NEW_Biscuits Actual Results P1 BIS" xfId="1883"/>
    <cellStyle name="_Column4_Category Template_Actuals NEW_Biscuits Actual Results P1 BIS 2" xfId="1884"/>
    <cellStyle name="_Column4_Category Template_Actuals NEW_Biscuits Actual Results P1 BIS_Category Template_Actuals" xfId="1885"/>
    <cellStyle name="_Column4_Category Template_Actuals NEW_Biscuits Actual Results P1 BIS_Category Template_Actuals_Biscuits Actual Results P04" xfId="1886"/>
    <cellStyle name="_Column4_Category Template_Actuals NEW_Biscuits Actual Results P1 BIS_Category Template_Actuals_P&amp;L P06 AFH AC US" xfId="1887"/>
    <cellStyle name="_Column4_Category Template_Actuals NEW_Biscuits Actual Results P1 BIS_P&amp;L" xfId="1888"/>
    <cellStyle name="_Column4_Category Template_Actuals NEW_Biscuits Actual Results P1 BIS_P&amp;L_P&amp;L KFE" xfId="1889"/>
    <cellStyle name="_Column4_Category Template_Actuals NEW_Biscuits Actual Results P1 BIS_P&amp;L_Sheet3" xfId="1890"/>
    <cellStyle name="_Column4_Category Template_Actuals NEW_Biscuits Actual Results P1 BIS_VRAN YTD" xfId="1891"/>
    <cellStyle name="_Column4_Category Template_Actuals NEW_Biscuits Actual Results P12 161210" xfId="1892"/>
    <cellStyle name="_Column4_Category Template_Actuals NEW_Biscuits Actual Results P12 161210 2" xfId="1893"/>
    <cellStyle name="_Column4_Category Template_Actuals NEW_Biscuits Actual Results P12 161210_Category Template_Actuals" xfId="1894"/>
    <cellStyle name="_Column4_Category Template_Actuals NEW_Biscuits Actual Results P12 161210_Category Template_Actuals 2" xfId="1895"/>
    <cellStyle name="_Column4_Category Template_Actuals NEW_Biscuits Actual Results P12 161210_Category Template_Actuals_Biscuits Actual Results P02" xfId="1896"/>
    <cellStyle name="_Column4_Category Template_Actuals NEW_Biscuits Actual Results P12 161210_Category Template_Actuals_Biscuits Actual Results P02 2" xfId="1897"/>
    <cellStyle name="_Column4_Category Template_Actuals NEW_Biscuits Actual Results P12 161210_Category Template_Actuals_Biscuits Actual Results P02_Category Template_Actuals" xfId="1898"/>
    <cellStyle name="_Column4_Category Template_Actuals NEW_Biscuits Actual Results P12 161210_Category Template_Actuals_Biscuits Actual Results P02_Category Template_Actuals_Biscuits Actual Results P04" xfId="1899"/>
    <cellStyle name="_Column4_Category Template_Actuals NEW_Biscuits Actual Results P12 161210_Category Template_Actuals_Biscuits Actual Results P02_Category Template_Actuals_P&amp;L P06 AFH AC US" xfId="1900"/>
    <cellStyle name="_Column4_Category Template_Actuals NEW_Biscuits Actual Results P12 161210_Category Template_Actuals_Biscuits Actual Results P02_P&amp;L" xfId="1901"/>
    <cellStyle name="_Column4_Category Template_Actuals NEW_Biscuits Actual Results P12 161210_Category Template_Actuals_Biscuits Actual Results P02_P&amp;L_P&amp;L KFE" xfId="1902"/>
    <cellStyle name="_Column4_Category Template_Actuals NEW_Biscuits Actual Results P12 161210_Category Template_Actuals_Biscuits Actual Results P02_P&amp;L_Sheet3" xfId="1903"/>
    <cellStyle name="_Column4_Category Template_Actuals NEW_Biscuits Actual Results P12 161210_Category Template_Actuals_Biscuits Actual Results P02_VRAN YTD" xfId="1904"/>
    <cellStyle name="_Column4_Category Template_Actuals NEW_Biscuits Actual Results P12 161210_Category Template_Actuals_Biscuits Actual Results P04" xfId="1905"/>
    <cellStyle name="_Column4_Category Template_Actuals NEW_Biscuits Actual Results P12 161210_Category Template_Actuals_P&amp;L" xfId="1906"/>
    <cellStyle name="_Column4_Category Template_Actuals NEW_Biscuits Actual Results P12 161210_Category Template_Actuals_P&amp;L P06 AFH AC US" xfId="1907"/>
    <cellStyle name="_Column4_Category Template_Actuals NEW_Biscuits Actual Results P12 161210_Category Template_Actuals_P&amp;L_P&amp;L KFE" xfId="1908"/>
    <cellStyle name="_Column4_Category Template_Actuals NEW_Biscuits Actual Results P12 161210_Category Template_Actuals_P&amp;L_Sheet3" xfId="1909"/>
    <cellStyle name="_Column4_Category Template_Actuals NEW_Biscuits Actual Results P12 161210_P&amp;L" xfId="1910"/>
    <cellStyle name="_Column4_Category Template_Actuals NEW_Biscuits Actual Results P12 161210_P&amp;L_P&amp;L KFE" xfId="1911"/>
    <cellStyle name="_Column4_Category Template_Actuals NEW_Biscuits Actual Results P12 161210_P&amp;L_Sheet3" xfId="1912"/>
    <cellStyle name="_Column4_Category Template_Actuals NEW_Biscuits Actual Results P12 161210_VRAN YTD" xfId="1913"/>
    <cellStyle name="_Column4_Category Template_Actuals NEW_P&amp;L" xfId="1914"/>
    <cellStyle name="_Column4_Category Template_Actuals NEW_P&amp;L P06 AFH AC US" xfId="1915"/>
    <cellStyle name="_Column4_Category Template_Actuals NEW_P&amp;L_P&amp;L KFE" xfId="1916"/>
    <cellStyle name="_Column4_Category Template_Actuals NEW_P&amp;L_Sheet3" xfId="1917"/>
    <cellStyle name="_Column4_Category Template_Actuals_Biscuits Actual Results P02" xfId="1918"/>
    <cellStyle name="_Column4_Category Template_Actuals_Biscuits Actual Results P02 2" xfId="1919"/>
    <cellStyle name="_Column4_Category Template_Actuals_Biscuits Actual Results P02_Category Template_Actuals" xfId="1920"/>
    <cellStyle name="_Column4_Category Template_Actuals_Biscuits Actual Results P02_Category Template_Actuals_Biscuits Actual Results P04" xfId="1921"/>
    <cellStyle name="_Column4_Category Template_Actuals_Biscuits Actual Results P02_Category Template_Actuals_P&amp;L P06 AFH AC US" xfId="1922"/>
    <cellStyle name="_Column4_Category Template_Actuals_Biscuits Actual Results P02_P&amp;L" xfId="1923"/>
    <cellStyle name="_Column4_Category Template_Actuals_Biscuits Actual Results P02_P&amp;L_P&amp;L KFE" xfId="1924"/>
    <cellStyle name="_Column4_Category Template_Actuals_Biscuits Actual Results P02_P&amp;L_Sheet3" xfId="1925"/>
    <cellStyle name="_Column4_Category Template_Actuals_Biscuits Actual Results P02_VRAN YTD" xfId="1926"/>
    <cellStyle name="_Column4_Category Template_Actuals_Biscuits Actual Results P04" xfId="1927"/>
    <cellStyle name="_Column4_Category Template_Actuals_P&amp;L" xfId="1928"/>
    <cellStyle name="_Column4_Category Template_Actuals_P&amp;L P06 AFH AC US" xfId="1929"/>
    <cellStyle name="_Column4_Category Template_Actuals_P&amp;L_P&amp;L KFE" xfId="1930"/>
    <cellStyle name="_Column4_Category Template_Actuals_P&amp;L_Sheet3" xfId="1931"/>
    <cellStyle name="_Column4_KFE Category PnL template_Combined_P03 (2)" xfId="1932"/>
    <cellStyle name="_Column4_KFE Category PnL template_Combined_P03 (2)_P&amp;L KFE" xfId="1933"/>
    <cellStyle name="_Column4_KFE Category PnL template_Combined_P03 (2)_Sheet3" xfId="1934"/>
    <cellStyle name="_Column4_KFE Category PnL template_Kraft Legacy (2)" xfId="1935"/>
    <cellStyle name="_Column4_KFE Category PnL template_Kraft Legacy (2)_P&amp;L KFE" xfId="1936"/>
    <cellStyle name="_Column4_KFE Category PnL template_Kraft Legacy (2)_Sheet3" xfId="1937"/>
    <cellStyle name="_Column4_KFE Category PnL template_Kraft Legacy (4)" xfId="1938"/>
    <cellStyle name="_Column4_KFE Category PnL template_Kraft Legacy (4)_P&amp;L KFE" xfId="1939"/>
    <cellStyle name="_Column4_KFE Category PnL template_Kraft Legacy (4)_Sheet3" xfId="1940"/>
    <cellStyle name="_Column4_OI Bridge 0" xfId="1941"/>
    <cellStyle name="_Column4_OI Bridge 0_1" xfId="1942"/>
    <cellStyle name="_Column4_OI Bridge 1" xfId="1943"/>
    <cellStyle name="_Column4_P&amp;L" xfId="1944"/>
    <cellStyle name="_Column4_P&amp;L_P&amp;L KFE" xfId="1945"/>
    <cellStyle name="_Column4_P&amp;L_Sheet3" xfId="1946"/>
    <cellStyle name="_Column4_Sheet1" xfId="1947"/>
    <cellStyle name="_Column4_VRAN YTD" xfId="1948"/>
    <cellStyle name="_Column4_VRAN YTD 2" xfId="1949"/>
    <cellStyle name="_Column4_VRAN YTD_Biscuits Actual Results P01" xfId="1950"/>
    <cellStyle name="_Column4_VRAN YTD_Biscuits Actual Results P01 2" xfId="1951"/>
    <cellStyle name="_Column4_VRAN YTD_Biscuits Actual Results P01_Category Template_Actuals" xfId="1952"/>
    <cellStyle name="_Column4_VRAN YTD_Biscuits Actual Results P01_Category Template_Actuals 2" xfId="1953"/>
    <cellStyle name="_Column4_VRAN YTD_Biscuits Actual Results P01_Category Template_Actuals_Biscuits Actual Results P02" xfId="1954"/>
    <cellStyle name="_Column4_VRAN YTD_Biscuits Actual Results P01_Category Template_Actuals_Biscuits Actual Results P02 2" xfId="1955"/>
    <cellStyle name="_Column4_VRAN YTD_Biscuits Actual Results P01_Category Template_Actuals_Biscuits Actual Results P02_Category Template_Actuals" xfId="1956"/>
    <cellStyle name="_Column4_VRAN YTD_Biscuits Actual Results P01_Category Template_Actuals_Biscuits Actual Results P02_Category Template_Actuals_Biscuits Actual Results P04" xfId="1957"/>
    <cellStyle name="_Column4_VRAN YTD_Biscuits Actual Results P01_Category Template_Actuals_Biscuits Actual Results P02_Category Template_Actuals_P&amp;L P06 AFH AC US" xfId="1958"/>
    <cellStyle name="_Column4_VRAN YTD_Biscuits Actual Results P01_Category Template_Actuals_Biscuits Actual Results P02_P&amp;L" xfId="1959"/>
    <cellStyle name="_Column4_VRAN YTD_Biscuits Actual Results P01_Category Template_Actuals_Biscuits Actual Results P02_P&amp;L_P&amp;L KFE" xfId="1960"/>
    <cellStyle name="_Column4_VRAN YTD_Biscuits Actual Results P01_Category Template_Actuals_Biscuits Actual Results P02_P&amp;L_Sheet3" xfId="1961"/>
    <cellStyle name="_Column4_VRAN YTD_Biscuits Actual Results P01_Category Template_Actuals_Biscuits Actual Results P02_VRAN YTD" xfId="1962"/>
    <cellStyle name="_Column4_VRAN YTD_Biscuits Actual Results P01_Category Template_Actuals_Biscuits Actual Results P04" xfId="1963"/>
    <cellStyle name="_Column4_VRAN YTD_Biscuits Actual Results P01_Category Template_Actuals_P&amp;L" xfId="1964"/>
    <cellStyle name="_Column4_VRAN YTD_Biscuits Actual Results P01_Category Template_Actuals_P&amp;L P06 AFH AC US" xfId="1965"/>
    <cellStyle name="_Column4_VRAN YTD_Biscuits Actual Results P01_Category Template_Actuals_P&amp;L_P&amp;L KFE" xfId="1966"/>
    <cellStyle name="_Column4_VRAN YTD_Biscuits Actual Results P01_Category Template_Actuals_P&amp;L_Sheet3" xfId="1967"/>
    <cellStyle name="_Column4_VRAN YTD_Biscuits Actual Results P01_P&amp;L" xfId="1968"/>
    <cellStyle name="_Column4_VRAN YTD_Biscuits Actual Results P01_P&amp;L_P&amp;L KFE" xfId="1969"/>
    <cellStyle name="_Column4_VRAN YTD_Biscuits Actual Results P01_P&amp;L_Sheet3" xfId="1970"/>
    <cellStyle name="_Column4_VRAN YTD_Biscuits Actual Results P01_VRAN YTD" xfId="1971"/>
    <cellStyle name="_Column4_VRAN YTD_Biscuits Actual Results P02" xfId="1972"/>
    <cellStyle name="_Column4_VRAN YTD_Biscuits Actual Results P02 2" xfId="1973"/>
    <cellStyle name="_Column4_VRAN YTD_Biscuits Actual Results P02_Category Template_Actuals" xfId="1974"/>
    <cellStyle name="_Column4_VRAN YTD_Biscuits Actual Results P02_Category Template_Actuals_Biscuits Actual Results P04" xfId="1975"/>
    <cellStyle name="_Column4_VRAN YTD_Biscuits Actual Results P02_Category Template_Actuals_P&amp;L P06 AFH AC US" xfId="1976"/>
    <cellStyle name="_Column4_VRAN YTD_Biscuits Actual Results P02_P&amp;L" xfId="1977"/>
    <cellStyle name="_Column4_VRAN YTD_Biscuits Actual Results P02_P&amp;L_P&amp;L KFE" xfId="1978"/>
    <cellStyle name="_Column4_VRAN YTD_Biscuits Actual Results P02_P&amp;L_Sheet3" xfId="1979"/>
    <cellStyle name="_Column4_VRAN YTD_Biscuits Actual Results P02_VRAN YTD" xfId="1980"/>
    <cellStyle name="_Column4_VRAN YTD_Biscuits Actual Results P04" xfId="1981"/>
    <cellStyle name="_Column4_VRAN YTD_Biscuits Actual Results P1 BIS" xfId="1982"/>
    <cellStyle name="_Column4_VRAN YTD_Biscuits Actual Results P1 BIS 2" xfId="1983"/>
    <cellStyle name="_Column4_VRAN YTD_Biscuits Actual Results P1 BIS_Category Template_Actuals" xfId="1984"/>
    <cellStyle name="_Column4_VRAN YTD_Biscuits Actual Results P1 BIS_Category Template_Actuals_Biscuits Actual Results P04" xfId="1985"/>
    <cellStyle name="_Column4_VRAN YTD_Biscuits Actual Results P1 BIS_Category Template_Actuals_P&amp;L P06 AFH AC US" xfId="1986"/>
    <cellStyle name="_Column4_VRAN YTD_Biscuits Actual Results P1 BIS_P&amp;L" xfId="1987"/>
    <cellStyle name="_Column4_VRAN YTD_Biscuits Actual Results P1 BIS_P&amp;L_P&amp;L KFE" xfId="1988"/>
    <cellStyle name="_Column4_VRAN YTD_Biscuits Actual Results P1 BIS_P&amp;L_Sheet3" xfId="1989"/>
    <cellStyle name="_Column4_VRAN YTD_Biscuits Actual Results P1 BIS_VRAN YTD" xfId="1990"/>
    <cellStyle name="_Column4_VRAN YTD_Biscuits Actual Results P12 161210" xfId="1991"/>
    <cellStyle name="_Column4_VRAN YTD_Biscuits Actual Results P12 161210 2" xfId="1992"/>
    <cellStyle name="_Column4_VRAN YTD_Biscuits Actual Results P12 161210_Category Template_Actuals" xfId="1993"/>
    <cellStyle name="_Column4_VRAN YTD_Biscuits Actual Results P12 161210_Category Template_Actuals 2" xfId="1994"/>
    <cellStyle name="_Column4_VRAN YTD_Biscuits Actual Results P12 161210_Category Template_Actuals_Biscuits Actual Results P02" xfId="1995"/>
    <cellStyle name="_Column4_VRAN YTD_Biscuits Actual Results P12 161210_Category Template_Actuals_Biscuits Actual Results P02 2" xfId="1996"/>
    <cellStyle name="_Column4_VRAN YTD_Biscuits Actual Results P12 161210_Category Template_Actuals_Biscuits Actual Results P02_Category Template_Actuals" xfId="1997"/>
    <cellStyle name="_Column4_VRAN YTD_Biscuits Actual Results P12 161210_Category Template_Actuals_Biscuits Actual Results P02_Category Template_Actuals_Biscuits Actual Results P04" xfId="1998"/>
    <cellStyle name="_Column4_VRAN YTD_Biscuits Actual Results P12 161210_Category Template_Actuals_Biscuits Actual Results P02_Category Template_Actuals_P&amp;L P06 AFH AC US" xfId="1999"/>
    <cellStyle name="_Column4_VRAN YTD_Biscuits Actual Results P12 161210_Category Template_Actuals_Biscuits Actual Results P02_P&amp;L" xfId="2000"/>
    <cellStyle name="_Column4_VRAN YTD_Biscuits Actual Results P12 161210_Category Template_Actuals_Biscuits Actual Results P02_P&amp;L_P&amp;L KFE" xfId="2001"/>
    <cellStyle name="_Column4_VRAN YTD_Biscuits Actual Results P12 161210_Category Template_Actuals_Biscuits Actual Results P02_P&amp;L_Sheet3" xfId="2002"/>
    <cellStyle name="_Column4_VRAN YTD_Biscuits Actual Results P12 161210_Category Template_Actuals_Biscuits Actual Results P02_VRAN YTD" xfId="2003"/>
    <cellStyle name="_Column4_VRAN YTD_Biscuits Actual Results P12 161210_Category Template_Actuals_Biscuits Actual Results P04" xfId="2004"/>
    <cellStyle name="_Column4_VRAN YTD_Biscuits Actual Results P12 161210_Category Template_Actuals_P&amp;L" xfId="2005"/>
    <cellStyle name="_Column4_VRAN YTD_Biscuits Actual Results P12 161210_Category Template_Actuals_P&amp;L P06 AFH AC US" xfId="2006"/>
    <cellStyle name="_Column4_VRAN YTD_Biscuits Actual Results P12 161210_Category Template_Actuals_P&amp;L_P&amp;L KFE" xfId="2007"/>
    <cellStyle name="_Column4_VRAN YTD_Biscuits Actual Results P12 161210_Category Template_Actuals_P&amp;L_Sheet3" xfId="2008"/>
    <cellStyle name="_Column4_VRAN YTD_Biscuits Actual Results P12 161210_P&amp;L" xfId="2009"/>
    <cellStyle name="_Column4_VRAN YTD_Biscuits Actual Results P12 161210_P&amp;L_P&amp;L KFE" xfId="2010"/>
    <cellStyle name="_Column4_VRAN YTD_Biscuits Actual Results P12 161210_P&amp;L_Sheet3" xfId="2011"/>
    <cellStyle name="_Column4_VRAN YTD_Biscuits Actual Results P12 161210_VRAN YTD" xfId="2012"/>
    <cellStyle name="_Column4_VRAN YTD_P&amp;L" xfId="2013"/>
    <cellStyle name="_Column4_VRAN YTD_P&amp;L P06 AFH AC US" xfId="2014"/>
    <cellStyle name="_Column4_VRAN YTD_P&amp;L_P&amp;L KFE" xfId="2015"/>
    <cellStyle name="_Column4_VRAN YTD_P&amp;L_Sheet3" xfId="2016"/>
    <cellStyle name="_Column4_WP_AC11 P&amp;L LFL 27.10.10" xfId="2017"/>
    <cellStyle name="_Column5" xfId="2018"/>
    <cellStyle name="_Column5 2" xfId="2019"/>
    <cellStyle name="_Column5 3" xfId="2020"/>
    <cellStyle name="_Column5 3_P&amp;L KFE" xfId="2021"/>
    <cellStyle name="_Column5 3_Sheet3" xfId="2022"/>
    <cellStyle name="_Column5 4" xfId="2023"/>
    <cellStyle name="_Column5__P09 - Key Drivers KBE" xfId="2024"/>
    <cellStyle name="_Column5__P09 - Key Drivers KBE 2" xfId="2025"/>
    <cellStyle name="_Column5__P10 - Key Drivers KBE" xfId="2026"/>
    <cellStyle name="_Column5__P10 - Key Drivers KBE 2" xfId="2027"/>
    <cellStyle name="_Column5_2011 Targets by category Aug 25" xfId="2028"/>
    <cellStyle name="_Column5_AC11 conso @Cst Fx" xfId="2029"/>
    <cellStyle name="_Column5_AC11 conso @Cst Fx 2" xfId="2030"/>
    <cellStyle name="_Column5_AC11 conso @Cst Fx after LFL restatement" xfId="2031"/>
    <cellStyle name="_Column5_AC11 conso @Cst Fx after LFL restatement 2" xfId="2032"/>
    <cellStyle name="_Column5_AC11 conso @Cst Fx after LFL restatement_P&amp;L KFE" xfId="2033"/>
    <cellStyle name="_Column5_AC11 conso @Cst Fx after LFL restatement_Sheet3" xfId="2034"/>
    <cellStyle name="_Column5_AC11 conso @Cst Fx_P&amp;L KFE" xfId="2035"/>
    <cellStyle name="_Column5_AC11 conso @Cst Fx_Sheet3" xfId="2036"/>
    <cellStyle name="_Column5_Category PnL" xfId="2037"/>
    <cellStyle name="_Column5_Category PnL 2" xfId="2038"/>
    <cellStyle name="_Column5_Category PnL_P&amp;L KFE" xfId="2039"/>
    <cellStyle name="_Column5_Category PnL_Sheet3" xfId="2040"/>
    <cellStyle name="_Column5_Category Targets 2011_1.2" xfId="2041"/>
    <cellStyle name="_Column5_Category Template_Actuals" xfId="2042"/>
    <cellStyle name="_Column5_Category Template_Actuals 2" xfId="2043"/>
    <cellStyle name="_Column5_Category Template_Actuals NEW" xfId="2044"/>
    <cellStyle name="_Column5_Category Template_Actuals NEW 2" xfId="2045"/>
    <cellStyle name="_Column5_Category Template_Actuals NEW_Biscuits Actual Results P01" xfId="2046"/>
    <cellStyle name="_Column5_Category Template_Actuals NEW_Biscuits Actual Results P01 2" xfId="2047"/>
    <cellStyle name="_Column5_Category Template_Actuals NEW_Biscuits Actual Results P01_Category Template_Actuals" xfId="2048"/>
    <cellStyle name="_Column5_Category Template_Actuals NEW_Biscuits Actual Results P01_Category Template_Actuals 2" xfId="2049"/>
    <cellStyle name="_Column5_Category Template_Actuals NEW_Biscuits Actual Results P01_Category Template_Actuals_Biscuits Actual Results P02" xfId="2050"/>
    <cellStyle name="_Column5_Category Template_Actuals NEW_Biscuits Actual Results P01_Category Template_Actuals_Biscuits Actual Results P02 2" xfId="2051"/>
    <cellStyle name="_Column5_Category Template_Actuals NEW_Biscuits Actual Results P01_Category Template_Actuals_Biscuits Actual Results P02_Category Template_Actuals" xfId="2052"/>
    <cellStyle name="_Column5_Category Template_Actuals NEW_Biscuits Actual Results P01_Category Template_Actuals_Biscuits Actual Results P02_Category Template_Actuals_Biscuits Actual Results P04" xfId="2053"/>
    <cellStyle name="_Column5_Category Template_Actuals NEW_Biscuits Actual Results P01_Category Template_Actuals_Biscuits Actual Results P02_Category Template_Actuals_P&amp;L P06 AFH AC US" xfId="2054"/>
    <cellStyle name="_Column5_Category Template_Actuals NEW_Biscuits Actual Results P01_Category Template_Actuals_Biscuits Actual Results P02_P&amp;L" xfId="2055"/>
    <cellStyle name="_Column5_Category Template_Actuals NEW_Biscuits Actual Results P01_Category Template_Actuals_Biscuits Actual Results P02_P&amp;L_P&amp;L KFE" xfId="2056"/>
    <cellStyle name="_Column5_Category Template_Actuals NEW_Biscuits Actual Results P01_Category Template_Actuals_Biscuits Actual Results P02_P&amp;L_Sheet3" xfId="2057"/>
    <cellStyle name="_Column5_Category Template_Actuals NEW_Biscuits Actual Results P01_Category Template_Actuals_Biscuits Actual Results P02_VRAN YTD" xfId="2058"/>
    <cellStyle name="_Column5_Category Template_Actuals NEW_Biscuits Actual Results P01_Category Template_Actuals_Biscuits Actual Results P04" xfId="2059"/>
    <cellStyle name="_Column5_Category Template_Actuals NEW_Biscuits Actual Results P01_Category Template_Actuals_P&amp;L" xfId="2060"/>
    <cellStyle name="_Column5_Category Template_Actuals NEW_Biscuits Actual Results P01_Category Template_Actuals_P&amp;L P06 AFH AC US" xfId="2061"/>
    <cellStyle name="_Column5_Category Template_Actuals NEW_Biscuits Actual Results P01_Category Template_Actuals_P&amp;L_P&amp;L KFE" xfId="2062"/>
    <cellStyle name="_Column5_Category Template_Actuals NEW_Biscuits Actual Results P01_Category Template_Actuals_P&amp;L_Sheet3" xfId="2063"/>
    <cellStyle name="_Column5_Category Template_Actuals NEW_Biscuits Actual Results P01_P&amp;L" xfId="2064"/>
    <cellStyle name="_Column5_Category Template_Actuals NEW_Biscuits Actual Results P01_P&amp;L_P&amp;L KFE" xfId="2065"/>
    <cellStyle name="_Column5_Category Template_Actuals NEW_Biscuits Actual Results P01_P&amp;L_Sheet3" xfId="2066"/>
    <cellStyle name="_Column5_Category Template_Actuals NEW_Biscuits Actual Results P01_VRAN YTD" xfId="2067"/>
    <cellStyle name="_Column5_Category Template_Actuals NEW_Biscuits Actual Results P02" xfId="2068"/>
    <cellStyle name="_Column5_Category Template_Actuals NEW_Biscuits Actual Results P02 2" xfId="2069"/>
    <cellStyle name="_Column5_Category Template_Actuals NEW_Biscuits Actual Results P02_Category Template_Actuals" xfId="2070"/>
    <cellStyle name="_Column5_Category Template_Actuals NEW_Biscuits Actual Results P02_Category Template_Actuals_Biscuits Actual Results P04" xfId="2071"/>
    <cellStyle name="_Column5_Category Template_Actuals NEW_Biscuits Actual Results P02_Category Template_Actuals_P&amp;L P06 AFH AC US" xfId="2072"/>
    <cellStyle name="_Column5_Category Template_Actuals NEW_Biscuits Actual Results P02_P&amp;L" xfId="2073"/>
    <cellStyle name="_Column5_Category Template_Actuals NEW_Biscuits Actual Results P02_P&amp;L_P&amp;L KFE" xfId="2074"/>
    <cellStyle name="_Column5_Category Template_Actuals NEW_Biscuits Actual Results P02_P&amp;L_Sheet3" xfId="2075"/>
    <cellStyle name="_Column5_Category Template_Actuals NEW_Biscuits Actual Results P02_VRAN YTD" xfId="2076"/>
    <cellStyle name="_Column5_Category Template_Actuals NEW_Biscuits Actual Results P04" xfId="2077"/>
    <cellStyle name="_Column5_Category Template_Actuals NEW_Biscuits Actual Results P1 BIS" xfId="2078"/>
    <cellStyle name="_Column5_Category Template_Actuals NEW_Biscuits Actual Results P1 BIS 2" xfId="2079"/>
    <cellStyle name="_Column5_Category Template_Actuals NEW_Biscuits Actual Results P1 BIS_Category Template_Actuals" xfId="2080"/>
    <cellStyle name="_Column5_Category Template_Actuals NEW_Biscuits Actual Results P1 BIS_Category Template_Actuals_Biscuits Actual Results P04" xfId="2081"/>
    <cellStyle name="_Column5_Category Template_Actuals NEW_Biscuits Actual Results P1 BIS_Category Template_Actuals_P&amp;L P06 AFH AC US" xfId="2082"/>
    <cellStyle name="_Column5_Category Template_Actuals NEW_Biscuits Actual Results P1 BIS_P&amp;L" xfId="2083"/>
    <cellStyle name="_Column5_Category Template_Actuals NEW_Biscuits Actual Results P1 BIS_P&amp;L_P&amp;L KFE" xfId="2084"/>
    <cellStyle name="_Column5_Category Template_Actuals NEW_Biscuits Actual Results P1 BIS_P&amp;L_Sheet3" xfId="2085"/>
    <cellStyle name="_Column5_Category Template_Actuals NEW_Biscuits Actual Results P1 BIS_VRAN YTD" xfId="2086"/>
    <cellStyle name="_Column5_Category Template_Actuals NEW_Biscuits Actual Results P12 161210" xfId="2087"/>
    <cellStyle name="_Column5_Category Template_Actuals NEW_Biscuits Actual Results P12 161210 2" xfId="2088"/>
    <cellStyle name="_Column5_Category Template_Actuals NEW_Biscuits Actual Results P12 161210_Category Template_Actuals" xfId="2089"/>
    <cellStyle name="_Column5_Category Template_Actuals NEW_Biscuits Actual Results P12 161210_Category Template_Actuals 2" xfId="2090"/>
    <cellStyle name="_Column5_Category Template_Actuals NEW_Biscuits Actual Results P12 161210_Category Template_Actuals_Biscuits Actual Results P02" xfId="2091"/>
    <cellStyle name="_Column5_Category Template_Actuals NEW_Biscuits Actual Results P12 161210_Category Template_Actuals_Biscuits Actual Results P02 2" xfId="2092"/>
    <cellStyle name="_Column5_Category Template_Actuals NEW_Biscuits Actual Results P12 161210_Category Template_Actuals_Biscuits Actual Results P02_Category Template_Actuals" xfId="2093"/>
    <cellStyle name="_Column5_Category Template_Actuals NEW_Biscuits Actual Results P12 161210_Category Template_Actuals_Biscuits Actual Results P02_Category Template_Actuals_Biscuits Actual Results P04" xfId="2094"/>
    <cellStyle name="_Column5_Category Template_Actuals NEW_Biscuits Actual Results P12 161210_Category Template_Actuals_Biscuits Actual Results P02_Category Template_Actuals_P&amp;L P06 AFH AC US" xfId="2095"/>
    <cellStyle name="_Column5_Category Template_Actuals NEW_Biscuits Actual Results P12 161210_Category Template_Actuals_Biscuits Actual Results P02_P&amp;L" xfId="2096"/>
    <cellStyle name="_Column5_Category Template_Actuals NEW_Biscuits Actual Results P12 161210_Category Template_Actuals_Biscuits Actual Results P02_P&amp;L_P&amp;L KFE" xfId="2097"/>
    <cellStyle name="_Column5_Category Template_Actuals NEW_Biscuits Actual Results P12 161210_Category Template_Actuals_Biscuits Actual Results P02_P&amp;L_Sheet3" xfId="2098"/>
    <cellStyle name="_Column5_Category Template_Actuals NEW_Biscuits Actual Results P12 161210_Category Template_Actuals_Biscuits Actual Results P02_VRAN YTD" xfId="2099"/>
    <cellStyle name="_Column5_Category Template_Actuals NEW_Biscuits Actual Results P12 161210_Category Template_Actuals_Biscuits Actual Results P04" xfId="2100"/>
    <cellStyle name="_Column5_Category Template_Actuals NEW_Biscuits Actual Results P12 161210_Category Template_Actuals_P&amp;L" xfId="2101"/>
    <cellStyle name="_Column5_Category Template_Actuals NEW_Biscuits Actual Results P12 161210_Category Template_Actuals_P&amp;L P06 AFH AC US" xfId="2102"/>
    <cellStyle name="_Column5_Category Template_Actuals NEW_Biscuits Actual Results P12 161210_Category Template_Actuals_P&amp;L_P&amp;L KFE" xfId="2103"/>
    <cellStyle name="_Column5_Category Template_Actuals NEW_Biscuits Actual Results P12 161210_Category Template_Actuals_P&amp;L_Sheet3" xfId="2104"/>
    <cellStyle name="_Column5_Category Template_Actuals NEW_Biscuits Actual Results P12 161210_P&amp;L" xfId="2105"/>
    <cellStyle name="_Column5_Category Template_Actuals NEW_Biscuits Actual Results P12 161210_P&amp;L_P&amp;L KFE" xfId="2106"/>
    <cellStyle name="_Column5_Category Template_Actuals NEW_Biscuits Actual Results P12 161210_P&amp;L_Sheet3" xfId="2107"/>
    <cellStyle name="_Column5_Category Template_Actuals NEW_Biscuits Actual Results P12 161210_VRAN YTD" xfId="2108"/>
    <cellStyle name="_Column5_Category Template_Actuals NEW_P&amp;L" xfId="2109"/>
    <cellStyle name="_Column5_Category Template_Actuals NEW_P&amp;L P06 AFH AC US" xfId="2110"/>
    <cellStyle name="_Column5_Category Template_Actuals NEW_P&amp;L_P&amp;L KFE" xfId="2111"/>
    <cellStyle name="_Column5_Category Template_Actuals NEW_P&amp;L_Sheet3" xfId="2112"/>
    <cellStyle name="_Column5_Category Template_Actuals_Biscuits Actual Results P02" xfId="2113"/>
    <cellStyle name="_Column5_Category Template_Actuals_Biscuits Actual Results P02 2" xfId="2114"/>
    <cellStyle name="_Column5_Category Template_Actuals_Biscuits Actual Results P02_Category Template_Actuals" xfId="2115"/>
    <cellStyle name="_Column5_Category Template_Actuals_Biscuits Actual Results P02_Category Template_Actuals_Biscuits Actual Results P04" xfId="2116"/>
    <cellStyle name="_Column5_Category Template_Actuals_Biscuits Actual Results P02_Category Template_Actuals_P&amp;L P06 AFH AC US" xfId="2117"/>
    <cellStyle name="_Column5_Category Template_Actuals_Biscuits Actual Results P02_P&amp;L" xfId="2118"/>
    <cellStyle name="_Column5_Category Template_Actuals_Biscuits Actual Results P02_P&amp;L_P&amp;L KFE" xfId="2119"/>
    <cellStyle name="_Column5_Category Template_Actuals_Biscuits Actual Results P02_P&amp;L_Sheet3" xfId="2120"/>
    <cellStyle name="_Column5_Category Template_Actuals_Biscuits Actual Results P02_VRAN YTD" xfId="2121"/>
    <cellStyle name="_Column5_Category Template_Actuals_Biscuits Actual Results P04" xfId="2122"/>
    <cellStyle name="_Column5_Category Template_Actuals_P&amp;L" xfId="2123"/>
    <cellStyle name="_Column5_Category Template_Actuals_P&amp;L P06 AFH AC US" xfId="2124"/>
    <cellStyle name="_Column5_Category Template_Actuals_P&amp;L_P&amp;L KFE" xfId="2125"/>
    <cellStyle name="_Column5_Category Template_Actuals_P&amp;L_Sheet3" xfId="2126"/>
    <cellStyle name="_Column5_EVA COGS AC11 vs AugFc_24-09" xfId="2127"/>
    <cellStyle name="_Column5_Finance review Lu France 2007" xfId="2128"/>
    <cellStyle name="_Column5_Finance review Lu France 2007 2" xfId="2129"/>
    <cellStyle name="_Column5_Finance review Lu France 2007 2_P&amp;L KFE" xfId="2130"/>
    <cellStyle name="_Column5_Finance review Lu France 2007 2_Sheet3" xfId="2131"/>
    <cellStyle name="_Column5_Finance review Lu France 2007 3" xfId="2132"/>
    <cellStyle name="_Column5_Finance review Lu France 2007_2011 Targets by category Aug 25" xfId="2133"/>
    <cellStyle name="_Column5_Finance review Lu France 2007_AC11 conso @Cst Fx" xfId="2134"/>
    <cellStyle name="_Column5_Finance review Lu France 2007_AC11 conso @Cst Fx 2" xfId="2135"/>
    <cellStyle name="_Column5_Finance review Lu France 2007_AC11 conso @Cst Fx after LFL restatement" xfId="2136"/>
    <cellStyle name="_Column5_Finance review Lu France 2007_AC11 conso @Cst Fx after LFL restatement 2" xfId="2137"/>
    <cellStyle name="_Column5_Finance review Lu France 2007_AC11 conso @Cst Fx after LFL restatement_P&amp;L KFE" xfId="2138"/>
    <cellStyle name="_Column5_Finance review Lu France 2007_AC11 conso @Cst Fx after LFL restatement_Sheet3" xfId="2139"/>
    <cellStyle name="_Column5_Finance review Lu France 2007_AC11 conso @Cst Fx_P&amp;L KFE" xfId="2140"/>
    <cellStyle name="_Column5_Finance review Lu France 2007_AC11 conso @Cst Fx_Sheet3" xfId="2141"/>
    <cellStyle name="_Column5_Finance review Lu France 2007_Category PnL" xfId="2142"/>
    <cellStyle name="_Column5_Finance review Lu France 2007_Category PnL 2" xfId="2143"/>
    <cellStyle name="_Column5_Finance review Lu France 2007_Category PnL_P&amp;L KFE" xfId="2144"/>
    <cellStyle name="_Column5_Finance review Lu France 2007_Category PnL_Sheet3" xfId="2145"/>
    <cellStyle name="_Column5_Finance review Lu France 2007_Category Targets 2011_1.2" xfId="2146"/>
    <cellStyle name="_Column5_Finance review Lu France 2007_Category Template_Actuals" xfId="2147"/>
    <cellStyle name="_Column5_Finance review Lu France 2007_Category Template_Actuals 2" xfId="2148"/>
    <cellStyle name="_Column5_Finance review Lu France 2007_Category Template_Actuals NEW" xfId="2149"/>
    <cellStyle name="_Column5_Finance review Lu France 2007_Category Template_Actuals NEW 2" xfId="2150"/>
    <cellStyle name="_Column5_Finance review Lu France 2007_Category Template_Actuals NEW_Biscuits Actual Results P01" xfId="2151"/>
    <cellStyle name="_Column5_Finance review Lu France 2007_Category Template_Actuals NEW_Biscuits Actual Results P01 2" xfId="2152"/>
    <cellStyle name="_Column5_Finance review Lu France 2007_Category Template_Actuals NEW_Biscuits Actual Results P01_Category Template_Actuals" xfId="2153"/>
    <cellStyle name="_Column5_Finance review Lu France 2007_Category Template_Actuals NEW_Biscuits Actual Results P01_Category Template_Actuals 2" xfId="2154"/>
    <cellStyle name="_Column5_Finance review Lu France 2007_Category Template_Actuals NEW_Biscuits Actual Results P01_Category Template_Actuals_Biscuits Actual Results P02" xfId="2155"/>
    <cellStyle name="_Column5_Finance review Lu France 2007_Category Template_Actuals NEW_Biscuits Actual Results P01_Category Template_Actuals_Biscuits Actual Results P02 2" xfId="2156"/>
    <cellStyle name="_Column5_Finance review Lu France 2007_Category Template_Actuals NEW_Biscuits Actual Results P01_Category Template_Actuals_Biscuits Actual Results P02_Category Template_Actuals" xfId="2157"/>
    <cellStyle name="_Column5_Finance review Lu France 2007_Category Template_Actuals NEW_Biscuits Actual Results P01_Category Template_Actuals_Biscuits Actual Results P02_Category Template_Actuals_Biscuits Actual Results P04" xfId="2158"/>
    <cellStyle name="_Column5_Finance review Lu France 2007_Category Template_Actuals NEW_Biscuits Actual Results P01_Category Template_Actuals_Biscuits Actual Results P02_Category Template_Actuals_P&amp;L P06 AFH AC US" xfId="2159"/>
    <cellStyle name="_Column5_Finance review Lu France 2007_Category Template_Actuals NEW_Biscuits Actual Results P01_Category Template_Actuals_Biscuits Actual Results P02_P&amp;L" xfId="2160"/>
    <cellStyle name="_Column5_Finance review Lu France 2007_Category Template_Actuals NEW_Biscuits Actual Results P01_Category Template_Actuals_Biscuits Actual Results P02_P&amp;L_P&amp;L KFE" xfId="2161"/>
    <cellStyle name="_Column5_Finance review Lu France 2007_Category Template_Actuals NEW_Biscuits Actual Results P01_Category Template_Actuals_Biscuits Actual Results P02_P&amp;L_Sheet3" xfId="2162"/>
    <cellStyle name="_Column5_Finance review Lu France 2007_Category Template_Actuals NEW_Biscuits Actual Results P01_Category Template_Actuals_Biscuits Actual Results P02_VRAN YTD" xfId="2163"/>
    <cellStyle name="_Column5_Finance review Lu France 2007_Category Template_Actuals NEW_Biscuits Actual Results P01_Category Template_Actuals_Biscuits Actual Results P04" xfId="2164"/>
    <cellStyle name="_Column5_Finance review Lu France 2007_Category Template_Actuals NEW_Biscuits Actual Results P01_Category Template_Actuals_P&amp;L" xfId="2165"/>
    <cellStyle name="_Column5_Finance review Lu France 2007_Category Template_Actuals NEW_Biscuits Actual Results P01_Category Template_Actuals_P&amp;L P06 AFH AC US" xfId="2166"/>
    <cellStyle name="_Column5_Finance review Lu France 2007_Category Template_Actuals NEW_Biscuits Actual Results P01_Category Template_Actuals_P&amp;L_P&amp;L KFE" xfId="2167"/>
    <cellStyle name="_Column5_Finance review Lu France 2007_Category Template_Actuals NEW_Biscuits Actual Results P01_Category Template_Actuals_P&amp;L_Sheet3" xfId="2168"/>
    <cellStyle name="_Column5_Finance review Lu France 2007_Category Template_Actuals NEW_Biscuits Actual Results P01_P&amp;L" xfId="2169"/>
    <cellStyle name="_Column5_Finance review Lu France 2007_Category Template_Actuals NEW_Biscuits Actual Results P01_P&amp;L_P&amp;L KFE" xfId="2170"/>
    <cellStyle name="_Column5_Finance review Lu France 2007_Category Template_Actuals NEW_Biscuits Actual Results P01_P&amp;L_Sheet3" xfId="2171"/>
    <cellStyle name="_Column5_Finance review Lu France 2007_Category Template_Actuals NEW_Biscuits Actual Results P01_VRAN YTD" xfId="2172"/>
    <cellStyle name="_Column5_Finance review Lu France 2007_Category Template_Actuals NEW_Biscuits Actual Results P02" xfId="2173"/>
    <cellStyle name="_Column5_Finance review Lu France 2007_Category Template_Actuals NEW_Biscuits Actual Results P02 2" xfId="2174"/>
    <cellStyle name="_Column5_Finance review Lu France 2007_Category Template_Actuals NEW_Biscuits Actual Results P02_Category Template_Actuals" xfId="2175"/>
    <cellStyle name="_Column5_Finance review Lu France 2007_Category Template_Actuals NEW_Biscuits Actual Results P02_Category Template_Actuals_Biscuits Actual Results P04" xfId="2176"/>
    <cellStyle name="_Column5_Finance review Lu France 2007_Category Template_Actuals NEW_Biscuits Actual Results P02_Category Template_Actuals_P&amp;L P06 AFH AC US" xfId="2177"/>
    <cellStyle name="_Column5_Finance review Lu France 2007_Category Template_Actuals NEW_Biscuits Actual Results P02_P&amp;L" xfId="2178"/>
    <cellStyle name="_Column5_Finance review Lu France 2007_Category Template_Actuals NEW_Biscuits Actual Results P02_P&amp;L_P&amp;L KFE" xfId="2179"/>
    <cellStyle name="_Column5_Finance review Lu France 2007_Category Template_Actuals NEW_Biscuits Actual Results P02_P&amp;L_Sheet3" xfId="2180"/>
    <cellStyle name="_Column5_Finance review Lu France 2007_Category Template_Actuals NEW_Biscuits Actual Results P02_VRAN YTD" xfId="2181"/>
    <cellStyle name="_Column5_Finance review Lu France 2007_Category Template_Actuals NEW_Biscuits Actual Results P04" xfId="2182"/>
    <cellStyle name="_Column5_Finance review Lu France 2007_Category Template_Actuals NEW_Biscuits Actual Results P1 BIS" xfId="2183"/>
    <cellStyle name="_Column5_Finance review Lu France 2007_Category Template_Actuals NEW_Biscuits Actual Results P1 BIS 2" xfId="2184"/>
    <cellStyle name="_Column5_Finance review Lu France 2007_Category Template_Actuals NEW_Biscuits Actual Results P1 BIS_Category Template_Actuals" xfId="2185"/>
    <cellStyle name="_Column5_Finance review Lu France 2007_Category Template_Actuals NEW_Biscuits Actual Results P1 BIS_Category Template_Actuals_Biscuits Actual Results P04" xfId="2186"/>
    <cellStyle name="_Column5_Finance review Lu France 2007_Category Template_Actuals NEW_Biscuits Actual Results P1 BIS_Category Template_Actuals_P&amp;L P06 AFH AC US" xfId="2187"/>
    <cellStyle name="_Column5_Finance review Lu France 2007_Category Template_Actuals NEW_Biscuits Actual Results P1 BIS_P&amp;L" xfId="2188"/>
    <cellStyle name="_Column5_Finance review Lu France 2007_Category Template_Actuals NEW_Biscuits Actual Results P1 BIS_P&amp;L_P&amp;L KFE" xfId="2189"/>
    <cellStyle name="_Column5_Finance review Lu France 2007_Category Template_Actuals NEW_Biscuits Actual Results P1 BIS_P&amp;L_Sheet3" xfId="2190"/>
    <cellStyle name="_Column5_Finance review Lu France 2007_Category Template_Actuals NEW_Biscuits Actual Results P1 BIS_VRAN YTD" xfId="2191"/>
    <cellStyle name="_Column5_Finance review Lu France 2007_Category Template_Actuals NEW_Biscuits Actual Results P12 161210" xfId="2192"/>
    <cellStyle name="_Column5_Finance review Lu France 2007_Category Template_Actuals NEW_Biscuits Actual Results P12 161210 2" xfId="2193"/>
    <cellStyle name="_Column5_Finance review Lu France 2007_Category Template_Actuals NEW_Biscuits Actual Results P12 161210_Category Template_Actuals" xfId="2194"/>
    <cellStyle name="_Column5_Finance review Lu France 2007_Category Template_Actuals NEW_Biscuits Actual Results P12 161210_Category Template_Actuals 2" xfId="2195"/>
    <cellStyle name="_Column5_Finance review Lu France 2007_Category Template_Actuals NEW_Biscuits Actual Results P12 161210_Category Template_Actuals_Biscuits Actual Results P02" xfId="2196"/>
    <cellStyle name="_Column5_Finance review Lu France 2007_Category Template_Actuals NEW_Biscuits Actual Results P12 161210_Category Template_Actuals_Biscuits Actual Results P02 2" xfId="2197"/>
    <cellStyle name="_Column5_Finance review Lu France 2007_Category Template_Actuals NEW_Biscuits Actual Results P12 161210_Category Template_Actuals_Biscuits Actual Results P02_Category Template_Actuals" xfId="2198"/>
    <cellStyle name="_Column5_Finance review Lu France 2007_Category Template_Actuals NEW_Biscuits Actual Results P12 161210_Category Template_Actuals_Biscuits Actual Results P02_Category Template_Actuals_Biscuits Actual Results P04" xfId="2199"/>
    <cellStyle name="_Column5_Finance review Lu France 2007_Category Template_Actuals NEW_Biscuits Actual Results P12 161210_Category Template_Actuals_Biscuits Actual Results P02_Category Template_Actuals_P&amp;L P06 AFH AC US" xfId="2200"/>
    <cellStyle name="_Column5_Finance review Lu France 2007_Category Template_Actuals NEW_Biscuits Actual Results P12 161210_Category Template_Actuals_Biscuits Actual Results P02_P&amp;L" xfId="2201"/>
    <cellStyle name="_Column5_Finance review Lu France 2007_Category Template_Actuals NEW_Biscuits Actual Results P12 161210_Category Template_Actuals_Biscuits Actual Results P02_P&amp;L_P&amp;L KFE" xfId="2202"/>
    <cellStyle name="_Column5_Finance review Lu France 2007_Category Template_Actuals NEW_Biscuits Actual Results P12 161210_Category Template_Actuals_Biscuits Actual Results P02_P&amp;L_Sheet3" xfId="2203"/>
    <cellStyle name="_Column5_Finance review Lu France 2007_Category Template_Actuals NEW_Biscuits Actual Results P12 161210_Category Template_Actuals_Biscuits Actual Results P02_VRAN YTD" xfId="2204"/>
    <cellStyle name="_Column5_Finance review Lu France 2007_Category Template_Actuals NEW_Biscuits Actual Results P12 161210_Category Template_Actuals_Biscuits Actual Results P04" xfId="2205"/>
    <cellStyle name="_Column5_Finance review Lu France 2007_Category Template_Actuals NEW_Biscuits Actual Results P12 161210_Category Template_Actuals_P&amp;L" xfId="2206"/>
    <cellStyle name="_Column5_Finance review Lu France 2007_Category Template_Actuals NEW_Biscuits Actual Results P12 161210_Category Template_Actuals_P&amp;L P06 AFH AC US" xfId="2207"/>
    <cellStyle name="_Column5_Finance review Lu France 2007_Category Template_Actuals NEW_Biscuits Actual Results P12 161210_Category Template_Actuals_P&amp;L_P&amp;L KFE" xfId="2208"/>
    <cellStyle name="_Column5_Finance review Lu France 2007_Category Template_Actuals NEW_Biscuits Actual Results P12 161210_Category Template_Actuals_P&amp;L_Sheet3" xfId="2209"/>
    <cellStyle name="_Column5_Finance review Lu France 2007_Category Template_Actuals NEW_Biscuits Actual Results P12 161210_P&amp;L" xfId="2210"/>
    <cellStyle name="_Column5_Finance review Lu France 2007_Category Template_Actuals NEW_Biscuits Actual Results P12 161210_P&amp;L_P&amp;L KFE" xfId="2211"/>
    <cellStyle name="_Column5_Finance review Lu France 2007_Category Template_Actuals NEW_Biscuits Actual Results P12 161210_P&amp;L_Sheet3" xfId="2212"/>
    <cellStyle name="_Column5_Finance review Lu France 2007_Category Template_Actuals NEW_Biscuits Actual Results P12 161210_VRAN YTD" xfId="2213"/>
    <cellStyle name="_Column5_Finance review Lu France 2007_Category Template_Actuals NEW_P&amp;L" xfId="2214"/>
    <cellStyle name="_Column5_Finance review Lu France 2007_Category Template_Actuals NEW_P&amp;L P06 AFH AC US" xfId="2215"/>
    <cellStyle name="_Column5_Finance review Lu France 2007_Category Template_Actuals NEW_P&amp;L_P&amp;L KFE" xfId="2216"/>
    <cellStyle name="_Column5_Finance review Lu France 2007_Category Template_Actuals NEW_P&amp;L_Sheet3" xfId="2217"/>
    <cellStyle name="_Column5_Finance review Lu France 2007_Category Template_Actuals_Biscuits Actual Results P02" xfId="2218"/>
    <cellStyle name="_Column5_Finance review Lu France 2007_Category Template_Actuals_Biscuits Actual Results P02 2" xfId="2219"/>
    <cellStyle name="_Column5_Finance review Lu France 2007_Category Template_Actuals_Biscuits Actual Results P02_Category Template_Actuals" xfId="2220"/>
    <cellStyle name="_Column5_Finance review Lu France 2007_Category Template_Actuals_Biscuits Actual Results P02_Category Template_Actuals_Biscuits Actual Results P04" xfId="2221"/>
    <cellStyle name="_Column5_Finance review Lu France 2007_Category Template_Actuals_Biscuits Actual Results P02_Category Template_Actuals_P&amp;L P06 AFH AC US" xfId="2222"/>
    <cellStyle name="_Column5_Finance review Lu France 2007_Category Template_Actuals_Biscuits Actual Results P02_P&amp;L" xfId="2223"/>
    <cellStyle name="_Column5_Finance review Lu France 2007_Category Template_Actuals_Biscuits Actual Results P02_P&amp;L_P&amp;L KFE" xfId="2224"/>
    <cellStyle name="_Column5_Finance review Lu France 2007_Category Template_Actuals_Biscuits Actual Results P02_P&amp;L_Sheet3" xfId="2225"/>
    <cellStyle name="_Column5_Finance review Lu France 2007_Category Template_Actuals_Biscuits Actual Results P02_VRAN YTD" xfId="2226"/>
    <cellStyle name="_Column5_Finance review Lu France 2007_Category Template_Actuals_Biscuits Actual Results P04" xfId="2227"/>
    <cellStyle name="_Column5_Finance review Lu France 2007_Category Template_Actuals_P&amp;L" xfId="2228"/>
    <cellStyle name="_Column5_Finance review Lu France 2007_Category Template_Actuals_P&amp;L P06 AFH AC US" xfId="2229"/>
    <cellStyle name="_Column5_Finance review Lu France 2007_Category Template_Actuals_P&amp;L_P&amp;L KFE" xfId="2230"/>
    <cellStyle name="_Column5_Finance review Lu France 2007_Category Template_Actuals_P&amp;L_Sheet3" xfId="2231"/>
    <cellStyle name="_Column5_Finance review Lu France 2007_KFE Category PnL template_Combined_P03 (2)" xfId="2232"/>
    <cellStyle name="_Column5_Finance review Lu France 2007_KFE Category PnL template_Combined_P03 (2)_P&amp;L KFE" xfId="2233"/>
    <cellStyle name="_Column5_Finance review Lu France 2007_KFE Category PnL template_Combined_P03 (2)_Sheet3" xfId="2234"/>
    <cellStyle name="_Column5_Finance review Lu France 2007_KFE Category PnL template_Kraft Legacy (2)" xfId="2235"/>
    <cellStyle name="_Column5_Finance review Lu France 2007_KFE Category PnL template_Kraft Legacy (2)_P&amp;L KFE" xfId="2236"/>
    <cellStyle name="_Column5_Finance review Lu France 2007_KFE Category PnL template_Kraft Legacy (2)_Sheet3" xfId="2237"/>
    <cellStyle name="_Column5_Finance review Lu France 2007_KFE Category PnL template_Kraft Legacy (4)" xfId="2238"/>
    <cellStyle name="_Column5_Finance review Lu France 2007_KFE Category PnL template_Kraft Legacy (4)_P&amp;L KFE" xfId="2239"/>
    <cellStyle name="_Column5_Finance review Lu France 2007_KFE Category PnL template_Kraft Legacy (4)_Sheet3" xfId="2240"/>
    <cellStyle name="_Column5_Finance review Lu France 2007_OI Bridge 0" xfId="2241"/>
    <cellStyle name="_Column5_Finance review Lu France 2007_OI Bridge 0_1" xfId="2242"/>
    <cellStyle name="_Column5_Finance review Lu France 2007_OI Bridge 1" xfId="2243"/>
    <cellStyle name="_Column5_Finance review Lu France 2007_P&amp;L" xfId="2244"/>
    <cellStyle name="_Column5_Finance review Lu France 2007_P&amp;L_P&amp;L KFE" xfId="2245"/>
    <cellStyle name="_Column5_Finance review Lu France 2007_P&amp;L_Sheet3" xfId="2246"/>
    <cellStyle name="_Column5_Finance review Lu France 2007_Sheet1" xfId="2247"/>
    <cellStyle name="_Column5_Finance review Lu France 2007_VRAN YTD" xfId="2248"/>
    <cellStyle name="_Column5_Finance review Lu France 2007_VRAN YTD 2" xfId="2249"/>
    <cellStyle name="_Column5_Finance review Lu France 2007_VRAN YTD_Biscuits Actual Results P01" xfId="2250"/>
    <cellStyle name="_Column5_Finance review Lu France 2007_VRAN YTD_Biscuits Actual Results P01 2" xfId="2251"/>
    <cellStyle name="_Column5_Finance review Lu France 2007_VRAN YTD_Biscuits Actual Results P01_Category Template_Actuals" xfId="2252"/>
    <cellStyle name="_Column5_Finance review Lu France 2007_VRAN YTD_Biscuits Actual Results P01_Category Template_Actuals 2" xfId="2253"/>
    <cellStyle name="_Column5_Finance review Lu France 2007_VRAN YTD_Biscuits Actual Results P01_Category Template_Actuals_Biscuits Actual Results P02" xfId="2254"/>
    <cellStyle name="_Column5_Finance review Lu France 2007_VRAN YTD_Biscuits Actual Results P01_Category Template_Actuals_Biscuits Actual Results P02 2" xfId="2255"/>
    <cellStyle name="_Column5_Finance review Lu France 2007_VRAN YTD_Biscuits Actual Results P01_Category Template_Actuals_Biscuits Actual Results P02_Category Template_Actuals" xfId="2256"/>
    <cellStyle name="_Column5_Finance review Lu France 2007_VRAN YTD_Biscuits Actual Results P01_Category Template_Actuals_Biscuits Actual Results P02_Category Template_Actuals_Biscuits Actual Results P04" xfId="2257"/>
    <cellStyle name="_Column5_Finance review Lu France 2007_VRAN YTD_Biscuits Actual Results P01_Category Template_Actuals_Biscuits Actual Results P02_Category Template_Actuals_P&amp;L P06 AFH AC US" xfId="2258"/>
    <cellStyle name="_Column5_Finance review Lu France 2007_VRAN YTD_Biscuits Actual Results P01_Category Template_Actuals_Biscuits Actual Results P02_P&amp;L" xfId="2259"/>
    <cellStyle name="_Column5_Finance review Lu France 2007_VRAN YTD_Biscuits Actual Results P01_Category Template_Actuals_Biscuits Actual Results P02_P&amp;L_P&amp;L KFE" xfId="2260"/>
    <cellStyle name="_Column5_Finance review Lu France 2007_VRAN YTD_Biscuits Actual Results P01_Category Template_Actuals_Biscuits Actual Results P02_P&amp;L_Sheet3" xfId="2261"/>
    <cellStyle name="_Column5_Finance review Lu France 2007_VRAN YTD_Biscuits Actual Results P01_Category Template_Actuals_Biscuits Actual Results P02_VRAN YTD" xfId="2262"/>
    <cellStyle name="_Column5_Finance review Lu France 2007_VRAN YTD_Biscuits Actual Results P01_Category Template_Actuals_Biscuits Actual Results P04" xfId="2263"/>
    <cellStyle name="_Column5_Finance review Lu France 2007_VRAN YTD_Biscuits Actual Results P01_Category Template_Actuals_P&amp;L" xfId="2264"/>
    <cellStyle name="_Column5_Finance review Lu France 2007_VRAN YTD_Biscuits Actual Results P01_Category Template_Actuals_P&amp;L P06 AFH AC US" xfId="2265"/>
    <cellStyle name="_Column5_Finance review Lu France 2007_VRAN YTD_Biscuits Actual Results P01_Category Template_Actuals_P&amp;L_P&amp;L KFE" xfId="2266"/>
    <cellStyle name="_Column5_Finance review Lu France 2007_VRAN YTD_Biscuits Actual Results P01_Category Template_Actuals_P&amp;L_Sheet3" xfId="2267"/>
    <cellStyle name="_Column5_Finance review Lu France 2007_VRAN YTD_Biscuits Actual Results P01_P&amp;L" xfId="2268"/>
    <cellStyle name="_Column5_Finance review Lu France 2007_VRAN YTD_Biscuits Actual Results P01_P&amp;L_P&amp;L KFE" xfId="2269"/>
    <cellStyle name="_Column5_Finance review Lu France 2007_VRAN YTD_Biscuits Actual Results P01_P&amp;L_Sheet3" xfId="2270"/>
    <cellStyle name="_Column5_Finance review Lu France 2007_VRAN YTD_Biscuits Actual Results P01_VRAN YTD" xfId="2271"/>
    <cellStyle name="_Column5_Finance review Lu France 2007_VRAN YTD_Biscuits Actual Results P02" xfId="2272"/>
    <cellStyle name="_Column5_Finance review Lu France 2007_VRAN YTD_Biscuits Actual Results P02 2" xfId="2273"/>
    <cellStyle name="_Column5_Finance review Lu France 2007_VRAN YTD_Biscuits Actual Results P02_Category Template_Actuals" xfId="2274"/>
    <cellStyle name="_Column5_Finance review Lu France 2007_VRAN YTD_Biscuits Actual Results P02_Category Template_Actuals_Biscuits Actual Results P04" xfId="2275"/>
    <cellStyle name="_Column5_Finance review Lu France 2007_VRAN YTD_Biscuits Actual Results P02_Category Template_Actuals_P&amp;L P06 AFH AC US" xfId="2276"/>
    <cellStyle name="_Column5_Finance review Lu France 2007_VRAN YTD_Biscuits Actual Results P02_P&amp;L" xfId="2277"/>
    <cellStyle name="_Column5_Finance review Lu France 2007_VRAN YTD_Biscuits Actual Results P02_P&amp;L_P&amp;L KFE" xfId="2278"/>
    <cellStyle name="_Column5_Finance review Lu France 2007_VRAN YTD_Biscuits Actual Results P02_P&amp;L_Sheet3" xfId="2279"/>
    <cellStyle name="_Column5_Finance review Lu France 2007_VRAN YTD_Biscuits Actual Results P02_VRAN YTD" xfId="2280"/>
    <cellStyle name="_Column5_Finance review Lu France 2007_VRAN YTD_Biscuits Actual Results P04" xfId="2281"/>
    <cellStyle name="_Column5_Finance review Lu France 2007_VRAN YTD_Biscuits Actual Results P1 BIS" xfId="2282"/>
    <cellStyle name="_Column5_Finance review Lu France 2007_VRAN YTD_Biscuits Actual Results P1 BIS 2" xfId="2283"/>
    <cellStyle name="_Column5_Finance review Lu France 2007_VRAN YTD_Biscuits Actual Results P1 BIS_Category Template_Actuals" xfId="2284"/>
    <cellStyle name="_Column5_Finance review Lu France 2007_VRAN YTD_Biscuits Actual Results P1 BIS_Category Template_Actuals_Biscuits Actual Results P04" xfId="2285"/>
    <cellStyle name="_Column5_Finance review Lu France 2007_VRAN YTD_Biscuits Actual Results P1 BIS_Category Template_Actuals_P&amp;L P06 AFH AC US" xfId="2286"/>
    <cellStyle name="_Column5_Finance review Lu France 2007_VRAN YTD_Biscuits Actual Results P1 BIS_P&amp;L" xfId="2287"/>
    <cellStyle name="_Column5_Finance review Lu France 2007_VRAN YTD_Biscuits Actual Results P1 BIS_P&amp;L_P&amp;L KFE" xfId="2288"/>
    <cellStyle name="_Column5_Finance review Lu France 2007_VRAN YTD_Biscuits Actual Results P1 BIS_P&amp;L_Sheet3" xfId="2289"/>
    <cellStyle name="_Column5_Finance review Lu France 2007_VRAN YTD_Biscuits Actual Results P1 BIS_VRAN YTD" xfId="2290"/>
    <cellStyle name="_Column5_Finance review Lu France 2007_VRAN YTD_Biscuits Actual Results P12 161210" xfId="2291"/>
    <cellStyle name="_Column5_Finance review Lu France 2007_VRAN YTD_Biscuits Actual Results P12 161210 2" xfId="2292"/>
    <cellStyle name="_Column5_Finance review Lu France 2007_VRAN YTD_Biscuits Actual Results P12 161210_Category Template_Actuals" xfId="2293"/>
    <cellStyle name="_Column5_Finance review Lu France 2007_VRAN YTD_Biscuits Actual Results P12 161210_Category Template_Actuals 2" xfId="2294"/>
    <cellStyle name="_Column5_Finance review Lu France 2007_VRAN YTD_Biscuits Actual Results P12 161210_Category Template_Actuals_Biscuits Actual Results P02" xfId="2295"/>
    <cellStyle name="_Column5_Finance review Lu France 2007_VRAN YTD_Biscuits Actual Results P12 161210_Category Template_Actuals_Biscuits Actual Results P02 2" xfId="2296"/>
    <cellStyle name="_Column5_Finance review Lu France 2007_VRAN YTD_Biscuits Actual Results P12 161210_Category Template_Actuals_Biscuits Actual Results P02_Category Template_Actuals" xfId="2297"/>
    <cellStyle name="_Column5_Finance review Lu France 2007_VRAN YTD_Biscuits Actual Results P12 161210_Category Template_Actuals_Biscuits Actual Results P02_Category Template_Actuals_Biscuits Actual Results P04" xfId="2298"/>
    <cellStyle name="_Column5_Finance review Lu France 2007_VRAN YTD_Biscuits Actual Results P12 161210_Category Template_Actuals_Biscuits Actual Results P02_Category Template_Actuals_P&amp;L P06 AFH AC US" xfId="2299"/>
    <cellStyle name="_Column5_Finance review Lu France 2007_VRAN YTD_Biscuits Actual Results P12 161210_Category Template_Actuals_Biscuits Actual Results P02_P&amp;L" xfId="2300"/>
    <cellStyle name="_Column5_Finance review Lu France 2007_VRAN YTD_Biscuits Actual Results P12 161210_Category Template_Actuals_Biscuits Actual Results P02_P&amp;L_P&amp;L KFE" xfId="2301"/>
    <cellStyle name="_Column5_Finance review Lu France 2007_VRAN YTD_Biscuits Actual Results P12 161210_Category Template_Actuals_Biscuits Actual Results P02_P&amp;L_Sheet3" xfId="2302"/>
    <cellStyle name="_Column5_Finance review Lu France 2007_VRAN YTD_Biscuits Actual Results P12 161210_Category Template_Actuals_Biscuits Actual Results P02_VRAN YTD" xfId="2303"/>
    <cellStyle name="_Column5_Finance review Lu France 2007_VRAN YTD_Biscuits Actual Results P12 161210_Category Template_Actuals_Biscuits Actual Results P04" xfId="2304"/>
    <cellStyle name="_Column5_Finance review Lu France 2007_VRAN YTD_Biscuits Actual Results P12 161210_Category Template_Actuals_P&amp;L" xfId="2305"/>
    <cellStyle name="_Column5_Finance review Lu France 2007_VRAN YTD_Biscuits Actual Results P12 161210_Category Template_Actuals_P&amp;L P06 AFH AC US" xfId="2306"/>
    <cellStyle name="_Column5_Finance review Lu France 2007_VRAN YTD_Biscuits Actual Results P12 161210_Category Template_Actuals_P&amp;L_P&amp;L KFE" xfId="2307"/>
    <cellStyle name="_Column5_Finance review Lu France 2007_VRAN YTD_Biscuits Actual Results P12 161210_Category Template_Actuals_P&amp;L_Sheet3" xfId="2308"/>
    <cellStyle name="_Column5_Finance review Lu France 2007_VRAN YTD_Biscuits Actual Results P12 161210_P&amp;L" xfId="2309"/>
    <cellStyle name="_Column5_Finance review Lu France 2007_VRAN YTD_Biscuits Actual Results P12 161210_P&amp;L_P&amp;L KFE" xfId="2310"/>
    <cellStyle name="_Column5_Finance review Lu France 2007_VRAN YTD_Biscuits Actual Results P12 161210_P&amp;L_Sheet3" xfId="2311"/>
    <cellStyle name="_Column5_Finance review Lu France 2007_VRAN YTD_Biscuits Actual Results P12 161210_VRAN YTD" xfId="2312"/>
    <cellStyle name="_Column5_Finance review Lu France 2007_VRAN YTD_P&amp;L" xfId="2313"/>
    <cellStyle name="_Column5_Finance review Lu France 2007_VRAN YTD_P&amp;L P06 AFH AC US" xfId="2314"/>
    <cellStyle name="_Column5_Finance review Lu France 2007_VRAN YTD_P&amp;L_P&amp;L KFE" xfId="2315"/>
    <cellStyle name="_Column5_Finance review Lu France 2007_VRAN YTD_P&amp;L_Sheet3" xfId="2316"/>
    <cellStyle name="_Column5_FT avec ristournes" xfId="2317"/>
    <cellStyle name="_Column5_FT avec ristournes 2" xfId="2318"/>
    <cellStyle name="_Column5_FT avec ristournes 2_P&amp;L KFE" xfId="2319"/>
    <cellStyle name="_Column5_FT avec ristournes 2_Sheet3" xfId="2320"/>
    <cellStyle name="_Column5_FT avec ristournes 3" xfId="2321"/>
    <cellStyle name="_Column5_FT avec ristournes_2011 Targets by category Aug 25" xfId="2322"/>
    <cellStyle name="_Column5_FT avec ristournes_AC11 conso @Cst Fx" xfId="2323"/>
    <cellStyle name="_Column5_FT avec ristournes_AC11 conso @Cst Fx 2" xfId="2324"/>
    <cellStyle name="_Column5_FT avec ristournes_AC11 conso @Cst Fx after LFL restatement" xfId="2325"/>
    <cellStyle name="_Column5_FT avec ristournes_AC11 conso @Cst Fx after LFL restatement 2" xfId="2326"/>
    <cellStyle name="_Column5_FT avec ristournes_AC11 conso @Cst Fx after LFL restatement_P&amp;L KFE" xfId="2327"/>
    <cellStyle name="_Column5_FT avec ristournes_AC11 conso @Cst Fx after LFL restatement_Sheet3" xfId="2328"/>
    <cellStyle name="_Column5_FT avec ristournes_AC11 conso @Cst Fx_P&amp;L KFE" xfId="2329"/>
    <cellStyle name="_Column5_FT avec ristournes_AC11 conso @Cst Fx_Sheet3" xfId="2330"/>
    <cellStyle name="_Column5_FT avec ristournes_Category PnL" xfId="2331"/>
    <cellStyle name="_Column5_FT avec ristournes_Category PnL 2" xfId="2332"/>
    <cellStyle name="_Column5_FT avec ristournes_Category PnL_P&amp;L KFE" xfId="2333"/>
    <cellStyle name="_Column5_FT avec ristournes_Category PnL_Sheet3" xfId="2334"/>
    <cellStyle name="_Column5_FT avec ristournes_Category Targets 2011_1.2" xfId="2335"/>
    <cellStyle name="_Column5_FT avec ristournes_Category Template_Actuals" xfId="2336"/>
    <cellStyle name="_Column5_FT avec ristournes_Category Template_Actuals 2" xfId="2337"/>
    <cellStyle name="_Column5_FT avec ristournes_Category Template_Actuals NEW" xfId="2338"/>
    <cellStyle name="_Column5_FT avec ristournes_Category Template_Actuals NEW 2" xfId="2339"/>
    <cellStyle name="_Column5_FT avec ristournes_Category Template_Actuals NEW_Biscuits Actual Results P01" xfId="2340"/>
    <cellStyle name="_Column5_FT avec ristournes_Category Template_Actuals NEW_Biscuits Actual Results P01 2" xfId="2341"/>
    <cellStyle name="_Column5_FT avec ristournes_Category Template_Actuals NEW_Biscuits Actual Results P01_Category Template_Actuals" xfId="2342"/>
    <cellStyle name="_Column5_FT avec ristournes_Category Template_Actuals NEW_Biscuits Actual Results P01_Category Template_Actuals 2" xfId="2343"/>
    <cellStyle name="_Column5_FT avec ristournes_Category Template_Actuals NEW_Biscuits Actual Results P01_Category Template_Actuals_Biscuits Actual Results P02" xfId="2344"/>
    <cellStyle name="_Column5_FT avec ristournes_Category Template_Actuals NEW_Biscuits Actual Results P01_Category Template_Actuals_Biscuits Actual Results P02 2" xfId="2345"/>
    <cellStyle name="_Column5_FT avec ristournes_Category Template_Actuals NEW_Biscuits Actual Results P01_Category Template_Actuals_Biscuits Actual Results P02_Category Template_Actuals" xfId="2346"/>
    <cellStyle name="_Column5_FT avec ristournes_Category Template_Actuals NEW_Biscuits Actual Results P01_Category Template_Actuals_Biscuits Actual Results P02_Category Template_Actuals_Biscuits Actual Results P04" xfId="2347"/>
    <cellStyle name="_Column5_FT avec ristournes_Category Template_Actuals NEW_Biscuits Actual Results P01_Category Template_Actuals_Biscuits Actual Results P02_Category Template_Actuals_P&amp;L P06 AFH AC US" xfId="2348"/>
    <cellStyle name="_Column5_FT avec ristournes_Category Template_Actuals NEW_Biscuits Actual Results P01_Category Template_Actuals_Biscuits Actual Results P02_P&amp;L" xfId="2349"/>
    <cellStyle name="_Column5_FT avec ristournes_Category Template_Actuals NEW_Biscuits Actual Results P01_Category Template_Actuals_Biscuits Actual Results P02_P&amp;L_P&amp;L KFE" xfId="2350"/>
    <cellStyle name="_Column5_FT avec ristournes_Category Template_Actuals NEW_Biscuits Actual Results P01_Category Template_Actuals_Biscuits Actual Results P02_P&amp;L_Sheet3" xfId="2351"/>
    <cellStyle name="_Column5_FT avec ristournes_Category Template_Actuals NEW_Biscuits Actual Results P01_Category Template_Actuals_Biscuits Actual Results P02_VRAN YTD" xfId="2352"/>
    <cellStyle name="_Column5_FT avec ristournes_Category Template_Actuals NEW_Biscuits Actual Results P01_Category Template_Actuals_Biscuits Actual Results P04" xfId="2353"/>
    <cellStyle name="_Column5_FT avec ristournes_Category Template_Actuals NEW_Biscuits Actual Results P01_Category Template_Actuals_P&amp;L" xfId="2354"/>
    <cellStyle name="_Column5_FT avec ristournes_Category Template_Actuals NEW_Biscuits Actual Results P01_Category Template_Actuals_P&amp;L P06 AFH AC US" xfId="2355"/>
    <cellStyle name="_Column5_FT avec ristournes_Category Template_Actuals NEW_Biscuits Actual Results P01_Category Template_Actuals_P&amp;L_P&amp;L KFE" xfId="2356"/>
    <cellStyle name="_Column5_FT avec ristournes_Category Template_Actuals NEW_Biscuits Actual Results P01_Category Template_Actuals_P&amp;L_Sheet3" xfId="2357"/>
    <cellStyle name="_Column5_FT avec ristournes_Category Template_Actuals NEW_Biscuits Actual Results P01_P&amp;L" xfId="2358"/>
    <cellStyle name="_Column5_FT avec ristournes_Category Template_Actuals NEW_Biscuits Actual Results P01_P&amp;L_P&amp;L KFE" xfId="2359"/>
    <cellStyle name="_Column5_FT avec ristournes_Category Template_Actuals NEW_Biscuits Actual Results P01_P&amp;L_Sheet3" xfId="2360"/>
    <cellStyle name="_Column5_FT avec ristournes_Category Template_Actuals NEW_Biscuits Actual Results P01_VRAN YTD" xfId="2361"/>
    <cellStyle name="_Column5_FT avec ristournes_Category Template_Actuals NEW_Biscuits Actual Results P02" xfId="2362"/>
    <cellStyle name="_Column5_FT avec ristournes_Category Template_Actuals NEW_Biscuits Actual Results P02 2" xfId="2363"/>
    <cellStyle name="_Column5_FT avec ristournes_Category Template_Actuals NEW_Biscuits Actual Results P02_Category Template_Actuals" xfId="2364"/>
    <cellStyle name="_Column5_FT avec ristournes_Category Template_Actuals NEW_Biscuits Actual Results P02_Category Template_Actuals_Biscuits Actual Results P04" xfId="2365"/>
    <cellStyle name="_Column5_FT avec ristournes_Category Template_Actuals NEW_Biscuits Actual Results P02_Category Template_Actuals_P&amp;L P06 AFH AC US" xfId="2366"/>
    <cellStyle name="_Column5_FT avec ristournes_Category Template_Actuals NEW_Biscuits Actual Results P02_P&amp;L" xfId="2367"/>
    <cellStyle name="_Column5_FT avec ristournes_Category Template_Actuals NEW_Biscuits Actual Results P02_P&amp;L_P&amp;L KFE" xfId="2368"/>
    <cellStyle name="_Column5_FT avec ristournes_Category Template_Actuals NEW_Biscuits Actual Results P02_P&amp;L_Sheet3" xfId="2369"/>
    <cellStyle name="_Column5_FT avec ristournes_Category Template_Actuals NEW_Biscuits Actual Results P02_VRAN YTD" xfId="2370"/>
    <cellStyle name="_Column5_FT avec ristournes_Category Template_Actuals NEW_Biscuits Actual Results P04" xfId="2371"/>
    <cellStyle name="_Column5_FT avec ristournes_Category Template_Actuals NEW_Biscuits Actual Results P1 BIS" xfId="2372"/>
    <cellStyle name="_Column5_FT avec ristournes_Category Template_Actuals NEW_Biscuits Actual Results P1 BIS 2" xfId="2373"/>
    <cellStyle name="_Column5_FT avec ristournes_Category Template_Actuals NEW_Biscuits Actual Results P1 BIS_Category Template_Actuals" xfId="2374"/>
    <cellStyle name="_Column5_FT avec ristournes_Category Template_Actuals NEW_Biscuits Actual Results P1 BIS_Category Template_Actuals_Biscuits Actual Results P04" xfId="2375"/>
    <cellStyle name="_Column5_FT avec ristournes_Category Template_Actuals NEW_Biscuits Actual Results P1 BIS_Category Template_Actuals_P&amp;L P06 AFH AC US" xfId="2376"/>
    <cellStyle name="_Column5_FT avec ristournes_Category Template_Actuals NEW_Biscuits Actual Results P1 BIS_P&amp;L" xfId="2377"/>
    <cellStyle name="_Column5_FT avec ristournes_Category Template_Actuals NEW_Biscuits Actual Results P1 BIS_P&amp;L_P&amp;L KFE" xfId="2378"/>
    <cellStyle name="_Column5_FT avec ristournes_Category Template_Actuals NEW_Biscuits Actual Results P1 BIS_P&amp;L_Sheet3" xfId="2379"/>
    <cellStyle name="_Column5_FT avec ristournes_Category Template_Actuals NEW_Biscuits Actual Results P1 BIS_VRAN YTD" xfId="2380"/>
    <cellStyle name="_Column5_FT avec ristournes_Category Template_Actuals NEW_Biscuits Actual Results P12 161210" xfId="2381"/>
    <cellStyle name="_Column5_FT avec ristournes_Category Template_Actuals NEW_Biscuits Actual Results P12 161210 2" xfId="2382"/>
    <cellStyle name="_Column5_FT avec ristournes_Category Template_Actuals NEW_Biscuits Actual Results P12 161210_Category Template_Actuals" xfId="2383"/>
    <cellStyle name="_Column5_FT avec ristournes_Category Template_Actuals NEW_Biscuits Actual Results P12 161210_Category Template_Actuals 2" xfId="2384"/>
    <cellStyle name="_Column5_FT avec ristournes_Category Template_Actuals NEW_Biscuits Actual Results P12 161210_Category Template_Actuals_Biscuits Actual Results P02" xfId="2385"/>
    <cellStyle name="_Column5_FT avec ristournes_Category Template_Actuals NEW_Biscuits Actual Results P12 161210_Category Template_Actuals_Biscuits Actual Results P02 2" xfId="2386"/>
    <cellStyle name="_Column5_FT avec ristournes_Category Template_Actuals NEW_Biscuits Actual Results P12 161210_Category Template_Actuals_Biscuits Actual Results P02_Category Template_Actuals" xfId="2387"/>
    <cellStyle name="_Column5_FT avec ristournes_Category Template_Actuals NEW_Biscuits Actual Results P12 161210_Category Template_Actuals_Biscuits Actual Results P02_Category Template_Actuals_Biscuits Actual Results P04" xfId="2388"/>
    <cellStyle name="_Column5_FT avec ristournes_Category Template_Actuals NEW_Biscuits Actual Results P12 161210_Category Template_Actuals_Biscuits Actual Results P02_Category Template_Actuals_P&amp;L P06 AFH AC US" xfId="2389"/>
    <cellStyle name="_Column5_FT avec ristournes_Category Template_Actuals NEW_Biscuits Actual Results P12 161210_Category Template_Actuals_Biscuits Actual Results P02_P&amp;L" xfId="2390"/>
    <cellStyle name="_Column5_FT avec ristournes_Category Template_Actuals NEW_Biscuits Actual Results P12 161210_Category Template_Actuals_Biscuits Actual Results P02_P&amp;L_P&amp;L KFE" xfId="2391"/>
    <cellStyle name="_Column5_FT avec ristournes_Category Template_Actuals NEW_Biscuits Actual Results P12 161210_Category Template_Actuals_Biscuits Actual Results P02_P&amp;L_Sheet3" xfId="2392"/>
    <cellStyle name="_Column5_FT avec ristournes_Category Template_Actuals NEW_Biscuits Actual Results P12 161210_Category Template_Actuals_Biscuits Actual Results P02_VRAN YTD" xfId="2393"/>
    <cellStyle name="_Column5_FT avec ristournes_Category Template_Actuals NEW_Biscuits Actual Results P12 161210_Category Template_Actuals_Biscuits Actual Results P04" xfId="2394"/>
    <cellStyle name="_Column5_FT avec ristournes_Category Template_Actuals NEW_Biscuits Actual Results P12 161210_Category Template_Actuals_P&amp;L" xfId="2395"/>
    <cellStyle name="_Column5_FT avec ristournes_Category Template_Actuals NEW_Biscuits Actual Results P12 161210_Category Template_Actuals_P&amp;L P06 AFH AC US" xfId="2396"/>
    <cellStyle name="_Column5_FT avec ristournes_Category Template_Actuals NEW_Biscuits Actual Results P12 161210_Category Template_Actuals_P&amp;L_P&amp;L KFE" xfId="2397"/>
    <cellStyle name="_Column5_FT avec ristournes_Category Template_Actuals NEW_Biscuits Actual Results P12 161210_Category Template_Actuals_P&amp;L_Sheet3" xfId="2398"/>
    <cellStyle name="_Column5_FT avec ristournes_Category Template_Actuals NEW_Biscuits Actual Results P12 161210_P&amp;L" xfId="2399"/>
    <cellStyle name="_Column5_FT avec ristournes_Category Template_Actuals NEW_Biscuits Actual Results P12 161210_P&amp;L_P&amp;L KFE" xfId="2400"/>
    <cellStyle name="_Column5_FT avec ristournes_Category Template_Actuals NEW_Biscuits Actual Results P12 161210_P&amp;L_Sheet3" xfId="2401"/>
    <cellStyle name="_Column5_FT avec ristournes_Category Template_Actuals NEW_Biscuits Actual Results P12 161210_VRAN YTD" xfId="2402"/>
    <cellStyle name="_Column5_FT avec ristournes_Category Template_Actuals NEW_P&amp;L" xfId="2403"/>
    <cellStyle name="_Column5_FT avec ristournes_Category Template_Actuals NEW_P&amp;L P06 AFH AC US" xfId="2404"/>
    <cellStyle name="_Column5_FT avec ristournes_Category Template_Actuals NEW_P&amp;L_P&amp;L KFE" xfId="2405"/>
    <cellStyle name="_Column5_FT avec ristournes_Category Template_Actuals NEW_P&amp;L_Sheet3" xfId="2406"/>
    <cellStyle name="_Column5_FT avec ristournes_Category Template_Actuals_Biscuits Actual Results P02" xfId="2407"/>
    <cellStyle name="_Column5_FT avec ristournes_Category Template_Actuals_Biscuits Actual Results P02 2" xfId="2408"/>
    <cellStyle name="_Column5_FT avec ristournes_Category Template_Actuals_Biscuits Actual Results P02_Category Template_Actuals" xfId="2409"/>
    <cellStyle name="_Column5_FT avec ristournes_Category Template_Actuals_Biscuits Actual Results P02_Category Template_Actuals_Biscuits Actual Results P04" xfId="2410"/>
    <cellStyle name="_Column5_FT avec ristournes_Category Template_Actuals_Biscuits Actual Results P02_Category Template_Actuals_P&amp;L P06 AFH AC US" xfId="2411"/>
    <cellStyle name="_Column5_FT avec ristournes_Category Template_Actuals_Biscuits Actual Results P02_P&amp;L" xfId="2412"/>
    <cellStyle name="_Column5_FT avec ristournes_Category Template_Actuals_Biscuits Actual Results P02_P&amp;L_P&amp;L KFE" xfId="2413"/>
    <cellStyle name="_Column5_FT avec ristournes_Category Template_Actuals_Biscuits Actual Results P02_P&amp;L_Sheet3" xfId="2414"/>
    <cellStyle name="_Column5_FT avec ristournes_Category Template_Actuals_Biscuits Actual Results P02_VRAN YTD" xfId="2415"/>
    <cellStyle name="_Column5_FT avec ristournes_Category Template_Actuals_Biscuits Actual Results P04" xfId="2416"/>
    <cellStyle name="_Column5_FT avec ristournes_Category Template_Actuals_P&amp;L" xfId="2417"/>
    <cellStyle name="_Column5_FT avec ristournes_Category Template_Actuals_P&amp;L P06 AFH AC US" xfId="2418"/>
    <cellStyle name="_Column5_FT avec ristournes_Category Template_Actuals_P&amp;L_P&amp;L KFE" xfId="2419"/>
    <cellStyle name="_Column5_FT avec ristournes_Category Template_Actuals_P&amp;L_Sheet3" xfId="2420"/>
    <cellStyle name="_Column5_FT avec ristournes_KFE Category PnL template_Combined_P03 (2)" xfId="2421"/>
    <cellStyle name="_Column5_FT avec ristournes_KFE Category PnL template_Combined_P03 (2)_P&amp;L KFE" xfId="2422"/>
    <cellStyle name="_Column5_FT avec ristournes_KFE Category PnL template_Combined_P03 (2)_Sheet3" xfId="2423"/>
    <cellStyle name="_Column5_FT avec ristournes_KFE Category PnL template_Kraft Legacy (2)" xfId="2424"/>
    <cellStyle name="_Column5_FT avec ristournes_KFE Category PnL template_Kraft Legacy (2)_P&amp;L KFE" xfId="2425"/>
    <cellStyle name="_Column5_FT avec ristournes_KFE Category PnL template_Kraft Legacy (2)_Sheet3" xfId="2426"/>
    <cellStyle name="_Column5_FT avec ristournes_KFE Category PnL template_Kraft Legacy (4)" xfId="2427"/>
    <cellStyle name="_Column5_FT avec ristournes_KFE Category PnL template_Kraft Legacy (4)_P&amp;L KFE" xfId="2428"/>
    <cellStyle name="_Column5_FT avec ristournes_KFE Category PnL template_Kraft Legacy (4)_Sheet3" xfId="2429"/>
    <cellStyle name="_Column5_FT avec ristournes_OI Bridge 0" xfId="2430"/>
    <cellStyle name="_Column5_FT avec ristournes_OI Bridge 0_1" xfId="2431"/>
    <cellStyle name="_Column5_FT avec ristournes_OI Bridge 1" xfId="2432"/>
    <cellStyle name="_Column5_FT avec ristournes_P&amp;L" xfId="2433"/>
    <cellStyle name="_Column5_FT avec ristournes_P&amp;L_P&amp;L KFE" xfId="2434"/>
    <cellStyle name="_Column5_FT avec ristournes_P&amp;L_Sheet3" xfId="2435"/>
    <cellStyle name="_Column5_FT avec ristournes_Sheet1" xfId="2436"/>
    <cellStyle name="_Column5_FT avec ristournes_VRAN YTD" xfId="2437"/>
    <cellStyle name="_Column5_FT avec ristournes_VRAN YTD 2" xfId="2438"/>
    <cellStyle name="_Column5_FT avec ristournes_VRAN YTD_Biscuits Actual Results P01" xfId="2439"/>
    <cellStyle name="_Column5_FT avec ristournes_VRAN YTD_Biscuits Actual Results P01 2" xfId="2440"/>
    <cellStyle name="_Column5_FT avec ristournes_VRAN YTD_Biscuits Actual Results P01_Category Template_Actuals" xfId="2441"/>
    <cellStyle name="_Column5_FT avec ristournes_VRAN YTD_Biscuits Actual Results P01_Category Template_Actuals 2" xfId="2442"/>
    <cellStyle name="_Column5_FT avec ristournes_VRAN YTD_Biscuits Actual Results P01_Category Template_Actuals_Biscuits Actual Results P02" xfId="2443"/>
    <cellStyle name="_Column5_FT avec ristournes_VRAN YTD_Biscuits Actual Results P01_Category Template_Actuals_Biscuits Actual Results P02 2" xfId="2444"/>
    <cellStyle name="_Column5_FT avec ristournes_VRAN YTD_Biscuits Actual Results P01_Category Template_Actuals_Biscuits Actual Results P02_Category Template_Actuals" xfId="2445"/>
    <cellStyle name="_Column5_FT avec ristournes_VRAN YTD_Biscuits Actual Results P01_Category Template_Actuals_Biscuits Actual Results P02_Category Template_Actuals_Biscuits Actual Results P04" xfId="2446"/>
    <cellStyle name="_Column5_FT avec ristournes_VRAN YTD_Biscuits Actual Results P01_Category Template_Actuals_Biscuits Actual Results P02_Category Template_Actuals_P&amp;L P06 AFH AC US" xfId="2447"/>
    <cellStyle name="_Column5_FT avec ristournes_VRAN YTD_Biscuits Actual Results P01_Category Template_Actuals_Biscuits Actual Results P02_P&amp;L" xfId="2448"/>
    <cellStyle name="_Column5_FT avec ristournes_VRAN YTD_Biscuits Actual Results P01_Category Template_Actuals_Biscuits Actual Results P02_P&amp;L_P&amp;L KFE" xfId="2449"/>
    <cellStyle name="_Column5_FT avec ristournes_VRAN YTD_Biscuits Actual Results P01_Category Template_Actuals_Biscuits Actual Results P02_P&amp;L_Sheet3" xfId="2450"/>
    <cellStyle name="_Column5_FT avec ristournes_VRAN YTD_Biscuits Actual Results P01_Category Template_Actuals_Biscuits Actual Results P02_VRAN YTD" xfId="2451"/>
    <cellStyle name="_Column5_FT avec ristournes_VRAN YTD_Biscuits Actual Results P01_Category Template_Actuals_Biscuits Actual Results P04" xfId="2452"/>
    <cellStyle name="_Column5_FT avec ristournes_VRAN YTD_Biscuits Actual Results P01_Category Template_Actuals_P&amp;L" xfId="2453"/>
    <cellStyle name="_Column5_FT avec ristournes_VRAN YTD_Biscuits Actual Results P01_Category Template_Actuals_P&amp;L P06 AFH AC US" xfId="2454"/>
    <cellStyle name="_Column5_FT avec ristournes_VRAN YTD_Biscuits Actual Results P01_Category Template_Actuals_P&amp;L_P&amp;L KFE" xfId="2455"/>
    <cellStyle name="_Column5_FT avec ristournes_VRAN YTD_Biscuits Actual Results P01_Category Template_Actuals_P&amp;L_Sheet3" xfId="2456"/>
    <cellStyle name="_Column5_FT avec ristournes_VRAN YTD_Biscuits Actual Results P01_P&amp;L" xfId="2457"/>
    <cellStyle name="_Column5_FT avec ristournes_VRAN YTD_Biscuits Actual Results P01_P&amp;L_P&amp;L KFE" xfId="2458"/>
    <cellStyle name="_Column5_FT avec ristournes_VRAN YTD_Biscuits Actual Results P01_P&amp;L_Sheet3" xfId="2459"/>
    <cellStyle name="_Column5_FT avec ristournes_VRAN YTD_Biscuits Actual Results P01_VRAN YTD" xfId="2460"/>
    <cellStyle name="_Column5_FT avec ristournes_VRAN YTD_Biscuits Actual Results P02" xfId="2461"/>
    <cellStyle name="_Column5_FT avec ristournes_VRAN YTD_Biscuits Actual Results P02 2" xfId="2462"/>
    <cellStyle name="_Column5_FT avec ristournes_VRAN YTD_Biscuits Actual Results P02_Category Template_Actuals" xfId="2463"/>
    <cellStyle name="_Column5_FT avec ristournes_VRAN YTD_Biscuits Actual Results P02_Category Template_Actuals_Biscuits Actual Results P04" xfId="2464"/>
    <cellStyle name="_Column5_FT avec ristournes_VRAN YTD_Biscuits Actual Results P02_Category Template_Actuals_P&amp;L P06 AFH AC US" xfId="2465"/>
    <cellStyle name="_Column5_FT avec ristournes_VRAN YTD_Biscuits Actual Results P02_P&amp;L" xfId="2466"/>
    <cellStyle name="_Column5_FT avec ristournes_VRAN YTD_Biscuits Actual Results P02_P&amp;L_P&amp;L KFE" xfId="2467"/>
    <cellStyle name="_Column5_FT avec ristournes_VRAN YTD_Biscuits Actual Results P02_P&amp;L_Sheet3" xfId="2468"/>
    <cellStyle name="_Column5_FT avec ristournes_VRAN YTD_Biscuits Actual Results P02_VRAN YTD" xfId="2469"/>
    <cellStyle name="_Column5_FT avec ristournes_VRAN YTD_Biscuits Actual Results P04" xfId="2470"/>
    <cellStyle name="_Column5_FT avec ristournes_VRAN YTD_Biscuits Actual Results P1 BIS" xfId="2471"/>
    <cellStyle name="_Column5_FT avec ristournes_VRAN YTD_Biscuits Actual Results P1 BIS 2" xfId="2472"/>
    <cellStyle name="_Column5_FT avec ristournes_VRAN YTD_Biscuits Actual Results P1 BIS_Category Template_Actuals" xfId="2473"/>
    <cellStyle name="_Column5_FT avec ristournes_VRAN YTD_Biscuits Actual Results P1 BIS_Category Template_Actuals_Biscuits Actual Results P04" xfId="2474"/>
    <cellStyle name="_Column5_FT avec ristournes_VRAN YTD_Biscuits Actual Results P1 BIS_Category Template_Actuals_P&amp;L P06 AFH AC US" xfId="2475"/>
    <cellStyle name="_Column5_FT avec ristournes_VRAN YTD_Biscuits Actual Results P1 BIS_P&amp;L" xfId="2476"/>
    <cellStyle name="_Column5_FT avec ristournes_VRAN YTD_Biscuits Actual Results P1 BIS_P&amp;L_P&amp;L KFE" xfId="2477"/>
    <cellStyle name="_Column5_FT avec ristournes_VRAN YTD_Biscuits Actual Results P1 BIS_P&amp;L_Sheet3" xfId="2478"/>
    <cellStyle name="_Column5_FT avec ristournes_VRAN YTD_Biscuits Actual Results P1 BIS_VRAN YTD" xfId="2479"/>
    <cellStyle name="_Column5_FT avec ristournes_VRAN YTD_Biscuits Actual Results P12 161210" xfId="2480"/>
    <cellStyle name="_Column5_FT avec ristournes_VRAN YTD_Biscuits Actual Results P12 161210 2" xfId="2481"/>
    <cellStyle name="_Column5_FT avec ristournes_VRAN YTD_Biscuits Actual Results P12 161210_Category Template_Actuals" xfId="2482"/>
    <cellStyle name="_Column5_FT avec ristournes_VRAN YTD_Biscuits Actual Results P12 161210_Category Template_Actuals 2" xfId="2483"/>
    <cellStyle name="_Column5_FT avec ristournes_VRAN YTD_Biscuits Actual Results P12 161210_Category Template_Actuals_Biscuits Actual Results P02" xfId="2484"/>
    <cellStyle name="_Column5_FT avec ristournes_VRAN YTD_Biscuits Actual Results P12 161210_Category Template_Actuals_Biscuits Actual Results P02 2" xfId="2485"/>
    <cellStyle name="_Column5_FT avec ristournes_VRAN YTD_Biscuits Actual Results P12 161210_Category Template_Actuals_Biscuits Actual Results P02_Category Template_Actuals" xfId="2486"/>
    <cellStyle name="_Column5_FT avec ristournes_VRAN YTD_Biscuits Actual Results P12 161210_Category Template_Actuals_Biscuits Actual Results P02_Category Template_Actuals_Biscuits Actual Results P04" xfId="2487"/>
    <cellStyle name="_Column5_FT avec ristournes_VRAN YTD_Biscuits Actual Results P12 161210_Category Template_Actuals_Biscuits Actual Results P02_Category Template_Actuals_P&amp;L P06 AFH AC US" xfId="2488"/>
    <cellStyle name="_Column5_FT avec ristournes_VRAN YTD_Biscuits Actual Results P12 161210_Category Template_Actuals_Biscuits Actual Results P02_P&amp;L" xfId="2489"/>
    <cellStyle name="_Column5_FT avec ristournes_VRAN YTD_Biscuits Actual Results P12 161210_Category Template_Actuals_Biscuits Actual Results P02_P&amp;L_P&amp;L KFE" xfId="2490"/>
    <cellStyle name="_Column5_FT avec ristournes_VRAN YTD_Biscuits Actual Results P12 161210_Category Template_Actuals_Biscuits Actual Results P02_P&amp;L_Sheet3" xfId="2491"/>
    <cellStyle name="_Column5_FT avec ristournes_VRAN YTD_Biscuits Actual Results P12 161210_Category Template_Actuals_Biscuits Actual Results P02_VRAN YTD" xfId="2492"/>
    <cellStyle name="_Column5_FT avec ristournes_VRAN YTD_Biscuits Actual Results P12 161210_Category Template_Actuals_Biscuits Actual Results P04" xfId="2493"/>
    <cellStyle name="_Column5_FT avec ristournes_VRAN YTD_Biscuits Actual Results P12 161210_Category Template_Actuals_P&amp;L" xfId="2494"/>
    <cellStyle name="_Column5_FT avec ristournes_VRAN YTD_Biscuits Actual Results P12 161210_Category Template_Actuals_P&amp;L P06 AFH AC US" xfId="2495"/>
    <cellStyle name="_Column5_FT avec ristournes_VRAN YTD_Biscuits Actual Results P12 161210_Category Template_Actuals_P&amp;L_P&amp;L KFE" xfId="2496"/>
    <cellStyle name="_Column5_FT avec ristournes_VRAN YTD_Biscuits Actual Results P12 161210_Category Template_Actuals_P&amp;L_Sheet3" xfId="2497"/>
    <cellStyle name="_Column5_FT avec ristournes_VRAN YTD_Biscuits Actual Results P12 161210_P&amp;L" xfId="2498"/>
    <cellStyle name="_Column5_FT avec ristournes_VRAN YTD_Biscuits Actual Results P12 161210_P&amp;L_P&amp;L KFE" xfId="2499"/>
    <cellStyle name="_Column5_FT avec ristournes_VRAN YTD_Biscuits Actual Results P12 161210_P&amp;L_Sheet3" xfId="2500"/>
    <cellStyle name="_Column5_FT avec ristournes_VRAN YTD_Biscuits Actual Results P12 161210_VRAN YTD" xfId="2501"/>
    <cellStyle name="_Column5_FT avec ristournes_VRAN YTD_P&amp;L" xfId="2502"/>
    <cellStyle name="_Column5_FT avec ristournes_VRAN YTD_P&amp;L P06 AFH AC US" xfId="2503"/>
    <cellStyle name="_Column5_FT avec ristournes_VRAN YTD_P&amp;L_P&amp;L KFE" xfId="2504"/>
    <cellStyle name="_Column5_FT avec ristournes_VRAN YTD_P&amp;L_Sheet3" xfId="2505"/>
    <cellStyle name="_Column5_Key drivers May Fc vs AOP 12-05-10" xfId="2506"/>
    <cellStyle name="_Column5_KFE Category PnL template_Combined_P03 (2)" xfId="2507"/>
    <cellStyle name="_Column5_KFE Category PnL template_Combined_P03 (2)_P&amp;L KFE" xfId="2508"/>
    <cellStyle name="_Column5_KFE Category PnL template_Combined_P03 (2)_Sheet3" xfId="2509"/>
    <cellStyle name="_Column5_KFE Category PnL template_Kraft Legacy (2)" xfId="2510"/>
    <cellStyle name="_Column5_KFE Category PnL template_Kraft Legacy (2)_P&amp;L KFE" xfId="2511"/>
    <cellStyle name="_Column5_KFE Category PnL template_Kraft Legacy (2)_Sheet3" xfId="2512"/>
    <cellStyle name="_Column5_KFE Category PnL template_Kraft Legacy (4)" xfId="2513"/>
    <cellStyle name="_Column5_KFE Category PnL template_Kraft Legacy (4)_P&amp;L KFE" xfId="2514"/>
    <cellStyle name="_Column5_KFE Category PnL template_Kraft Legacy (4)_Sheet3" xfId="2515"/>
    <cellStyle name="_Column5_Monthly report P04" xfId="2516"/>
    <cellStyle name="_Column5_OI Bridge 0" xfId="2517"/>
    <cellStyle name="_Column5_OI Bridge 0_1" xfId="2518"/>
    <cellStyle name="_Column5_OI Bridge 1" xfId="2519"/>
    <cellStyle name="_Column5_P&amp;L" xfId="2520"/>
    <cellStyle name="_Column5_P&amp;L KBE 2008-2011" xfId="2521"/>
    <cellStyle name="_Column5_P&amp;L KBE 2008-2011 2" xfId="2522"/>
    <cellStyle name="_Column5_P&amp;L_P&amp;L KFE" xfId="2523"/>
    <cellStyle name="_Column5_P&amp;L_Sheet3" xfId="2524"/>
    <cellStyle name="_Column5_Pricing bridge template" xfId="2525"/>
    <cellStyle name="_Column5_Pricing bridge template 2" xfId="2526"/>
    <cellStyle name="_Column5_Pricing bridge template_P&amp;L KFE" xfId="2527"/>
    <cellStyle name="_Column5_Pricing bridge template_Sheet3" xfId="2528"/>
    <cellStyle name="_Column5_RIG &amp; NC graphs" xfId="2529"/>
    <cellStyle name="_Column5_Sheet1" xfId="2530"/>
    <cellStyle name="_Column5_VRAN YTD" xfId="2531"/>
    <cellStyle name="_Column5_VRAN YTD 2" xfId="2532"/>
    <cellStyle name="_Column5_VRAN YTD_Biscuits Actual Results P01" xfId="2533"/>
    <cellStyle name="_Column5_VRAN YTD_Biscuits Actual Results P01 2" xfId="2534"/>
    <cellStyle name="_Column5_VRAN YTD_Biscuits Actual Results P01_Category Template_Actuals" xfId="2535"/>
    <cellStyle name="_Column5_VRAN YTD_Biscuits Actual Results P01_Category Template_Actuals 2" xfId="2536"/>
    <cellStyle name="_Column5_VRAN YTD_Biscuits Actual Results P01_Category Template_Actuals_Biscuits Actual Results P02" xfId="2537"/>
    <cellStyle name="_Column5_VRAN YTD_Biscuits Actual Results P01_Category Template_Actuals_Biscuits Actual Results P02 2" xfId="2538"/>
    <cellStyle name="_Column5_VRAN YTD_Biscuits Actual Results P01_Category Template_Actuals_Biscuits Actual Results P02_Category Template_Actuals" xfId="2539"/>
    <cellStyle name="_Column5_VRAN YTD_Biscuits Actual Results P01_Category Template_Actuals_Biscuits Actual Results P02_Category Template_Actuals_Biscuits Actual Results P04" xfId="2540"/>
    <cellStyle name="_Column5_VRAN YTD_Biscuits Actual Results P01_Category Template_Actuals_Biscuits Actual Results P02_Category Template_Actuals_P&amp;L P06 AFH AC US" xfId="2541"/>
    <cellStyle name="_Column5_VRAN YTD_Biscuits Actual Results P01_Category Template_Actuals_Biscuits Actual Results P02_P&amp;L" xfId="2542"/>
    <cellStyle name="_Column5_VRAN YTD_Biscuits Actual Results P01_Category Template_Actuals_Biscuits Actual Results P02_P&amp;L_P&amp;L KFE" xfId="2543"/>
    <cellStyle name="_Column5_VRAN YTD_Biscuits Actual Results P01_Category Template_Actuals_Biscuits Actual Results P02_P&amp;L_Sheet3" xfId="2544"/>
    <cellStyle name="_Column5_VRAN YTD_Biscuits Actual Results P01_Category Template_Actuals_Biscuits Actual Results P02_VRAN YTD" xfId="2545"/>
    <cellStyle name="_Column5_VRAN YTD_Biscuits Actual Results P01_Category Template_Actuals_Biscuits Actual Results P04" xfId="2546"/>
    <cellStyle name="_Column5_VRAN YTD_Biscuits Actual Results P01_Category Template_Actuals_P&amp;L" xfId="2547"/>
    <cellStyle name="_Column5_VRAN YTD_Biscuits Actual Results P01_Category Template_Actuals_P&amp;L P06 AFH AC US" xfId="2548"/>
    <cellStyle name="_Column5_VRAN YTD_Biscuits Actual Results P01_Category Template_Actuals_P&amp;L_P&amp;L KFE" xfId="2549"/>
    <cellStyle name="_Column5_VRAN YTD_Biscuits Actual Results P01_Category Template_Actuals_P&amp;L_Sheet3" xfId="2550"/>
    <cellStyle name="_Column5_VRAN YTD_Biscuits Actual Results P01_P&amp;L" xfId="2551"/>
    <cellStyle name="_Column5_VRAN YTD_Biscuits Actual Results P01_P&amp;L_P&amp;L KFE" xfId="2552"/>
    <cellStyle name="_Column5_VRAN YTD_Biscuits Actual Results P01_P&amp;L_Sheet3" xfId="2553"/>
    <cellStyle name="_Column5_VRAN YTD_Biscuits Actual Results P01_VRAN YTD" xfId="2554"/>
    <cellStyle name="_Column5_VRAN YTD_Biscuits Actual Results P02" xfId="2555"/>
    <cellStyle name="_Column5_VRAN YTD_Biscuits Actual Results P02 2" xfId="2556"/>
    <cellStyle name="_Column5_VRAN YTD_Biscuits Actual Results P02_Category Template_Actuals" xfId="2557"/>
    <cellStyle name="_Column5_VRAN YTD_Biscuits Actual Results P02_Category Template_Actuals_Biscuits Actual Results P04" xfId="2558"/>
    <cellStyle name="_Column5_VRAN YTD_Biscuits Actual Results P02_Category Template_Actuals_P&amp;L P06 AFH AC US" xfId="2559"/>
    <cellStyle name="_Column5_VRAN YTD_Biscuits Actual Results P02_P&amp;L" xfId="2560"/>
    <cellStyle name="_Column5_VRAN YTD_Biscuits Actual Results P02_P&amp;L_P&amp;L KFE" xfId="2561"/>
    <cellStyle name="_Column5_VRAN YTD_Biscuits Actual Results P02_P&amp;L_Sheet3" xfId="2562"/>
    <cellStyle name="_Column5_VRAN YTD_Biscuits Actual Results P02_VRAN YTD" xfId="2563"/>
    <cellStyle name="_Column5_VRAN YTD_Biscuits Actual Results P04" xfId="2564"/>
    <cellStyle name="_Column5_VRAN YTD_Biscuits Actual Results P1 BIS" xfId="2565"/>
    <cellStyle name="_Column5_VRAN YTD_Biscuits Actual Results P1 BIS 2" xfId="2566"/>
    <cellStyle name="_Column5_VRAN YTD_Biscuits Actual Results P1 BIS_Category Template_Actuals" xfId="2567"/>
    <cellStyle name="_Column5_VRAN YTD_Biscuits Actual Results P1 BIS_Category Template_Actuals_Biscuits Actual Results P04" xfId="2568"/>
    <cellStyle name="_Column5_VRAN YTD_Biscuits Actual Results P1 BIS_Category Template_Actuals_P&amp;L P06 AFH AC US" xfId="2569"/>
    <cellStyle name="_Column5_VRAN YTD_Biscuits Actual Results P1 BIS_P&amp;L" xfId="2570"/>
    <cellStyle name="_Column5_VRAN YTD_Biscuits Actual Results P1 BIS_P&amp;L_P&amp;L KFE" xfId="2571"/>
    <cellStyle name="_Column5_VRAN YTD_Biscuits Actual Results P1 BIS_P&amp;L_Sheet3" xfId="2572"/>
    <cellStyle name="_Column5_VRAN YTD_Biscuits Actual Results P1 BIS_VRAN YTD" xfId="2573"/>
    <cellStyle name="_Column5_VRAN YTD_Biscuits Actual Results P12 161210" xfId="2574"/>
    <cellStyle name="_Column5_VRAN YTD_Biscuits Actual Results P12 161210 2" xfId="2575"/>
    <cellStyle name="_Column5_VRAN YTD_Biscuits Actual Results P12 161210_Category Template_Actuals" xfId="2576"/>
    <cellStyle name="_Column5_VRAN YTD_Biscuits Actual Results P12 161210_Category Template_Actuals 2" xfId="2577"/>
    <cellStyle name="_Column5_VRAN YTD_Biscuits Actual Results P12 161210_Category Template_Actuals_Biscuits Actual Results P02" xfId="2578"/>
    <cellStyle name="_Column5_VRAN YTD_Biscuits Actual Results P12 161210_Category Template_Actuals_Biscuits Actual Results P02 2" xfId="2579"/>
    <cellStyle name="_Column5_VRAN YTD_Biscuits Actual Results P12 161210_Category Template_Actuals_Biscuits Actual Results P02_Category Template_Actuals" xfId="2580"/>
    <cellStyle name="_Column5_VRAN YTD_Biscuits Actual Results P12 161210_Category Template_Actuals_Biscuits Actual Results P02_Category Template_Actuals_Biscuits Actual Results P04" xfId="2581"/>
    <cellStyle name="_Column5_VRAN YTD_Biscuits Actual Results P12 161210_Category Template_Actuals_Biscuits Actual Results P02_Category Template_Actuals_P&amp;L P06 AFH AC US" xfId="2582"/>
    <cellStyle name="_Column5_VRAN YTD_Biscuits Actual Results P12 161210_Category Template_Actuals_Biscuits Actual Results P02_P&amp;L" xfId="2583"/>
    <cellStyle name="_Column5_VRAN YTD_Biscuits Actual Results P12 161210_Category Template_Actuals_Biscuits Actual Results P02_P&amp;L_P&amp;L KFE" xfId="2584"/>
    <cellStyle name="_Column5_VRAN YTD_Biscuits Actual Results P12 161210_Category Template_Actuals_Biscuits Actual Results P02_P&amp;L_Sheet3" xfId="2585"/>
    <cellStyle name="_Column5_VRAN YTD_Biscuits Actual Results P12 161210_Category Template_Actuals_Biscuits Actual Results P02_VRAN YTD" xfId="2586"/>
    <cellStyle name="_Column5_VRAN YTD_Biscuits Actual Results P12 161210_Category Template_Actuals_Biscuits Actual Results P04" xfId="2587"/>
    <cellStyle name="_Column5_VRAN YTD_Biscuits Actual Results P12 161210_Category Template_Actuals_P&amp;L" xfId="2588"/>
    <cellStyle name="_Column5_VRAN YTD_Biscuits Actual Results P12 161210_Category Template_Actuals_P&amp;L P06 AFH AC US" xfId="2589"/>
    <cellStyle name="_Column5_VRAN YTD_Biscuits Actual Results P12 161210_Category Template_Actuals_P&amp;L_P&amp;L KFE" xfId="2590"/>
    <cellStyle name="_Column5_VRAN YTD_Biscuits Actual Results P12 161210_Category Template_Actuals_P&amp;L_Sheet3" xfId="2591"/>
    <cellStyle name="_Column5_VRAN YTD_Biscuits Actual Results P12 161210_P&amp;L" xfId="2592"/>
    <cellStyle name="_Column5_VRAN YTD_Biscuits Actual Results P12 161210_P&amp;L_P&amp;L KFE" xfId="2593"/>
    <cellStyle name="_Column5_VRAN YTD_Biscuits Actual Results P12 161210_P&amp;L_Sheet3" xfId="2594"/>
    <cellStyle name="_Column5_VRAN YTD_Biscuits Actual Results P12 161210_VRAN YTD" xfId="2595"/>
    <cellStyle name="_Column5_VRAN YTD_P&amp;L" xfId="2596"/>
    <cellStyle name="_Column5_VRAN YTD_P&amp;L P06 AFH AC US" xfId="2597"/>
    <cellStyle name="_Column5_VRAN YTD_P&amp;L_P&amp;L KFE" xfId="2598"/>
    <cellStyle name="_Column5_VRAN YTD_P&amp;L_Sheet3" xfId="2599"/>
    <cellStyle name="_Column5_WP_AC11 P&amp;L LFL 27.10.10" xfId="2600"/>
    <cellStyle name="_Column6" xfId="2601"/>
    <cellStyle name="_Column6 2" xfId="2602"/>
    <cellStyle name="_Column6 3" xfId="2603"/>
    <cellStyle name="_Column6 3_P&amp;L KFE" xfId="2604"/>
    <cellStyle name="_Column6 3_Sheet3" xfId="2605"/>
    <cellStyle name="_Column6 4" xfId="2606"/>
    <cellStyle name="_Column6__P09 - Key Drivers KBE" xfId="2607"/>
    <cellStyle name="_Column6__P09 - Key Drivers KBE 2" xfId="2608"/>
    <cellStyle name="_Column6__P10 - Key Drivers KBE" xfId="2609"/>
    <cellStyle name="_Column6__P10 - Key Drivers KBE 2" xfId="2610"/>
    <cellStyle name="_Column6_2011 Targets by category Aug 25" xfId="2611"/>
    <cellStyle name="_Column6_AC11 conso @Cst Fx" xfId="2612"/>
    <cellStyle name="_Column6_AC11 conso @Cst Fx 2" xfId="2613"/>
    <cellStyle name="_Column6_AC11 conso @Cst Fx after LFL restatement" xfId="2614"/>
    <cellStyle name="_Column6_AC11 conso @Cst Fx after LFL restatement 2" xfId="2615"/>
    <cellStyle name="_Column6_AC11 conso @Cst Fx after LFL restatement_P&amp;L KFE" xfId="2616"/>
    <cellStyle name="_Column6_AC11 conso @Cst Fx after LFL restatement_Sheet3" xfId="2617"/>
    <cellStyle name="_Column6_AC11 conso @Cst Fx_P&amp;L KFE" xfId="2618"/>
    <cellStyle name="_Column6_AC11 conso @Cst Fx_Sheet3" xfId="2619"/>
    <cellStyle name="_Column6_Category PnL" xfId="2620"/>
    <cellStyle name="_Column6_Category PnL 2" xfId="2621"/>
    <cellStyle name="_Column6_Category PnL_P&amp;L KFE" xfId="2622"/>
    <cellStyle name="_Column6_Category PnL_Sheet3" xfId="2623"/>
    <cellStyle name="_Column6_Category Targets 2011_1.2" xfId="2624"/>
    <cellStyle name="_Column6_Category Template_Actuals" xfId="2625"/>
    <cellStyle name="_Column6_Category Template_Actuals 2" xfId="2626"/>
    <cellStyle name="_Column6_Category Template_Actuals NEW" xfId="2627"/>
    <cellStyle name="_Column6_Category Template_Actuals NEW 2" xfId="2628"/>
    <cellStyle name="_Column6_Category Template_Actuals NEW_Biscuits Actual Results P01" xfId="2629"/>
    <cellStyle name="_Column6_Category Template_Actuals NEW_Biscuits Actual Results P01 2" xfId="2630"/>
    <cellStyle name="_Column6_Category Template_Actuals NEW_Biscuits Actual Results P01_Category Template_Actuals" xfId="2631"/>
    <cellStyle name="_Column6_Category Template_Actuals NEW_Biscuits Actual Results P01_Category Template_Actuals 2" xfId="2632"/>
    <cellStyle name="_Column6_Category Template_Actuals NEW_Biscuits Actual Results P01_Category Template_Actuals_Biscuits Actual Results P02" xfId="2633"/>
    <cellStyle name="_Column6_Category Template_Actuals NEW_Biscuits Actual Results P01_Category Template_Actuals_Biscuits Actual Results P02 2" xfId="2634"/>
    <cellStyle name="_Column6_Category Template_Actuals NEW_Biscuits Actual Results P01_Category Template_Actuals_Biscuits Actual Results P02_Category Template_Actuals" xfId="2635"/>
    <cellStyle name="_Column6_Category Template_Actuals NEW_Biscuits Actual Results P01_Category Template_Actuals_Biscuits Actual Results P02_Category Template_Actuals_Biscuits Actual Results P04" xfId="2636"/>
    <cellStyle name="_Column6_Category Template_Actuals NEW_Biscuits Actual Results P01_Category Template_Actuals_Biscuits Actual Results P02_Category Template_Actuals_P&amp;L P06 AFH AC US" xfId="2637"/>
    <cellStyle name="_Column6_Category Template_Actuals NEW_Biscuits Actual Results P01_Category Template_Actuals_Biscuits Actual Results P02_P&amp;L" xfId="2638"/>
    <cellStyle name="_Column6_Category Template_Actuals NEW_Biscuits Actual Results P01_Category Template_Actuals_Biscuits Actual Results P02_P&amp;L_P&amp;L KFE" xfId="2639"/>
    <cellStyle name="_Column6_Category Template_Actuals NEW_Biscuits Actual Results P01_Category Template_Actuals_Biscuits Actual Results P02_P&amp;L_Sheet3" xfId="2640"/>
    <cellStyle name="_Column6_Category Template_Actuals NEW_Biscuits Actual Results P01_Category Template_Actuals_Biscuits Actual Results P02_VRAN YTD" xfId="2641"/>
    <cellStyle name="_Column6_Category Template_Actuals NEW_Biscuits Actual Results P01_Category Template_Actuals_Biscuits Actual Results P04" xfId="2642"/>
    <cellStyle name="_Column6_Category Template_Actuals NEW_Biscuits Actual Results P01_Category Template_Actuals_P&amp;L" xfId="2643"/>
    <cellStyle name="_Column6_Category Template_Actuals NEW_Biscuits Actual Results P01_Category Template_Actuals_P&amp;L P06 AFH AC US" xfId="2644"/>
    <cellStyle name="_Column6_Category Template_Actuals NEW_Biscuits Actual Results P01_Category Template_Actuals_P&amp;L_P&amp;L KFE" xfId="2645"/>
    <cellStyle name="_Column6_Category Template_Actuals NEW_Biscuits Actual Results P01_Category Template_Actuals_P&amp;L_Sheet3" xfId="2646"/>
    <cellStyle name="_Column6_Category Template_Actuals NEW_Biscuits Actual Results P01_P&amp;L" xfId="2647"/>
    <cellStyle name="_Column6_Category Template_Actuals NEW_Biscuits Actual Results P01_P&amp;L_P&amp;L KFE" xfId="2648"/>
    <cellStyle name="_Column6_Category Template_Actuals NEW_Biscuits Actual Results P01_P&amp;L_Sheet3" xfId="2649"/>
    <cellStyle name="_Column6_Category Template_Actuals NEW_Biscuits Actual Results P01_VRAN YTD" xfId="2650"/>
    <cellStyle name="_Column6_Category Template_Actuals NEW_Biscuits Actual Results P02" xfId="2651"/>
    <cellStyle name="_Column6_Category Template_Actuals NEW_Biscuits Actual Results P02 2" xfId="2652"/>
    <cellStyle name="_Column6_Category Template_Actuals NEW_Biscuits Actual Results P02_Category Template_Actuals" xfId="2653"/>
    <cellStyle name="_Column6_Category Template_Actuals NEW_Biscuits Actual Results P02_Category Template_Actuals_Biscuits Actual Results P04" xfId="2654"/>
    <cellStyle name="_Column6_Category Template_Actuals NEW_Biscuits Actual Results P02_Category Template_Actuals_P&amp;L P06 AFH AC US" xfId="2655"/>
    <cellStyle name="_Column6_Category Template_Actuals NEW_Biscuits Actual Results P02_P&amp;L" xfId="2656"/>
    <cellStyle name="_Column6_Category Template_Actuals NEW_Biscuits Actual Results P02_P&amp;L_P&amp;L KFE" xfId="2657"/>
    <cellStyle name="_Column6_Category Template_Actuals NEW_Biscuits Actual Results P02_P&amp;L_Sheet3" xfId="2658"/>
    <cellStyle name="_Column6_Category Template_Actuals NEW_Biscuits Actual Results P02_VRAN YTD" xfId="2659"/>
    <cellStyle name="_Column6_Category Template_Actuals NEW_Biscuits Actual Results P04" xfId="2660"/>
    <cellStyle name="_Column6_Category Template_Actuals NEW_Biscuits Actual Results P1 BIS" xfId="2661"/>
    <cellStyle name="_Column6_Category Template_Actuals NEW_Biscuits Actual Results P1 BIS 2" xfId="2662"/>
    <cellStyle name="_Column6_Category Template_Actuals NEW_Biscuits Actual Results P1 BIS_Category Template_Actuals" xfId="2663"/>
    <cellStyle name="_Column6_Category Template_Actuals NEW_Biscuits Actual Results P1 BIS_Category Template_Actuals_Biscuits Actual Results P04" xfId="2664"/>
    <cellStyle name="_Column6_Category Template_Actuals NEW_Biscuits Actual Results P1 BIS_Category Template_Actuals_P&amp;L P06 AFH AC US" xfId="2665"/>
    <cellStyle name="_Column6_Category Template_Actuals NEW_Biscuits Actual Results P1 BIS_P&amp;L" xfId="2666"/>
    <cellStyle name="_Column6_Category Template_Actuals NEW_Biscuits Actual Results P1 BIS_P&amp;L_P&amp;L KFE" xfId="2667"/>
    <cellStyle name="_Column6_Category Template_Actuals NEW_Biscuits Actual Results P1 BIS_P&amp;L_Sheet3" xfId="2668"/>
    <cellStyle name="_Column6_Category Template_Actuals NEW_Biscuits Actual Results P1 BIS_VRAN YTD" xfId="2669"/>
    <cellStyle name="_Column6_Category Template_Actuals NEW_Biscuits Actual Results P12 161210" xfId="2670"/>
    <cellStyle name="_Column6_Category Template_Actuals NEW_Biscuits Actual Results P12 161210 2" xfId="2671"/>
    <cellStyle name="_Column6_Category Template_Actuals NEW_Biscuits Actual Results P12 161210_Category Template_Actuals" xfId="2672"/>
    <cellStyle name="_Column6_Category Template_Actuals NEW_Biscuits Actual Results P12 161210_Category Template_Actuals 2" xfId="2673"/>
    <cellStyle name="_Column6_Category Template_Actuals NEW_Biscuits Actual Results P12 161210_Category Template_Actuals_Biscuits Actual Results P02" xfId="2674"/>
    <cellStyle name="_Column6_Category Template_Actuals NEW_Biscuits Actual Results P12 161210_Category Template_Actuals_Biscuits Actual Results P02 2" xfId="2675"/>
    <cellStyle name="_Column6_Category Template_Actuals NEW_Biscuits Actual Results P12 161210_Category Template_Actuals_Biscuits Actual Results P02_Category Template_Actuals" xfId="2676"/>
    <cellStyle name="_Column6_Category Template_Actuals NEW_Biscuits Actual Results P12 161210_Category Template_Actuals_Biscuits Actual Results P02_Category Template_Actuals_Biscuits Actual Results P04" xfId="2677"/>
    <cellStyle name="_Column6_Category Template_Actuals NEW_Biscuits Actual Results P12 161210_Category Template_Actuals_Biscuits Actual Results P02_Category Template_Actuals_P&amp;L P06 AFH AC US" xfId="2678"/>
    <cellStyle name="_Column6_Category Template_Actuals NEW_Biscuits Actual Results P12 161210_Category Template_Actuals_Biscuits Actual Results P02_P&amp;L" xfId="2679"/>
    <cellStyle name="_Column6_Category Template_Actuals NEW_Biscuits Actual Results P12 161210_Category Template_Actuals_Biscuits Actual Results P02_P&amp;L_P&amp;L KFE" xfId="2680"/>
    <cellStyle name="_Column6_Category Template_Actuals NEW_Biscuits Actual Results P12 161210_Category Template_Actuals_Biscuits Actual Results P02_P&amp;L_Sheet3" xfId="2681"/>
    <cellStyle name="_Column6_Category Template_Actuals NEW_Biscuits Actual Results P12 161210_Category Template_Actuals_Biscuits Actual Results P02_VRAN YTD" xfId="2682"/>
    <cellStyle name="_Column6_Category Template_Actuals NEW_Biscuits Actual Results P12 161210_Category Template_Actuals_Biscuits Actual Results P04" xfId="2683"/>
    <cellStyle name="_Column6_Category Template_Actuals NEW_Biscuits Actual Results P12 161210_Category Template_Actuals_P&amp;L" xfId="2684"/>
    <cellStyle name="_Column6_Category Template_Actuals NEW_Biscuits Actual Results P12 161210_Category Template_Actuals_P&amp;L P06 AFH AC US" xfId="2685"/>
    <cellStyle name="_Column6_Category Template_Actuals NEW_Biscuits Actual Results P12 161210_Category Template_Actuals_P&amp;L_P&amp;L KFE" xfId="2686"/>
    <cellStyle name="_Column6_Category Template_Actuals NEW_Biscuits Actual Results P12 161210_Category Template_Actuals_P&amp;L_Sheet3" xfId="2687"/>
    <cellStyle name="_Column6_Category Template_Actuals NEW_Biscuits Actual Results P12 161210_P&amp;L" xfId="2688"/>
    <cellStyle name="_Column6_Category Template_Actuals NEW_Biscuits Actual Results P12 161210_P&amp;L_P&amp;L KFE" xfId="2689"/>
    <cellStyle name="_Column6_Category Template_Actuals NEW_Biscuits Actual Results P12 161210_P&amp;L_Sheet3" xfId="2690"/>
    <cellStyle name="_Column6_Category Template_Actuals NEW_Biscuits Actual Results P12 161210_VRAN YTD" xfId="2691"/>
    <cellStyle name="_Column6_Category Template_Actuals NEW_P&amp;L" xfId="2692"/>
    <cellStyle name="_Column6_Category Template_Actuals NEW_P&amp;L P06 AFH AC US" xfId="2693"/>
    <cellStyle name="_Column6_Category Template_Actuals NEW_P&amp;L_P&amp;L KFE" xfId="2694"/>
    <cellStyle name="_Column6_Category Template_Actuals NEW_P&amp;L_Sheet3" xfId="2695"/>
    <cellStyle name="_Column6_Category Template_Actuals_Biscuits Actual Results P02" xfId="2696"/>
    <cellStyle name="_Column6_Category Template_Actuals_Biscuits Actual Results P02 2" xfId="2697"/>
    <cellStyle name="_Column6_Category Template_Actuals_Biscuits Actual Results P02_Category Template_Actuals" xfId="2698"/>
    <cellStyle name="_Column6_Category Template_Actuals_Biscuits Actual Results P02_Category Template_Actuals_Biscuits Actual Results P04" xfId="2699"/>
    <cellStyle name="_Column6_Category Template_Actuals_Biscuits Actual Results P02_Category Template_Actuals_P&amp;L P06 AFH AC US" xfId="2700"/>
    <cellStyle name="_Column6_Category Template_Actuals_Biscuits Actual Results P02_P&amp;L" xfId="2701"/>
    <cellStyle name="_Column6_Category Template_Actuals_Biscuits Actual Results P02_P&amp;L_P&amp;L KFE" xfId="2702"/>
    <cellStyle name="_Column6_Category Template_Actuals_Biscuits Actual Results P02_P&amp;L_Sheet3" xfId="2703"/>
    <cellStyle name="_Column6_Category Template_Actuals_Biscuits Actual Results P02_VRAN YTD" xfId="2704"/>
    <cellStyle name="_Column6_Category Template_Actuals_Biscuits Actual Results P04" xfId="2705"/>
    <cellStyle name="_Column6_Category Template_Actuals_P&amp;L" xfId="2706"/>
    <cellStyle name="_Column6_Category Template_Actuals_P&amp;L P06 AFH AC US" xfId="2707"/>
    <cellStyle name="_Column6_Category Template_Actuals_P&amp;L_P&amp;L KFE" xfId="2708"/>
    <cellStyle name="_Column6_Category Template_Actuals_P&amp;L_Sheet3" xfId="2709"/>
    <cellStyle name="_Column6_EVA COGS AC11 vs AugFc_24-09" xfId="2710"/>
    <cellStyle name="_Column6_Finance review Lu France 2007" xfId="2711"/>
    <cellStyle name="_Column6_Finance review Lu France 2007 2" xfId="2712"/>
    <cellStyle name="_Column6_Finance review Lu France 2007 2_P&amp;L KFE" xfId="2713"/>
    <cellStyle name="_Column6_Finance review Lu France 2007 2_Sheet3" xfId="2714"/>
    <cellStyle name="_Column6_Finance review Lu France 2007 3" xfId="2715"/>
    <cellStyle name="_Column6_Finance review Lu France 2007_2011 Targets by category Aug 25" xfId="2716"/>
    <cellStyle name="_Column6_Finance review Lu France 2007_AC11 conso @Cst Fx" xfId="2717"/>
    <cellStyle name="_Column6_Finance review Lu France 2007_AC11 conso @Cst Fx 2" xfId="2718"/>
    <cellStyle name="_Column6_Finance review Lu France 2007_AC11 conso @Cst Fx after LFL restatement" xfId="2719"/>
    <cellStyle name="_Column6_Finance review Lu France 2007_AC11 conso @Cst Fx after LFL restatement 2" xfId="2720"/>
    <cellStyle name="_Column6_Finance review Lu France 2007_AC11 conso @Cst Fx after LFL restatement_P&amp;L KFE" xfId="2721"/>
    <cellStyle name="_Column6_Finance review Lu France 2007_AC11 conso @Cst Fx after LFL restatement_Sheet3" xfId="2722"/>
    <cellStyle name="_Column6_Finance review Lu France 2007_AC11 conso @Cst Fx_P&amp;L KFE" xfId="2723"/>
    <cellStyle name="_Column6_Finance review Lu France 2007_AC11 conso @Cst Fx_Sheet3" xfId="2724"/>
    <cellStyle name="_Column6_Finance review Lu France 2007_Category PnL" xfId="2725"/>
    <cellStyle name="_Column6_Finance review Lu France 2007_Category PnL 2" xfId="2726"/>
    <cellStyle name="_Column6_Finance review Lu France 2007_Category PnL_P&amp;L KFE" xfId="2727"/>
    <cellStyle name="_Column6_Finance review Lu France 2007_Category PnL_Sheet3" xfId="2728"/>
    <cellStyle name="_Column6_Finance review Lu France 2007_Category Targets 2011_1.2" xfId="2729"/>
    <cellStyle name="_Column6_Finance review Lu France 2007_Category Template_Actuals" xfId="2730"/>
    <cellStyle name="_Column6_Finance review Lu France 2007_Category Template_Actuals 2" xfId="2731"/>
    <cellStyle name="_Column6_Finance review Lu France 2007_Category Template_Actuals NEW" xfId="2732"/>
    <cellStyle name="_Column6_Finance review Lu France 2007_Category Template_Actuals NEW 2" xfId="2733"/>
    <cellStyle name="_Column6_Finance review Lu France 2007_Category Template_Actuals NEW_Biscuits Actual Results P01" xfId="2734"/>
    <cellStyle name="_Column6_Finance review Lu France 2007_Category Template_Actuals NEW_Biscuits Actual Results P01 2" xfId="2735"/>
    <cellStyle name="_Column6_Finance review Lu France 2007_Category Template_Actuals NEW_Biscuits Actual Results P01_Category Template_Actuals" xfId="2736"/>
    <cellStyle name="_Column6_Finance review Lu France 2007_Category Template_Actuals NEW_Biscuits Actual Results P01_Category Template_Actuals 2" xfId="2737"/>
    <cellStyle name="_Column6_Finance review Lu France 2007_Category Template_Actuals NEW_Biscuits Actual Results P01_Category Template_Actuals_Biscuits Actual Results P02" xfId="2738"/>
    <cellStyle name="_Column6_Finance review Lu France 2007_Category Template_Actuals NEW_Biscuits Actual Results P01_Category Template_Actuals_Biscuits Actual Results P02 2" xfId="2739"/>
    <cellStyle name="_Column6_Finance review Lu France 2007_Category Template_Actuals NEW_Biscuits Actual Results P01_Category Template_Actuals_Biscuits Actual Results P02_Category Template_Actuals" xfId="2740"/>
    <cellStyle name="_Column6_Finance review Lu France 2007_Category Template_Actuals NEW_Biscuits Actual Results P01_Category Template_Actuals_Biscuits Actual Results P02_Category Template_Actuals_Biscuits Actual Results P04" xfId="2741"/>
    <cellStyle name="_Column6_Finance review Lu France 2007_Category Template_Actuals NEW_Biscuits Actual Results P01_Category Template_Actuals_Biscuits Actual Results P02_Category Template_Actuals_P&amp;L P06 AFH AC US" xfId="2742"/>
    <cellStyle name="_Column6_Finance review Lu France 2007_Category Template_Actuals NEW_Biscuits Actual Results P01_Category Template_Actuals_Biscuits Actual Results P02_P&amp;L" xfId="2743"/>
    <cellStyle name="_Column6_Finance review Lu France 2007_Category Template_Actuals NEW_Biscuits Actual Results P01_Category Template_Actuals_Biscuits Actual Results P02_P&amp;L_P&amp;L KFE" xfId="2744"/>
    <cellStyle name="_Column6_Finance review Lu France 2007_Category Template_Actuals NEW_Biscuits Actual Results P01_Category Template_Actuals_Biscuits Actual Results P02_P&amp;L_Sheet3" xfId="2745"/>
    <cellStyle name="_Column6_Finance review Lu France 2007_Category Template_Actuals NEW_Biscuits Actual Results P01_Category Template_Actuals_Biscuits Actual Results P02_VRAN YTD" xfId="2746"/>
    <cellStyle name="_Column6_Finance review Lu France 2007_Category Template_Actuals NEW_Biscuits Actual Results P01_Category Template_Actuals_Biscuits Actual Results P04" xfId="2747"/>
    <cellStyle name="_Column6_Finance review Lu France 2007_Category Template_Actuals NEW_Biscuits Actual Results P01_Category Template_Actuals_P&amp;L" xfId="2748"/>
    <cellStyle name="_Column6_Finance review Lu France 2007_Category Template_Actuals NEW_Biscuits Actual Results P01_Category Template_Actuals_P&amp;L P06 AFH AC US" xfId="2749"/>
    <cellStyle name="_Column6_Finance review Lu France 2007_Category Template_Actuals NEW_Biscuits Actual Results P01_Category Template_Actuals_P&amp;L_P&amp;L KFE" xfId="2750"/>
    <cellStyle name="_Column6_Finance review Lu France 2007_Category Template_Actuals NEW_Biscuits Actual Results P01_Category Template_Actuals_P&amp;L_Sheet3" xfId="2751"/>
    <cellStyle name="_Column6_Finance review Lu France 2007_Category Template_Actuals NEW_Biscuits Actual Results P01_P&amp;L" xfId="2752"/>
    <cellStyle name="_Column6_Finance review Lu France 2007_Category Template_Actuals NEW_Biscuits Actual Results P01_P&amp;L_P&amp;L KFE" xfId="2753"/>
    <cellStyle name="_Column6_Finance review Lu France 2007_Category Template_Actuals NEW_Biscuits Actual Results P01_P&amp;L_Sheet3" xfId="2754"/>
    <cellStyle name="_Column6_Finance review Lu France 2007_Category Template_Actuals NEW_Biscuits Actual Results P01_VRAN YTD" xfId="2755"/>
    <cellStyle name="_Column6_Finance review Lu France 2007_Category Template_Actuals NEW_Biscuits Actual Results P02" xfId="2756"/>
    <cellStyle name="_Column6_Finance review Lu France 2007_Category Template_Actuals NEW_Biscuits Actual Results P02 2" xfId="2757"/>
    <cellStyle name="_Column6_Finance review Lu France 2007_Category Template_Actuals NEW_Biscuits Actual Results P02_Category Template_Actuals" xfId="2758"/>
    <cellStyle name="_Column6_Finance review Lu France 2007_Category Template_Actuals NEW_Biscuits Actual Results P02_Category Template_Actuals_Biscuits Actual Results P04" xfId="2759"/>
    <cellStyle name="_Column6_Finance review Lu France 2007_Category Template_Actuals NEW_Biscuits Actual Results P02_Category Template_Actuals_P&amp;L P06 AFH AC US" xfId="2760"/>
    <cellStyle name="_Column6_Finance review Lu France 2007_Category Template_Actuals NEW_Biscuits Actual Results P02_P&amp;L" xfId="2761"/>
    <cellStyle name="_Column6_Finance review Lu France 2007_Category Template_Actuals NEW_Biscuits Actual Results P02_P&amp;L_P&amp;L KFE" xfId="2762"/>
    <cellStyle name="_Column6_Finance review Lu France 2007_Category Template_Actuals NEW_Biscuits Actual Results P02_P&amp;L_Sheet3" xfId="2763"/>
    <cellStyle name="_Column6_Finance review Lu France 2007_Category Template_Actuals NEW_Biscuits Actual Results P02_VRAN YTD" xfId="2764"/>
    <cellStyle name="_Column6_Finance review Lu France 2007_Category Template_Actuals NEW_Biscuits Actual Results P04" xfId="2765"/>
    <cellStyle name="_Column6_Finance review Lu France 2007_Category Template_Actuals NEW_Biscuits Actual Results P1 BIS" xfId="2766"/>
    <cellStyle name="_Column6_Finance review Lu France 2007_Category Template_Actuals NEW_Biscuits Actual Results P1 BIS 2" xfId="2767"/>
    <cellStyle name="_Column6_Finance review Lu France 2007_Category Template_Actuals NEW_Biscuits Actual Results P1 BIS_Category Template_Actuals" xfId="2768"/>
    <cellStyle name="_Column6_Finance review Lu France 2007_Category Template_Actuals NEW_Biscuits Actual Results P1 BIS_Category Template_Actuals_Biscuits Actual Results P04" xfId="2769"/>
    <cellStyle name="_Column6_Finance review Lu France 2007_Category Template_Actuals NEW_Biscuits Actual Results P1 BIS_Category Template_Actuals_P&amp;L P06 AFH AC US" xfId="2770"/>
    <cellStyle name="_Column6_Finance review Lu France 2007_Category Template_Actuals NEW_Biscuits Actual Results P1 BIS_P&amp;L" xfId="2771"/>
    <cellStyle name="_Column6_Finance review Lu France 2007_Category Template_Actuals NEW_Biscuits Actual Results P1 BIS_P&amp;L_P&amp;L KFE" xfId="2772"/>
    <cellStyle name="_Column6_Finance review Lu France 2007_Category Template_Actuals NEW_Biscuits Actual Results P1 BIS_P&amp;L_Sheet3" xfId="2773"/>
    <cellStyle name="_Column6_Finance review Lu France 2007_Category Template_Actuals NEW_Biscuits Actual Results P1 BIS_VRAN YTD" xfId="2774"/>
    <cellStyle name="_Column6_Finance review Lu France 2007_Category Template_Actuals NEW_Biscuits Actual Results P12 161210" xfId="2775"/>
    <cellStyle name="_Column6_Finance review Lu France 2007_Category Template_Actuals NEW_Biscuits Actual Results P12 161210 2" xfId="2776"/>
    <cellStyle name="_Column6_Finance review Lu France 2007_Category Template_Actuals NEW_Biscuits Actual Results P12 161210_Category Template_Actuals" xfId="2777"/>
    <cellStyle name="_Column6_Finance review Lu France 2007_Category Template_Actuals NEW_Biscuits Actual Results P12 161210_Category Template_Actuals 2" xfId="2778"/>
    <cellStyle name="_Column6_Finance review Lu France 2007_Category Template_Actuals NEW_Biscuits Actual Results P12 161210_Category Template_Actuals_Biscuits Actual Results P02" xfId="2779"/>
    <cellStyle name="_Column6_Finance review Lu France 2007_Category Template_Actuals NEW_Biscuits Actual Results P12 161210_Category Template_Actuals_Biscuits Actual Results P02 2" xfId="2780"/>
    <cellStyle name="_Column6_Finance review Lu France 2007_Category Template_Actuals NEW_Biscuits Actual Results P12 161210_Category Template_Actuals_Biscuits Actual Results P02_Category Template_Actuals" xfId="2781"/>
    <cellStyle name="_Column6_Finance review Lu France 2007_Category Template_Actuals NEW_Biscuits Actual Results P12 161210_Category Template_Actuals_Biscuits Actual Results P02_Category Template_Actuals_Biscuits Actual Results P04" xfId="2782"/>
    <cellStyle name="_Column6_Finance review Lu France 2007_Category Template_Actuals NEW_Biscuits Actual Results P12 161210_Category Template_Actuals_Biscuits Actual Results P02_Category Template_Actuals_P&amp;L P06 AFH AC US" xfId="2783"/>
    <cellStyle name="_Column6_Finance review Lu France 2007_Category Template_Actuals NEW_Biscuits Actual Results P12 161210_Category Template_Actuals_Biscuits Actual Results P02_P&amp;L" xfId="2784"/>
    <cellStyle name="_Column6_Finance review Lu France 2007_Category Template_Actuals NEW_Biscuits Actual Results P12 161210_Category Template_Actuals_Biscuits Actual Results P02_P&amp;L_P&amp;L KFE" xfId="2785"/>
    <cellStyle name="_Column6_Finance review Lu France 2007_Category Template_Actuals NEW_Biscuits Actual Results P12 161210_Category Template_Actuals_Biscuits Actual Results P02_P&amp;L_Sheet3" xfId="2786"/>
    <cellStyle name="_Column6_Finance review Lu France 2007_Category Template_Actuals NEW_Biscuits Actual Results P12 161210_Category Template_Actuals_Biscuits Actual Results P02_VRAN YTD" xfId="2787"/>
    <cellStyle name="_Column6_Finance review Lu France 2007_Category Template_Actuals NEW_Biscuits Actual Results P12 161210_Category Template_Actuals_Biscuits Actual Results P04" xfId="2788"/>
    <cellStyle name="_Column6_Finance review Lu France 2007_Category Template_Actuals NEW_Biscuits Actual Results P12 161210_Category Template_Actuals_P&amp;L" xfId="2789"/>
    <cellStyle name="_Column6_Finance review Lu France 2007_Category Template_Actuals NEW_Biscuits Actual Results P12 161210_Category Template_Actuals_P&amp;L P06 AFH AC US" xfId="2790"/>
    <cellStyle name="_Column6_Finance review Lu France 2007_Category Template_Actuals NEW_Biscuits Actual Results P12 161210_Category Template_Actuals_P&amp;L_P&amp;L KFE" xfId="2791"/>
    <cellStyle name="_Column6_Finance review Lu France 2007_Category Template_Actuals NEW_Biscuits Actual Results P12 161210_Category Template_Actuals_P&amp;L_Sheet3" xfId="2792"/>
    <cellStyle name="_Column6_Finance review Lu France 2007_Category Template_Actuals NEW_Biscuits Actual Results P12 161210_P&amp;L" xfId="2793"/>
    <cellStyle name="_Column6_Finance review Lu France 2007_Category Template_Actuals NEW_Biscuits Actual Results P12 161210_P&amp;L_P&amp;L KFE" xfId="2794"/>
    <cellStyle name="_Column6_Finance review Lu France 2007_Category Template_Actuals NEW_Biscuits Actual Results P12 161210_P&amp;L_Sheet3" xfId="2795"/>
    <cellStyle name="_Column6_Finance review Lu France 2007_Category Template_Actuals NEW_Biscuits Actual Results P12 161210_VRAN YTD" xfId="2796"/>
    <cellStyle name="_Column6_Finance review Lu France 2007_Category Template_Actuals NEW_P&amp;L" xfId="2797"/>
    <cellStyle name="_Column6_Finance review Lu France 2007_Category Template_Actuals NEW_P&amp;L P06 AFH AC US" xfId="2798"/>
    <cellStyle name="_Column6_Finance review Lu France 2007_Category Template_Actuals NEW_P&amp;L_P&amp;L KFE" xfId="2799"/>
    <cellStyle name="_Column6_Finance review Lu France 2007_Category Template_Actuals NEW_P&amp;L_Sheet3" xfId="2800"/>
    <cellStyle name="_Column6_Finance review Lu France 2007_Category Template_Actuals_Biscuits Actual Results P02" xfId="2801"/>
    <cellStyle name="_Column6_Finance review Lu France 2007_Category Template_Actuals_Biscuits Actual Results P02 2" xfId="2802"/>
    <cellStyle name="_Column6_Finance review Lu France 2007_Category Template_Actuals_Biscuits Actual Results P02_Category Template_Actuals" xfId="2803"/>
    <cellStyle name="_Column6_Finance review Lu France 2007_Category Template_Actuals_Biscuits Actual Results P02_Category Template_Actuals_Biscuits Actual Results P04" xfId="2804"/>
    <cellStyle name="_Column6_Finance review Lu France 2007_Category Template_Actuals_Biscuits Actual Results P02_Category Template_Actuals_P&amp;L P06 AFH AC US" xfId="2805"/>
    <cellStyle name="_Column6_Finance review Lu France 2007_Category Template_Actuals_Biscuits Actual Results P02_P&amp;L" xfId="2806"/>
    <cellStyle name="_Column6_Finance review Lu France 2007_Category Template_Actuals_Biscuits Actual Results P02_P&amp;L_P&amp;L KFE" xfId="2807"/>
    <cellStyle name="_Column6_Finance review Lu France 2007_Category Template_Actuals_Biscuits Actual Results P02_P&amp;L_Sheet3" xfId="2808"/>
    <cellStyle name="_Column6_Finance review Lu France 2007_Category Template_Actuals_Biscuits Actual Results P02_VRAN YTD" xfId="2809"/>
    <cellStyle name="_Column6_Finance review Lu France 2007_Category Template_Actuals_Biscuits Actual Results P04" xfId="2810"/>
    <cellStyle name="_Column6_Finance review Lu France 2007_Category Template_Actuals_P&amp;L" xfId="2811"/>
    <cellStyle name="_Column6_Finance review Lu France 2007_Category Template_Actuals_P&amp;L P06 AFH AC US" xfId="2812"/>
    <cellStyle name="_Column6_Finance review Lu France 2007_Category Template_Actuals_P&amp;L_P&amp;L KFE" xfId="2813"/>
    <cellStyle name="_Column6_Finance review Lu France 2007_Category Template_Actuals_P&amp;L_Sheet3" xfId="2814"/>
    <cellStyle name="_Column6_Finance review Lu France 2007_KFE Category PnL template_Combined_P03 (2)" xfId="2815"/>
    <cellStyle name="_Column6_Finance review Lu France 2007_KFE Category PnL template_Combined_P03 (2)_P&amp;L KFE" xfId="2816"/>
    <cellStyle name="_Column6_Finance review Lu France 2007_KFE Category PnL template_Combined_P03 (2)_Sheet3" xfId="2817"/>
    <cellStyle name="_Column6_Finance review Lu France 2007_KFE Category PnL template_Kraft Legacy (2)" xfId="2818"/>
    <cellStyle name="_Column6_Finance review Lu France 2007_KFE Category PnL template_Kraft Legacy (2)_P&amp;L KFE" xfId="2819"/>
    <cellStyle name="_Column6_Finance review Lu France 2007_KFE Category PnL template_Kraft Legacy (2)_Sheet3" xfId="2820"/>
    <cellStyle name="_Column6_Finance review Lu France 2007_KFE Category PnL template_Kraft Legacy (4)" xfId="2821"/>
    <cellStyle name="_Column6_Finance review Lu France 2007_KFE Category PnL template_Kraft Legacy (4)_P&amp;L KFE" xfId="2822"/>
    <cellStyle name="_Column6_Finance review Lu France 2007_KFE Category PnL template_Kraft Legacy (4)_Sheet3" xfId="2823"/>
    <cellStyle name="_Column6_Finance review Lu France 2007_OI Bridge 0" xfId="2824"/>
    <cellStyle name="_Column6_Finance review Lu France 2007_OI Bridge 0_1" xfId="2825"/>
    <cellStyle name="_Column6_Finance review Lu France 2007_OI Bridge 1" xfId="2826"/>
    <cellStyle name="_Column6_Finance review Lu France 2007_P&amp;L" xfId="2827"/>
    <cellStyle name="_Column6_Finance review Lu France 2007_P&amp;L_P&amp;L KFE" xfId="2828"/>
    <cellStyle name="_Column6_Finance review Lu France 2007_P&amp;L_Sheet3" xfId="2829"/>
    <cellStyle name="_Column6_Finance review Lu France 2007_Sheet1" xfId="2830"/>
    <cellStyle name="_Column6_Finance review Lu France 2007_VRAN YTD" xfId="2831"/>
    <cellStyle name="_Column6_Finance review Lu France 2007_VRAN YTD 2" xfId="2832"/>
    <cellStyle name="_Column6_Finance review Lu France 2007_VRAN YTD_Biscuits Actual Results P01" xfId="2833"/>
    <cellStyle name="_Column6_Finance review Lu France 2007_VRAN YTD_Biscuits Actual Results P01 2" xfId="2834"/>
    <cellStyle name="_Column6_Finance review Lu France 2007_VRAN YTD_Biscuits Actual Results P01_Category Template_Actuals" xfId="2835"/>
    <cellStyle name="_Column6_Finance review Lu France 2007_VRAN YTD_Biscuits Actual Results P01_Category Template_Actuals 2" xfId="2836"/>
    <cellStyle name="_Column6_Finance review Lu France 2007_VRAN YTD_Biscuits Actual Results P01_Category Template_Actuals_Biscuits Actual Results P02" xfId="2837"/>
    <cellStyle name="_Column6_Finance review Lu France 2007_VRAN YTD_Biscuits Actual Results P01_Category Template_Actuals_Biscuits Actual Results P02 2" xfId="2838"/>
    <cellStyle name="_Column6_Finance review Lu France 2007_VRAN YTD_Biscuits Actual Results P01_Category Template_Actuals_Biscuits Actual Results P02_Category Template_Actuals" xfId="2839"/>
    <cellStyle name="_Column6_Finance review Lu France 2007_VRAN YTD_Biscuits Actual Results P01_Category Template_Actuals_Biscuits Actual Results P02_Category Template_Actuals_Biscuits Actual Results P04" xfId="2840"/>
    <cellStyle name="_Column6_Finance review Lu France 2007_VRAN YTD_Biscuits Actual Results P01_Category Template_Actuals_Biscuits Actual Results P02_Category Template_Actuals_P&amp;L P06 AFH AC US" xfId="2841"/>
    <cellStyle name="_Column6_Finance review Lu France 2007_VRAN YTD_Biscuits Actual Results P01_Category Template_Actuals_Biscuits Actual Results P02_P&amp;L" xfId="2842"/>
    <cellStyle name="_Column6_Finance review Lu France 2007_VRAN YTD_Biscuits Actual Results P01_Category Template_Actuals_Biscuits Actual Results P02_P&amp;L_P&amp;L KFE" xfId="2843"/>
    <cellStyle name="_Column6_Finance review Lu France 2007_VRAN YTD_Biscuits Actual Results P01_Category Template_Actuals_Biscuits Actual Results P02_P&amp;L_Sheet3" xfId="2844"/>
    <cellStyle name="_Column6_Finance review Lu France 2007_VRAN YTD_Biscuits Actual Results P01_Category Template_Actuals_Biscuits Actual Results P02_VRAN YTD" xfId="2845"/>
    <cellStyle name="_Column6_Finance review Lu France 2007_VRAN YTD_Biscuits Actual Results P01_Category Template_Actuals_Biscuits Actual Results P04" xfId="2846"/>
    <cellStyle name="_Column6_Finance review Lu France 2007_VRAN YTD_Biscuits Actual Results P01_Category Template_Actuals_P&amp;L" xfId="2847"/>
    <cellStyle name="_Column6_Finance review Lu France 2007_VRAN YTD_Biscuits Actual Results P01_Category Template_Actuals_P&amp;L P06 AFH AC US" xfId="2848"/>
    <cellStyle name="_Column6_Finance review Lu France 2007_VRAN YTD_Biscuits Actual Results P01_Category Template_Actuals_P&amp;L_P&amp;L KFE" xfId="2849"/>
    <cellStyle name="_Column6_Finance review Lu France 2007_VRAN YTD_Biscuits Actual Results P01_Category Template_Actuals_P&amp;L_Sheet3" xfId="2850"/>
    <cellStyle name="_Column6_Finance review Lu France 2007_VRAN YTD_Biscuits Actual Results P01_P&amp;L" xfId="2851"/>
    <cellStyle name="_Column6_Finance review Lu France 2007_VRAN YTD_Biscuits Actual Results P01_P&amp;L_P&amp;L KFE" xfId="2852"/>
    <cellStyle name="_Column6_Finance review Lu France 2007_VRAN YTD_Biscuits Actual Results P01_P&amp;L_Sheet3" xfId="2853"/>
    <cellStyle name="_Column6_Finance review Lu France 2007_VRAN YTD_Biscuits Actual Results P01_VRAN YTD" xfId="2854"/>
    <cellStyle name="_Column6_Finance review Lu France 2007_VRAN YTD_Biscuits Actual Results P02" xfId="2855"/>
    <cellStyle name="_Column6_Finance review Lu France 2007_VRAN YTD_Biscuits Actual Results P02 2" xfId="2856"/>
    <cellStyle name="_Column6_Finance review Lu France 2007_VRAN YTD_Biscuits Actual Results P02_Category Template_Actuals" xfId="2857"/>
    <cellStyle name="_Column6_Finance review Lu France 2007_VRAN YTD_Biscuits Actual Results P02_Category Template_Actuals_Biscuits Actual Results P04" xfId="2858"/>
    <cellStyle name="_Column6_Finance review Lu France 2007_VRAN YTD_Biscuits Actual Results P02_Category Template_Actuals_P&amp;L P06 AFH AC US" xfId="2859"/>
    <cellStyle name="_Column6_Finance review Lu France 2007_VRAN YTD_Biscuits Actual Results P02_P&amp;L" xfId="2860"/>
    <cellStyle name="_Column6_Finance review Lu France 2007_VRAN YTD_Biscuits Actual Results P02_P&amp;L_P&amp;L KFE" xfId="2861"/>
    <cellStyle name="_Column6_Finance review Lu France 2007_VRAN YTD_Biscuits Actual Results P02_P&amp;L_Sheet3" xfId="2862"/>
    <cellStyle name="_Column6_Finance review Lu France 2007_VRAN YTD_Biscuits Actual Results P02_VRAN YTD" xfId="2863"/>
    <cellStyle name="_Column6_Finance review Lu France 2007_VRAN YTD_Biscuits Actual Results P04" xfId="2864"/>
    <cellStyle name="_Column6_Finance review Lu France 2007_VRAN YTD_Biscuits Actual Results P1 BIS" xfId="2865"/>
    <cellStyle name="_Column6_Finance review Lu France 2007_VRAN YTD_Biscuits Actual Results P1 BIS 2" xfId="2866"/>
    <cellStyle name="_Column6_Finance review Lu France 2007_VRAN YTD_Biscuits Actual Results P1 BIS_Category Template_Actuals" xfId="2867"/>
    <cellStyle name="_Column6_Finance review Lu France 2007_VRAN YTD_Biscuits Actual Results P1 BIS_Category Template_Actuals_Biscuits Actual Results P04" xfId="2868"/>
    <cellStyle name="_Column6_Finance review Lu France 2007_VRAN YTD_Biscuits Actual Results P1 BIS_Category Template_Actuals_P&amp;L P06 AFH AC US" xfId="2869"/>
    <cellStyle name="_Column6_Finance review Lu France 2007_VRAN YTD_Biscuits Actual Results P1 BIS_P&amp;L" xfId="2870"/>
    <cellStyle name="_Column6_Finance review Lu France 2007_VRAN YTD_Biscuits Actual Results P1 BIS_P&amp;L_P&amp;L KFE" xfId="2871"/>
    <cellStyle name="_Column6_Finance review Lu France 2007_VRAN YTD_Biscuits Actual Results P1 BIS_P&amp;L_Sheet3" xfId="2872"/>
    <cellStyle name="_Column6_Finance review Lu France 2007_VRAN YTD_Biscuits Actual Results P1 BIS_VRAN YTD" xfId="2873"/>
    <cellStyle name="_Column6_Finance review Lu France 2007_VRAN YTD_Biscuits Actual Results P12 161210" xfId="2874"/>
    <cellStyle name="_Column6_Finance review Lu France 2007_VRAN YTD_Biscuits Actual Results P12 161210 2" xfId="2875"/>
    <cellStyle name="_Column6_Finance review Lu France 2007_VRAN YTD_Biscuits Actual Results P12 161210_Category Template_Actuals" xfId="2876"/>
    <cellStyle name="_Column6_Finance review Lu France 2007_VRAN YTD_Biscuits Actual Results P12 161210_Category Template_Actuals 2" xfId="2877"/>
    <cellStyle name="_Column6_Finance review Lu France 2007_VRAN YTD_Biscuits Actual Results P12 161210_Category Template_Actuals_Biscuits Actual Results P02" xfId="2878"/>
    <cellStyle name="_Column6_Finance review Lu France 2007_VRAN YTD_Biscuits Actual Results P12 161210_Category Template_Actuals_Biscuits Actual Results P02 2" xfId="2879"/>
    <cellStyle name="_Column6_Finance review Lu France 2007_VRAN YTD_Biscuits Actual Results P12 161210_Category Template_Actuals_Biscuits Actual Results P02_Category Template_Actuals" xfId="2880"/>
    <cellStyle name="_Column6_Finance review Lu France 2007_VRAN YTD_Biscuits Actual Results P12 161210_Category Template_Actuals_Biscuits Actual Results P02_Category Template_Actuals_Biscuits Actual Results P04" xfId="2881"/>
    <cellStyle name="_Column6_Finance review Lu France 2007_VRAN YTD_Biscuits Actual Results P12 161210_Category Template_Actuals_Biscuits Actual Results P02_Category Template_Actuals_P&amp;L P06 AFH AC US" xfId="2882"/>
    <cellStyle name="_Column6_Finance review Lu France 2007_VRAN YTD_Biscuits Actual Results P12 161210_Category Template_Actuals_Biscuits Actual Results P02_P&amp;L" xfId="2883"/>
    <cellStyle name="_Column6_Finance review Lu France 2007_VRAN YTD_Biscuits Actual Results P12 161210_Category Template_Actuals_Biscuits Actual Results P02_P&amp;L_P&amp;L KFE" xfId="2884"/>
    <cellStyle name="_Column6_Finance review Lu France 2007_VRAN YTD_Biscuits Actual Results P12 161210_Category Template_Actuals_Biscuits Actual Results P02_P&amp;L_Sheet3" xfId="2885"/>
    <cellStyle name="_Column6_Finance review Lu France 2007_VRAN YTD_Biscuits Actual Results P12 161210_Category Template_Actuals_Biscuits Actual Results P02_VRAN YTD" xfId="2886"/>
    <cellStyle name="_Column6_Finance review Lu France 2007_VRAN YTD_Biscuits Actual Results P12 161210_Category Template_Actuals_Biscuits Actual Results P04" xfId="2887"/>
    <cellStyle name="_Column6_Finance review Lu France 2007_VRAN YTD_Biscuits Actual Results P12 161210_Category Template_Actuals_P&amp;L" xfId="2888"/>
    <cellStyle name="_Column6_Finance review Lu France 2007_VRAN YTD_Biscuits Actual Results P12 161210_Category Template_Actuals_P&amp;L P06 AFH AC US" xfId="2889"/>
    <cellStyle name="_Column6_Finance review Lu France 2007_VRAN YTD_Biscuits Actual Results P12 161210_Category Template_Actuals_P&amp;L_P&amp;L KFE" xfId="2890"/>
    <cellStyle name="_Column6_Finance review Lu France 2007_VRAN YTD_Biscuits Actual Results P12 161210_Category Template_Actuals_P&amp;L_Sheet3" xfId="2891"/>
    <cellStyle name="_Column6_Finance review Lu France 2007_VRAN YTD_Biscuits Actual Results P12 161210_P&amp;L" xfId="2892"/>
    <cellStyle name="_Column6_Finance review Lu France 2007_VRAN YTD_Biscuits Actual Results P12 161210_P&amp;L_P&amp;L KFE" xfId="2893"/>
    <cellStyle name="_Column6_Finance review Lu France 2007_VRAN YTD_Biscuits Actual Results P12 161210_P&amp;L_Sheet3" xfId="2894"/>
    <cellStyle name="_Column6_Finance review Lu France 2007_VRAN YTD_Biscuits Actual Results P12 161210_VRAN YTD" xfId="2895"/>
    <cellStyle name="_Column6_Finance review Lu France 2007_VRAN YTD_P&amp;L" xfId="2896"/>
    <cellStyle name="_Column6_Finance review Lu France 2007_VRAN YTD_P&amp;L P06 AFH AC US" xfId="2897"/>
    <cellStyle name="_Column6_Finance review Lu France 2007_VRAN YTD_P&amp;L_P&amp;L KFE" xfId="2898"/>
    <cellStyle name="_Column6_Finance review Lu France 2007_VRAN YTD_P&amp;L_Sheet3" xfId="2899"/>
    <cellStyle name="_Column6_FT avec ristournes" xfId="2900"/>
    <cellStyle name="_Column6_FT avec ristournes 2" xfId="2901"/>
    <cellStyle name="_Column6_FT avec ristournes 2_P&amp;L KFE" xfId="2902"/>
    <cellStyle name="_Column6_FT avec ristournes 2_Sheet3" xfId="2903"/>
    <cellStyle name="_Column6_FT avec ristournes 3" xfId="2904"/>
    <cellStyle name="_Column6_FT avec ristournes_2011 Targets by category Aug 25" xfId="2905"/>
    <cellStyle name="_Column6_FT avec ristournes_AC11 conso @Cst Fx" xfId="2906"/>
    <cellStyle name="_Column6_FT avec ristournes_AC11 conso @Cst Fx 2" xfId="2907"/>
    <cellStyle name="_Column6_FT avec ristournes_AC11 conso @Cst Fx after LFL restatement" xfId="2908"/>
    <cellStyle name="_Column6_FT avec ristournes_AC11 conso @Cst Fx after LFL restatement 2" xfId="2909"/>
    <cellStyle name="_Column6_FT avec ristournes_AC11 conso @Cst Fx after LFL restatement_P&amp;L KFE" xfId="2910"/>
    <cellStyle name="_Column6_FT avec ristournes_AC11 conso @Cst Fx after LFL restatement_Sheet3" xfId="2911"/>
    <cellStyle name="_Column6_FT avec ristournes_AC11 conso @Cst Fx_P&amp;L KFE" xfId="2912"/>
    <cellStyle name="_Column6_FT avec ristournes_AC11 conso @Cst Fx_Sheet3" xfId="2913"/>
    <cellStyle name="_Column6_FT avec ristournes_Category PnL" xfId="2914"/>
    <cellStyle name="_Column6_FT avec ristournes_Category PnL 2" xfId="2915"/>
    <cellStyle name="_Column6_FT avec ristournes_Category PnL_P&amp;L KFE" xfId="2916"/>
    <cellStyle name="_Column6_FT avec ristournes_Category PnL_Sheet3" xfId="2917"/>
    <cellStyle name="_Column6_FT avec ristournes_Category Targets 2011_1.2" xfId="2918"/>
    <cellStyle name="_Column6_FT avec ristournes_Category Template_Actuals" xfId="2919"/>
    <cellStyle name="_Column6_FT avec ristournes_Category Template_Actuals 2" xfId="2920"/>
    <cellStyle name="_Column6_FT avec ristournes_Category Template_Actuals NEW" xfId="2921"/>
    <cellStyle name="_Column6_FT avec ristournes_Category Template_Actuals NEW 2" xfId="2922"/>
    <cellStyle name="_Column6_FT avec ristournes_Category Template_Actuals NEW_Biscuits Actual Results P01" xfId="2923"/>
    <cellStyle name="_Column6_FT avec ristournes_Category Template_Actuals NEW_Biscuits Actual Results P01 2" xfId="2924"/>
    <cellStyle name="_Column6_FT avec ristournes_Category Template_Actuals NEW_Biscuits Actual Results P01_Category Template_Actuals" xfId="2925"/>
    <cellStyle name="_Column6_FT avec ristournes_Category Template_Actuals NEW_Biscuits Actual Results P01_Category Template_Actuals 2" xfId="2926"/>
    <cellStyle name="_Column6_FT avec ristournes_Category Template_Actuals NEW_Biscuits Actual Results P01_Category Template_Actuals_Biscuits Actual Results P02" xfId="2927"/>
    <cellStyle name="_Column6_FT avec ristournes_Category Template_Actuals NEW_Biscuits Actual Results P01_Category Template_Actuals_Biscuits Actual Results P02 2" xfId="2928"/>
    <cellStyle name="_Column6_FT avec ristournes_Category Template_Actuals NEW_Biscuits Actual Results P01_Category Template_Actuals_Biscuits Actual Results P02_Category Template_Actuals" xfId="2929"/>
    <cellStyle name="_Column6_FT avec ristournes_Category Template_Actuals NEW_Biscuits Actual Results P01_Category Template_Actuals_Biscuits Actual Results P02_Category Template_Actuals_Biscuits Actual Results P04" xfId="2930"/>
    <cellStyle name="_Column6_FT avec ristournes_Category Template_Actuals NEW_Biscuits Actual Results P01_Category Template_Actuals_Biscuits Actual Results P02_Category Template_Actuals_P&amp;L P06 AFH AC US" xfId="2931"/>
    <cellStyle name="_Column6_FT avec ristournes_Category Template_Actuals NEW_Biscuits Actual Results P01_Category Template_Actuals_Biscuits Actual Results P02_P&amp;L" xfId="2932"/>
    <cellStyle name="_Column6_FT avec ristournes_Category Template_Actuals NEW_Biscuits Actual Results P01_Category Template_Actuals_Biscuits Actual Results P02_P&amp;L_P&amp;L KFE" xfId="2933"/>
    <cellStyle name="_Column6_FT avec ristournes_Category Template_Actuals NEW_Biscuits Actual Results P01_Category Template_Actuals_Biscuits Actual Results P02_P&amp;L_Sheet3" xfId="2934"/>
    <cellStyle name="_Column6_FT avec ristournes_Category Template_Actuals NEW_Biscuits Actual Results P01_Category Template_Actuals_Biscuits Actual Results P02_VRAN YTD" xfId="2935"/>
    <cellStyle name="_Column6_FT avec ristournes_Category Template_Actuals NEW_Biscuits Actual Results P01_Category Template_Actuals_Biscuits Actual Results P04" xfId="2936"/>
    <cellStyle name="_Column6_FT avec ristournes_Category Template_Actuals NEW_Biscuits Actual Results P01_Category Template_Actuals_P&amp;L" xfId="2937"/>
    <cellStyle name="_Column6_FT avec ristournes_Category Template_Actuals NEW_Biscuits Actual Results P01_Category Template_Actuals_P&amp;L P06 AFH AC US" xfId="2938"/>
    <cellStyle name="_Column6_FT avec ristournes_Category Template_Actuals NEW_Biscuits Actual Results P01_Category Template_Actuals_P&amp;L_P&amp;L KFE" xfId="2939"/>
    <cellStyle name="_Column6_FT avec ristournes_Category Template_Actuals NEW_Biscuits Actual Results P01_Category Template_Actuals_P&amp;L_Sheet3" xfId="2940"/>
    <cellStyle name="_Column6_FT avec ristournes_Category Template_Actuals NEW_Biscuits Actual Results P01_P&amp;L" xfId="2941"/>
    <cellStyle name="_Column6_FT avec ristournes_Category Template_Actuals NEW_Biscuits Actual Results P01_P&amp;L_P&amp;L KFE" xfId="2942"/>
    <cellStyle name="_Column6_FT avec ristournes_Category Template_Actuals NEW_Biscuits Actual Results P01_P&amp;L_Sheet3" xfId="2943"/>
    <cellStyle name="_Column6_FT avec ristournes_Category Template_Actuals NEW_Biscuits Actual Results P01_VRAN YTD" xfId="2944"/>
    <cellStyle name="_Column6_FT avec ristournes_Category Template_Actuals NEW_Biscuits Actual Results P02" xfId="2945"/>
    <cellStyle name="_Column6_FT avec ristournes_Category Template_Actuals NEW_Biscuits Actual Results P02 2" xfId="2946"/>
    <cellStyle name="_Column6_FT avec ristournes_Category Template_Actuals NEW_Biscuits Actual Results P02_Category Template_Actuals" xfId="2947"/>
    <cellStyle name="_Column6_FT avec ristournes_Category Template_Actuals NEW_Biscuits Actual Results P02_Category Template_Actuals_Biscuits Actual Results P04" xfId="2948"/>
    <cellStyle name="_Column6_FT avec ristournes_Category Template_Actuals NEW_Biscuits Actual Results P02_Category Template_Actuals_P&amp;L P06 AFH AC US" xfId="2949"/>
    <cellStyle name="_Column6_FT avec ristournes_Category Template_Actuals NEW_Biscuits Actual Results P02_P&amp;L" xfId="2950"/>
    <cellStyle name="_Column6_FT avec ristournes_Category Template_Actuals NEW_Biscuits Actual Results P02_P&amp;L_P&amp;L KFE" xfId="2951"/>
    <cellStyle name="_Column6_FT avec ristournes_Category Template_Actuals NEW_Biscuits Actual Results P02_P&amp;L_Sheet3" xfId="2952"/>
    <cellStyle name="_Column6_FT avec ristournes_Category Template_Actuals NEW_Biscuits Actual Results P02_VRAN YTD" xfId="2953"/>
    <cellStyle name="_Column6_FT avec ristournes_Category Template_Actuals NEW_Biscuits Actual Results P04" xfId="2954"/>
    <cellStyle name="_Column6_FT avec ristournes_Category Template_Actuals NEW_Biscuits Actual Results P1 BIS" xfId="2955"/>
    <cellStyle name="_Column6_FT avec ristournes_Category Template_Actuals NEW_Biscuits Actual Results P1 BIS 2" xfId="2956"/>
    <cellStyle name="_Column6_FT avec ristournes_Category Template_Actuals NEW_Biscuits Actual Results P1 BIS_Category Template_Actuals" xfId="2957"/>
    <cellStyle name="_Column6_FT avec ristournes_Category Template_Actuals NEW_Biscuits Actual Results P1 BIS_Category Template_Actuals_Biscuits Actual Results P04" xfId="2958"/>
    <cellStyle name="_Column6_FT avec ristournes_Category Template_Actuals NEW_Biscuits Actual Results P1 BIS_Category Template_Actuals_P&amp;L P06 AFH AC US" xfId="2959"/>
    <cellStyle name="_Column6_FT avec ristournes_Category Template_Actuals NEW_Biscuits Actual Results P1 BIS_P&amp;L" xfId="2960"/>
    <cellStyle name="_Column6_FT avec ristournes_Category Template_Actuals NEW_Biscuits Actual Results P1 BIS_P&amp;L_P&amp;L KFE" xfId="2961"/>
    <cellStyle name="_Column6_FT avec ristournes_Category Template_Actuals NEW_Biscuits Actual Results P1 BIS_P&amp;L_Sheet3" xfId="2962"/>
    <cellStyle name="_Column6_FT avec ristournes_Category Template_Actuals NEW_Biscuits Actual Results P1 BIS_VRAN YTD" xfId="2963"/>
    <cellStyle name="_Column6_FT avec ristournes_Category Template_Actuals NEW_Biscuits Actual Results P12 161210" xfId="2964"/>
    <cellStyle name="_Column6_FT avec ristournes_Category Template_Actuals NEW_Biscuits Actual Results P12 161210 2" xfId="2965"/>
    <cellStyle name="_Column6_FT avec ristournes_Category Template_Actuals NEW_Biscuits Actual Results P12 161210_Category Template_Actuals" xfId="2966"/>
    <cellStyle name="_Column6_FT avec ristournes_Category Template_Actuals NEW_Biscuits Actual Results P12 161210_Category Template_Actuals 2" xfId="2967"/>
    <cellStyle name="_Column6_FT avec ristournes_Category Template_Actuals NEW_Biscuits Actual Results P12 161210_Category Template_Actuals_Biscuits Actual Results P02" xfId="2968"/>
    <cellStyle name="_Column6_FT avec ristournes_Category Template_Actuals NEW_Biscuits Actual Results P12 161210_Category Template_Actuals_Biscuits Actual Results P02 2" xfId="2969"/>
    <cellStyle name="_Column6_FT avec ristournes_Category Template_Actuals NEW_Biscuits Actual Results P12 161210_Category Template_Actuals_Biscuits Actual Results P02_Category Template_Actuals" xfId="2970"/>
    <cellStyle name="_Column6_FT avec ristournes_Category Template_Actuals NEW_Biscuits Actual Results P12 161210_Category Template_Actuals_Biscuits Actual Results P02_Category Template_Actuals_Biscuits Actual Results P04" xfId="2971"/>
    <cellStyle name="_Column6_FT avec ristournes_Category Template_Actuals NEW_Biscuits Actual Results P12 161210_Category Template_Actuals_Biscuits Actual Results P02_Category Template_Actuals_P&amp;L P06 AFH AC US" xfId="2972"/>
    <cellStyle name="_Column6_FT avec ristournes_Category Template_Actuals NEW_Biscuits Actual Results P12 161210_Category Template_Actuals_Biscuits Actual Results P02_P&amp;L" xfId="2973"/>
    <cellStyle name="_Column6_FT avec ristournes_Category Template_Actuals NEW_Biscuits Actual Results P12 161210_Category Template_Actuals_Biscuits Actual Results P02_P&amp;L_P&amp;L KFE" xfId="2974"/>
    <cellStyle name="_Column6_FT avec ristournes_Category Template_Actuals NEW_Biscuits Actual Results P12 161210_Category Template_Actuals_Biscuits Actual Results P02_P&amp;L_Sheet3" xfId="2975"/>
    <cellStyle name="_Column6_FT avec ristournes_Category Template_Actuals NEW_Biscuits Actual Results P12 161210_Category Template_Actuals_Biscuits Actual Results P02_VRAN YTD" xfId="2976"/>
    <cellStyle name="_Column6_FT avec ristournes_Category Template_Actuals NEW_Biscuits Actual Results P12 161210_Category Template_Actuals_Biscuits Actual Results P04" xfId="2977"/>
    <cellStyle name="_Column6_FT avec ristournes_Category Template_Actuals NEW_Biscuits Actual Results P12 161210_Category Template_Actuals_P&amp;L" xfId="2978"/>
    <cellStyle name="_Column6_FT avec ristournes_Category Template_Actuals NEW_Biscuits Actual Results P12 161210_Category Template_Actuals_P&amp;L P06 AFH AC US" xfId="2979"/>
    <cellStyle name="_Column6_FT avec ristournes_Category Template_Actuals NEW_Biscuits Actual Results P12 161210_Category Template_Actuals_P&amp;L_P&amp;L KFE" xfId="2980"/>
    <cellStyle name="_Column6_FT avec ristournes_Category Template_Actuals NEW_Biscuits Actual Results P12 161210_Category Template_Actuals_P&amp;L_Sheet3" xfId="2981"/>
    <cellStyle name="_Column6_FT avec ristournes_Category Template_Actuals NEW_Biscuits Actual Results P12 161210_P&amp;L" xfId="2982"/>
    <cellStyle name="_Column6_FT avec ristournes_Category Template_Actuals NEW_Biscuits Actual Results P12 161210_P&amp;L_P&amp;L KFE" xfId="2983"/>
    <cellStyle name="_Column6_FT avec ristournes_Category Template_Actuals NEW_Biscuits Actual Results P12 161210_P&amp;L_Sheet3" xfId="2984"/>
    <cellStyle name="_Column6_FT avec ristournes_Category Template_Actuals NEW_Biscuits Actual Results P12 161210_VRAN YTD" xfId="2985"/>
    <cellStyle name="_Column6_FT avec ristournes_Category Template_Actuals NEW_P&amp;L" xfId="2986"/>
    <cellStyle name="_Column6_FT avec ristournes_Category Template_Actuals NEW_P&amp;L P06 AFH AC US" xfId="2987"/>
    <cellStyle name="_Column6_FT avec ristournes_Category Template_Actuals NEW_P&amp;L_P&amp;L KFE" xfId="2988"/>
    <cellStyle name="_Column6_FT avec ristournes_Category Template_Actuals NEW_P&amp;L_Sheet3" xfId="2989"/>
    <cellStyle name="_Column6_FT avec ristournes_Category Template_Actuals_Biscuits Actual Results P02" xfId="2990"/>
    <cellStyle name="_Column6_FT avec ristournes_Category Template_Actuals_Biscuits Actual Results P02 2" xfId="2991"/>
    <cellStyle name="_Column6_FT avec ristournes_Category Template_Actuals_Biscuits Actual Results P02_Category Template_Actuals" xfId="2992"/>
    <cellStyle name="_Column6_FT avec ristournes_Category Template_Actuals_Biscuits Actual Results P02_Category Template_Actuals_Biscuits Actual Results P04" xfId="2993"/>
    <cellStyle name="_Column6_FT avec ristournes_Category Template_Actuals_Biscuits Actual Results P02_Category Template_Actuals_P&amp;L P06 AFH AC US" xfId="2994"/>
    <cellStyle name="_Column6_FT avec ristournes_Category Template_Actuals_Biscuits Actual Results P02_P&amp;L" xfId="2995"/>
    <cellStyle name="_Column6_FT avec ristournes_Category Template_Actuals_Biscuits Actual Results P02_P&amp;L_P&amp;L KFE" xfId="2996"/>
    <cellStyle name="_Column6_FT avec ristournes_Category Template_Actuals_Biscuits Actual Results P02_P&amp;L_Sheet3" xfId="2997"/>
    <cellStyle name="_Column6_FT avec ristournes_Category Template_Actuals_Biscuits Actual Results P02_VRAN YTD" xfId="2998"/>
    <cellStyle name="_Column6_FT avec ristournes_Category Template_Actuals_Biscuits Actual Results P04" xfId="2999"/>
    <cellStyle name="_Column6_FT avec ristournes_Category Template_Actuals_P&amp;L" xfId="3000"/>
    <cellStyle name="_Column6_FT avec ristournes_Category Template_Actuals_P&amp;L P06 AFH AC US" xfId="3001"/>
    <cellStyle name="_Column6_FT avec ristournes_Category Template_Actuals_P&amp;L_P&amp;L KFE" xfId="3002"/>
    <cellStyle name="_Column6_FT avec ristournes_Category Template_Actuals_P&amp;L_Sheet3" xfId="3003"/>
    <cellStyle name="_Column6_FT avec ristournes_KFE Category PnL template_Combined_P03 (2)" xfId="3004"/>
    <cellStyle name="_Column6_FT avec ristournes_KFE Category PnL template_Combined_P03 (2)_P&amp;L KFE" xfId="3005"/>
    <cellStyle name="_Column6_FT avec ristournes_KFE Category PnL template_Combined_P03 (2)_Sheet3" xfId="3006"/>
    <cellStyle name="_Column6_FT avec ristournes_KFE Category PnL template_Kraft Legacy (2)" xfId="3007"/>
    <cellStyle name="_Column6_FT avec ristournes_KFE Category PnL template_Kraft Legacy (2)_P&amp;L KFE" xfId="3008"/>
    <cellStyle name="_Column6_FT avec ristournes_KFE Category PnL template_Kraft Legacy (2)_Sheet3" xfId="3009"/>
    <cellStyle name="_Column6_FT avec ristournes_KFE Category PnL template_Kraft Legacy (4)" xfId="3010"/>
    <cellStyle name="_Column6_FT avec ristournes_KFE Category PnL template_Kraft Legacy (4)_P&amp;L KFE" xfId="3011"/>
    <cellStyle name="_Column6_FT avec ristournes_KFE Category PnL template_Kraft Legacy (4)_Sheet3" xfId="3012"/>
    <cellStyle name="_Column6_FT avec ristournes_OI Bridge 0" xfId="3013"/>
    <cellStyle name="_Column6_FT avec ristournes_OI Bridge 0_1" xfId="3014"/>
    <cellStyle name="_Column6_FT avec ristournes_OI Bridge 1" xfId="3015"/>
    <cellStyle name="_Column6_FT avec ristournes_P&amp;L" xfId="3016"/>
    <cellStyle name="_Column6_FT avec ristournes_P&amp;L_P&amp;L KFE" xfId="3017"/>
    <cellStyle name="_Column6_FT avec ristournes_P&amp;L_Sheet3" xfId="3018"/>
    <cellStyle name="_Column6_FT avec ristournes_Sheet1" xfId="3019"/>
    <cellStyle name="_Column6_FT avec ristournes_VRAN YTD" xfId="3020"/>
    <cellStyle name="_Column6_FT avec ristournes_VRAN YTD 2" xfId="3021"/>
    <cellStyle name="_Column6_FT avec ristournes_VRAN YTD_Biscuits Actual Results P01" xfId="3022"/>
    <cellStyle name="_Column6_FT avec ristournes_VRAN YTD_Biscuits Actual Results P01 2" xfId="3023"/>
    <cellStyle name="_Column6_FT avec ristournes_VRAN YTD_Biscuits Actual Results P01_Category Template_Actuals" xfId="3024"/>
    <cellStyle name="_Column6_FT avec ristournes_VRAN YTD_Biscuits Actual Results P01_Category Template_Actuals 2" xfId="3025"/>
    <cellStyle name="_Column6_FT avec ristournes_VRAN YTD_Biscuits Actual Results P01_Category Template_Actuals_Biscuits Actual Results P02" xfId="3026"/>
    <cellStyle name="_Column6_FT avec ristournes_VRAN YTD_Biscuits Actual Results P01_Category Template_Actuals_Biscuits Actual Results P02 2" xfId="3027"/>
    <cellStyle name="_Column6_FT avec ristournes_VRAN YTD_Biscuits Actual Results P01_Category Template_Actuals_Biscuits Actual Results P02_Category Template_Actuals" xfId="3028"/>
    <cellStyle name="_Column6_FT avec ristournes_VRAN YTD_Biscuits Actual Results P01_Category Template_Actuals_Biscuits Actual Results P02_Category Template_Actuals_Biscuits Actual Results P04" xfId="3029"/>
    <cellStyle name="_Column6_FT avec ristournes_VRAN YTD_Biscuits Actual Results P01_Category Template_Actuals_Biscuits Actual Results P02_Category Template_Actuals_P&amp;L P06 AFH AC US" xfId="3030"/>
    <cellStyle name="_Column6_FT avec ristournes_VRAN YTD_Biscuits Actual Results P01_Category Template_Actuals_Biscuits Actual Results P02_P&amp;L" xfId="3031"/>
    <cellStyle name="_Column6_FT avec ristournes_VRAN YTD_Biscuits Actual Results P01_Category Template_Actuals_Biscuits Actual Results P02_P&amp;L_P&amp;L KFE" xfId="3032"/>
    <cellStyle name="_Column6_FT avec ristournes_VRAN YTD_Biscuits Actual Results P01_Category Template_Actuals_Biscuits Actual Results P02_P&amp;L_Sheet3" xfId="3033"/>
    <cellStyle name="_Column6_FT avec ristournes_VRAN YTD_Biscuits Actual Results P01_Category Template_Actuals_Biscuits Actual Results P02_VRAN YTD" xfId="3034"/>
    <cellStyle name="_Column6_FT avec ristournes_VRAN YTD_Biscuits Actual Results P01_Category Template_Actuals_Biscuits Actual Results P04" xfId="3035"/>
    <cellStyle name="_Column6_FT avec ristournes_VRAN YTD_Biscuits Actual Results P01_Category Template_Actuals_P&amp;L" xfId="3036"/>
    <cellStyle name="_Column6_FT avec ristournes_VRAN YTD_Biscuits Actual Results P01_Category Template_Actuals_P&amp;L P06 AFH AC US" xfId="3037"/>
    <cellStyle name="_Column6_FT avec ristournes_VRAN YTD_Biscuits Actual Results P01_Category Template_Actuals_P&amp;L_P&amp;L KFE" xfId="3038"/>
    <cellStyle name="_Column6_FT avec ristournes_VRAN YTD_Biscuits Actual Results P01_Category Template_Actuals_P&amp;L_Sheet3" xfId="3039"/>
    <cellStyle name="_Column6_FT avec ristournes_VRAN YTD_Biscuits Actual Results P01_P&amp;L" xfId="3040"/>
    <cellStyle name="_Column6_FT avec ristournes_VRAN YTD_Biscuits Actual Results P01_P&amp;L_P&amp;L KFE" xfId="3041"/>
    <cellStyle name="_Column6_FT avec ristournes_VRAN YTD_Biscuits Actual Results P01_P&amp;L_Sheet3" xfId="3042"/>
    <cellStyle name="_Column6_FT avec ristournes_VRAN YTD_Biscuits Actual Results P01_VRAN YTD" xfId="3043"/>
    <cellStyle name="_Column6_FT avec ristournes_VRAN YTD_Biscuits Actual Results P02" xfId="3044"/>
    <cellStyle name="_Column6_FT avec ristournes_VRAN YTD_Biscuits Actual Results P02 2" xfId="3045"/>
    <cellStyle name="_Column6_FT avec ristournes_VRAN YTD_Biscuits Actual Results P02_Category Template_Actuals" xfId="3046"/>
    <cellStyle name="_Column6_FT avec ristournes_VRAN YTD_Biscuits Actual Results P02_Category Template_Actuals_Biscuits Actual Results P04" xfId="3047"/>
    <cellStyle name="_Column6_FT avec ristournes_VRAN YTD_Biscuits Actual Results P02_Category Template_Actuals_P&amp;L P06 AFH AC US" xfId="3048"/>
    <cellStyle name="_Column6_FT avec ristournes_VRAN YTD_Biscuits Actual Results P02_P&amp;L" xfId="3049"/>
    <cellStyle name="_Column6_FT avec ristournes_VRAN YTD_Biscuits Actual Results P02_P&amp;L_P&amp;L KFE" xfId="3050"/>
    <cellStyle name="_Column6_FT avec ristournes_VRAN YTD_Biscuits Actual Results P02_P&amp;L_Sheet3" xfId="3051"/>
    <cellStyle name="_Column6_FT avec ristournes_VRAN YTD_Biscuits Actual Results P02_VRAN YTD" xfId="3052"/>
    <cellStyle name="_Column6_FT avec ristournes_VRAN YTD_Biscuits Actual Results P04" xfId="3053"/>
    <cellStyle name="_Column6_FT avec ristournes_VRAN YTD_Biscuits Actual Results P1 BIS" xfId="3054"/>
    <cellStyle name="_Column6_FT avec ristournes_VRAN YTD_Biscuits Actual Results P1 BIS 2" xfId="3055"/>
    <cellStyle name="_Column6_FT avec ristournes_VRAN YTD_Biscuits Actual Results P1 BIS_Category Template_Actuals" xfId="3056"/>
    <cellStyle name="_Column6_FT avec ristournes_VRAN YTD_Biscuits Actual Results P1 BIS_Category Template_Actuals_Biscuits Actual Results P04" xfId="3057"/>
    <cellStyle name="_Column6_FT avec ristournes_VRAN YTD_Biscuits Actual Results P1 BIS_Category Template_Actuals_P&amp;L P06 AFH AC US" xfId="3058"/>
    <cellStyle name="_Column6_FT avec ristournes_VRAN YTD_Biscuits Actual Results P1 BIS_P&amp;L" xfId="3059"/>
    <cellStyle name="_Column6_FT avec ristournes_VRAN YTD_Biscuits Actual Results P1 BIS_P&amp;L_P&amp;L KFE" xfId="3060"/>
    <cellStyle name="_Column6_FT avec ristournes_VRAN YTD_Biscuits Actual Results P1 BIS_P&amp;L_Sheet3" xfId="3061"/>
    <cellStyle name="_Column6_FT avec ristournes_VRAN YTD_Biscuits Actual Results P1 BIS_VRAN YTD" xfId="3062"/>
    <cellStyle name="_Column6_FT avec ristournes_VRAN YTD_Biscuits Actual Results P12 161210" xfId="3063"/>
    <cellStyle name="_Column6_FT avec ristournes_VRAN YTD_Biscuits Actual Results P12 161210 2" xfId="3064"/>
    <cellStyle name="_Column6_FT avec ristournes_VRAN YTD_Biscuits Actual Results P12 161210_Category Template_Actuals" xfId="3065"/>
    <cellStyle name="_Column6_FT avec ristournes_VRAN YTD_Biscuits Actual Results P12 161210_Category Template_Actuals 2" xfId="3066"/>
    <cellStyle name="_Column6_FT avec ristournes_VRAN YTD_Biscuits Actual Results P12 161210_Category Template_Actuals_Biscuits Actual Results P02" xfId="3067"/>
    <cellStyle name="_Column6_FT avec ristournes_VRAN YTD_Biscuits Actual Results P12 161210_Category Template_Actuals_Biscuits Actual Results P02 2" xfId="3068"/>
    <cellStyle name="_Column6_FT avec ristournes_VRAN YTD_Biscuits Actual Results P12 161210_Category Template_Actuals_Biscuits Actual Results P02_Category Template_Actuals" xfId="3069"/>
    <cellStyle name="_Column6_FT avec ristournes_VRAN YTD_Biscuits Actual Results P12 161210_Category Template_Actuals_Biscuits Actual Results P02_Category Template_Actuals_Biscuits Actual Results P04" xfId="3070"/>
    <cellStyle name="_Column6_FT avec ristournes_VRAN YTD_Biscuits Actual Results P12 161210_Category Template_Actuals_Biscuits Actual Results P02_Category Template_Actuals_P&amp;L P06 AFH AC US" xfId="3071"/>
    <cellStyle name="_Column6_FT avec ristournes_VRAN YTD_Biscuits Actual Results P12 161210_Category Template_Actuals_Biscuits Actual Results P02_P&amp;L" xfId="3072"/>
    <cellStyle name="_Column6_FT avec ristournes_VRAN YTD_Biscuits Actual Results P12 161210_Category Template_Actuals_Biscuits Actual Results P02_P&amp;L_P&amp;L KFE" xfId="3073"/>
    <cellStyle name="_Column6_FT avec ristournes_VRAN YTD_Biscuits Actual Results P12 161210_Category Template_Actuals_Biscuits Actual Results P02_P&amp;L_Sheet3" xfId="3074"/>
    <cellStyle name="_Column6_FT avec ristournes_VRAN YTD_Biscuits Actual Results P12 161210_Category Template_Actuals_Biscuits Actual Results P02_VRAN YTD" xfId="3075"/>
    <cellStyle name="_Column6_FT avec ristournes_VRAN YTD_Biscuits Actual Results P12 161210_Category Template_Actuals_Biscuits Actual Results P04" xfId="3076"/>
    <cellStyle name="_Column6_FT avec ristournes_VRAN YTD_Biscuits Actual Results P12 161210_Category Template_Actuals_P&amp;L" xfId="3077"/>
    <cellStyle name="_Column6_FT avec ristournes_VRAN YTD_Biscuits Actual Results P12 161210_Category Template_Actuals_P&amp;L P06 AFH AC US" xfId="3078"/>
    <cellStyle name="_Column6_FT avec ristournes_VRAN YTD_Biscuits Actual Results P12 161210_Category Template_Actuals_P&amp;L_P&amp;L KFE" xfId="3079"/>
    <cellStyle name="_Column6_FT avec ristournes_VRAN YTD_Biscuits Actual Results P12 161210_Category Template_Actuals_P&amp;L_Sheet3" xfId="3080"/>
    <cellStyle name="_Column6_FT avec ristournes_VRAN YTD_Biscuits Actual Results P12 161210_P&amp;L" xfId="3081"/>
    <cellStyle name="_Column6_FT avec ristournes_VRAN YTD_Biscuits Actual Results P12 161210_P&amp;L_P&amp;L KFE" xfId="3082"/>
    <cellStyle name="_Column6_FT avec ristournes_VRAN YTD_Biscuits Actual Results P12 161210_P&amp;L_Sheet3" xfId="3083"/>
    <cellStyle name="_Column6_FT avec ristournes_VRAN YTD_Biscuits Actual Results P12 161210_VRAN YTD" xfId="3084"/>
    <cellStyle name="_Column6_FT avec ristournes_VRAN YTD_P&amp;L" xfId="3085"/>
    <cellStyle name="_Column6_FT avec ristournes_VRAN YTD_P&amp;L P06 AFH AC US" xfId="3086"/>
    <cellStyle name="_Column6_FT avec ristournes_VRAN YTD_P&amp;L_P&amp;L KFE" xfId="3087"/>
    <cellStyle name="_Column6_FT avec ristournes_VRAN YTD_P&amp;L_Sheet3" xfId="3088"/>
    <cellStyle name="_Column6_Key drivers May Fc vs AOP 12-05-10" xfId="3089"/>
    <cellStyle name="_Column6_KFE Category PnL template_Combined_P03 (2)" xfId="3090"/>
    <cellStyle name="_Column6_KFE Category PnL template_Combined_P03 (2)_P&amp;L KFE" xfId="3091"/>
    <cellStyle name="_Column6_KFE Category PnL template_Combined_P03 (2)_Sheet3" xfId="3092"/>
    <cellStyle name="_Column6_KFE Category PnL template_Kraft Legacy (2)" xfId="3093"/>
    <cellStyle name="_Column6_KFE Category PnL template_Kraft Legacy (2)_P&amp;L KFE" xfId="3094"/>
    <cellStyle name="_Column6_KFE Category PnL template_Kraft Legacy (2)_Sheet3" xfId="3095"/>
    <cellStyle name="_Column6_KFE Category PnL template_Kraft Legacy (4)" xfId="3096"/>
    <cellStyle name="_Column6_KFE Category PnL template_Kraft Legacy (4)_P&amp;L KFE" xfId="3097"/>
    <cellStyle name="_Column6_KFE Category PnL template_Kraft Legacy (4)_Sheet3" xfId="3098"/>
    <cellStyle name="_Column6_Monthly report P04" xfId="3099"/>
    <cellStyle name="_Column6_OI Bridge 0" xfId="3100"/>
    <cellStyle name="_Column6_OI Bridge 0_1" xfId="3101"/>
    <cellStyle name="_Column6_OI Bridge 1" xfId="3102"/>
    <cellStyle name="_Column6_P&amp;L" xfId="3103"/>
    <cellStyle name="_Column6_P&amp;L KBE 2008-2011" xfId="3104"/>
    <cellStyle name="_Column6_P&amp;L KBE 2008-2011 2" xfId="3105"/>
    <cellStyle name="_Column6_P&amp;L_P&amp;L KFE" xfId="3106"/>
    <cellStyle name="_Column6_P&amp;L_Sheet3" xfId="3107"/>
    <cellStyle name="_Column6_Pricing bridge template" xfId="3108"/>
    <cellStyle name="_Column6_Pricing bridge template 2" xfId="3109"/>
    <cellStyle name="_Column6_Pricing bridge template_P&amp;L KFE" xfId="3110"/>
    <cellStyle name="_Column6_Pricing bridge template_Sheet3" xfId="3111"/>
    <cellStyle name="_Column6_RIG &amp; NC graphs" xfId="3112"/>
    <cellStyle name="_Column6_Sheet1" xfId="3113"/>
    <cellStyle name="_Column6_VRAN YTD" xfId="3114"/>
    <cellStyle name="_Column6_VRAN YTD 2" xfId="3115"/>
    <cellStyle name="_Column6_VRAN YTD_Biscuits Actual Results P01" xfId="3116"/>
    <cellStyle name="_Column6_VRAN YTD_Biscuits Actual Results P01 2" xfId="3117"/>
    <cellStyle name="_Column6_VRAN YTD_Biscuits Actual Results P01_Category Template_Actuals" xfId="3118"/>
    <cellStyle name="_Column6_VRAN YTD_Biscuits Actual Results P01_Category Template_Actuals 2" xfId="3119"/>
    <cellStyle name="_Column6_VRAN YTD_Biscuits Actual Results P01_Category Template_Actuals_Biscuits Actual Results P02" xfId="3120"/>
    <cellStyle name="_Column6_VRAN YTD_Biscuits Actual Results P01_Category Template_Actuals_Biscuits Actual Results P02 2" xfId="3121"/>
    <cellStyle name="_Column6_VRAN YTD_Biscuits Actual Results P01_Category Template_Actuals_Biscuits Actual Results P02_Category Template_Actuals" xfId="3122"/>
    <cellStyle name="_Column6_VRAN YTD_Biscuits Actual Results P01_Category Template_Actuals_Biscuits Actual Results P02_Category Template_Actuals_Biscuits Actual Results P04" xfId="3123"/>
    <cellStyle name="_Column6_VRAN YTD_Biscuits Actual Results P01_Category Template_Actuals_Biscuits Actual Results P02_Category Template_Actuals_P&amp;L P06 AFH AC US" xfId="3124"/>
    <cellStyle name="_Column6_VRAN YTD_Biscuits Actual Results P01_Category Template_Actuals_Biscuits Actual Results P02_P&amp;L" xfId="3125"/>
    <cellStyle name="_Column6_VRAN YTD_Biscuits Actual Results P01_Category Template_Actuals_Biscuits Actual Results P02_P&amp;L_P&amp;L KFE" xfId="3126"/>
    <cellStyle name="_Column6_VRAN YTD_Biscuits Actual Results P01_Category Template_Actuals_Biscuits Actual Results P02_P&amp;L_Sheet3" xfId="3127"/>
    <cellStyle name="_Column6_VRAN YTD_Biscuits Actual Results P01_Category Template_Actuals_Biscuits Actual Results P02_VRAN YTD" xfId="3128"/>
    <cellStyle name="_Column6_VRAN YTD_Biscuits Actual Results P01_Category Template_Actuals_Biscuits Actual Results P04" xfId="3129"/>
    <cellStyle name="_Column6_VRAN YTD_Biscuits Actual Results P01_Category Template_Actuals_P&amp;L" xfId="3130"/>
    <cellStyle name="_Column6_VRAN YTD_Biscuits Actual Results P01_Category Template_Actuals_P&amp;L P06 AFH AC US" xfId="3131"/>
    <cellStyle name="_Column6_VRAN YTD_Biscuits Actual Results P01_Category Template_Actuals_P&amp;L_P&amp;L KFE" xfId="3132"/>
    <cellStyle name="_Column6_VRAN YTD_Biscuits Actual Results P01_Category Template_Actuals_P&amp;L_Sheet3" xfId="3133"/>
    <cellStyle name="_Column6_VRAN YTD_Biscuits Actual Results P01_P&amp;L" xfId="3134"/>
    <cellStyle name="_Column6_VRAN YTD_Biscuits Actual Results P01_P&amp;L_P&amp;L KFE" xfId="3135"/>
    <cellStyle name="_Column6_VRAN YTD_Biscuits Actual Results P01_P&amp;L_Sheet3" xfId="3136"/>
    <cellStyle name="_Column6_VRAN YTD_Biscuits Actual Results P01_VRAN YTD" xfId="3137"/>
    <cellStyle name="_Column6_VRAN YTD_Biscuits Actual Results P02" xfId="3138"/>
    <cellStyle name="_Column6_VRAN YTD_Biscuits Actual Results P02 2" xfId="3139"/>
    <cellStyle name="_Column6_VRAN YTD_Biscuits Actual Results P02_Category Template_Actuals" xfId="3140"/>
    <cellStyle name="_Column6_VRAN YTD_Biscuits Actual Results P02_Category Template_Actuals_Biscuits Actual Results P04" xfId="3141"/>
    <cellStyle name="_Column6_VRAN YTD_Biscuits Actual Results P02_Category Template_Actuals_P&amp;L P06 AFH AC US" xfId="3142"/>
    <cellStyle name="_Column6_VRAN YTD_Biscuits Actual Results P02_P&amp;L" xfId="3143"/>
    <cellStyle name="_Column6_VRAN YTD_Biscuits Actual Results P02_P&amp;L_P&amp;L KFE" xfId="3144"/>
    <cellStyle name="_Column6_VRAN YTD_Biscuits Actual Results P02_P&amp;L_Sheet3" xfId="3145"/>
    <cellStyle name="_Column6_VRAN YTD_Biscuits Actual Results P02_VRAN YTD" xfId="3146"/>
    <cellStyle name="_Column6_VRAN YTD_Biscuits Actual Results P04" xfId="3147"/>
    <cellStyle name="_Column6_VRAN YTD_Biscuits Actual Results P1 BIS" xfId="3148"/>
    <cellStyle name="_Column6_VRAN YTD_Biscuits Actual Results P1 BIS 2" xfId="3149"/>
    <cellStyle name="_Column6_VRAN YTD_Biscuits Actual Results P1 BIS_Category Template_Actuals" xfId="3150"/>
    <cellStyle name="_Column6_VRAN YTD_Biscuits Actual Results P1 BIS_Category Template_Actuals_Biscuits Actual Results P04" xfId="3151"/>
    <cellStyle name="_Column6_VRAN YTD_Biscuits Actual Results P1 BIS_Category Template_Actuals_P&amp;L P06 AFH AC US" xfId="3152"/>
    <cellStyle name="_Column6_VRAN YTD_Biscuits Actual Results P1 BIS_P&amp;L" xfId="3153"/>
    <cellStyle name="_Column6_VRAN YTD_Biscuits Actual Results P1 BIS_P&amp;L_P&amp;L KFE" xfId="3154"/>
    <cellStyle name="_Column6_VRAN YTD_Biscuits Actual Results P1 BIS_P&amp;L_Sheet3" xfId="3155"/>
    <cellStyle name="_Column6_VRAN YTD_Biscuits Actual Results P1 BIS_VRAN YTD" xfId="3156"/>
    <cellStyle name="_Column6_VRAN YTD_Biscuits Actual Results P12 161210" xfId="3157"/>
    <cellStyle name="_Column6_VRAN YTD_Biscuits Actual Results P12 161210 2" xfId="3158"/>
    <cellStyle name="_Column6_VRAN YTD_Biscuits Actual Results P12 161210_Category Template_Actuals" xfId="3159"/>
    <cellStyle name="_Column6_VRAN YTD_Biscuits Actual Results P12 161210_Category Template_Actuals 2" xfId="3160"/>
    <cellStyle name="_Column6_VRAN YTD_Biscuits Actual Results P12 161210_Category Template_Actuals_Biscuits Actual Results P02" xfId="3161"/>
    <cellStyle name="_Column6_VRAN YTD_Biscuits Actual Results P12 161210_Category Template_Actuals_Biscuits Actual Results P02 2" xfId="3162"/>
    <cellStyle name="_Column6_VRAN YTD_Biscuits Actual Results P12 161210_Category Template_Actuals_Biscuits Actual Results P02_Category Template_Actuals" xfId="3163"/>
    <cellStyle name="_Column6_VRAN YTD_Biscuits Actual Results P12 161210_Category Template_Actuals_Biscuits Actual Results P02_Category Template_Actuals_Biscuits Actual Results P04" xfId="3164"/>
    <cellStyle name="_Column6_VRAN YTD_Biscuits Actual Results P12 161210_Category Template_Actuals_Biscuits Actual Results P02_Category Template_Actuals_P&amp;L P06 AFH AC US" xfId="3165"/>
    <cellStyle name="_Column6_VRAN YTD_Biscuits Actual Results P12 161210_Category Template_Actuals_Biscuits Actual Results P02_P&amp;L" xfId="3166"/>
    <cellStyle name="_Column6_VRAN YTD_Biscuits Actual Results P12 161210_Category Template_Actuals_Biscuits Actual Results P02_P&amp;L_P&amp;L KFE" xfId="3167"/>
    <cellStyle name="_Column6_VRAN YTD_Biscuits Actual Results P12 161210_Category Template_Actuals_Biscuits Actual Results P02_P&amp;L_Sheet3" xfId="3168"/>
    <cellStyle name="_Column6_VRAN YTD_Biscuits Actual Results P12 161210_Category Template_Actuals_Biscuits Actual Results P02_VRAN YTD" xfId="3169"/>
    <cellStyle name="_Column6_VRAN YTD_Biscuits Actual Results P12 161210_Category Template_Actuals_Biscuits Actual Results P04" xfId="3170"/>
    <cellStyle name="_Column6_VRAN YTD_Biscuits Actual Results P12 161210_Category Template_Actuals_P&amp;L" xfId="3171"/>
    <cellStyle name="_Column6_VRAN YTD_Biscuits Actual Results P12 161210_Category Template_Actuals_P&amp;L P06 AFH AC US" xfId="3172"/>
    <cellStyle name="_Column6_VRAN YTD_Biscuits Actual Results P12 161210_Category Template_Actuals_P&amp;L_P&amp;L KFE" xfId="3173"/>
    <cellStyle name="_Column6_VRAN YTD_Biscuits Actual Results P12 161210_Category Template_Actuals_P&amp;L_Sheet3" xfId="3174"/>
    <cellStyle name="_Column6_VRAN YTD_Biscuits Actual Results P12 161210_P&amp;L" xfId="3175"/>
    <cellStyle name="_Column6_VRAN YTD_Biscuits Actual Results P12 161210_P&amp;L_P&amp;L KFE" xfId="3176"/>
    <cellStyle name="_Column6_VRAN YTD_Biscuits Actual Results P12 161210_P&amp;L_Sheet3" xfId="3177"/>
    <cellStyle name="_Column6_VRAN YTD_Biscuits Actual Results P12 161210_VRAN YTD" xfId="3178"/>
    <cellStyle name="_Column6_VRAN YTD_P&amp;L" xfId="3179"/>
    <cellStyle name="_Column6_VRAN YTD_P&amp;L P06 AFH AC US" xfId="3180"/>
    <cellStyle name="_Column6_VRAN YTD_P&amp;L_P&amp;L KFE" xfId="3181"/>
    <cellStyle name="_Column6_VRAN YTD_P&amp;L_Sheet3" xfId="3182"/>
    <cellStyle name="_Column6_WP_AC11 P&amp;L LFL 27.10.10" xfId="3183"/>
    <cellStyle name="_Column7" xfId="3184"/>
    <cellStyle name="_Column7 2" xfId="3185"/>
    <cellStyle name="_Column7 3" xfId="3186"/>
    <cellStyle name="_Column7__P09 - Key Drivers KBE" xfId="3187"/>
    <cellStyle name="_Column7__P09 - Key Drivers KBE 2" xfId="3188"/>
    <cellStyle name="_Column7__P10 - Key Drivers KBE" xfId="3189"/>
    <cellStyle name="_Column7__P10 - Key Drivers KBE 2" xfId="3190"/>
    <cellStyle name="_Column7_2011 Targets by Category" xfId="3191"/>
    <cellStyle name="_Column7_2011 Targets by category Aug 25" xfId="3192"/>
    <cellStyle name="_Column7_2011 Targets by Category Last OM" xfId="3193"/>
    <cellStyle name="_Column7_2011 Targets by Category Last OM.xls" xfId="3194"/>
    <cellStyle name="_Column7_2011 Targets by Category Oct 1 incl Cby adjustments" xfId="3195"/>
    <cellStyle name="_Column7_2011 Targets by Category Sep 06" xfId="3196"/>
    <cellStyle name="_Column7_2011 Targets by Category Sep 07" xfId="3197"/>
    <cellStyle name="_Column7_2011 Targets by Category Sep 07 incl. JK feedback" xfId="3198"/>
    <cellStyle name="_Column7_AC11 conso" xfId="3199"/>
    <cellStyle name="_Column7_AC11 conso @AC10 Fx" xfId="3200"/>
    <cellStyle name="_Column7_AC11 conso @AC10 Fx 2" xfId="3201"/>
    <cellStyle name="_Column7_AC11 conso @Cst Fx" xfId="3202"/>
    <cellStyle name="_Column7_AC11 conso @Cst Fx 2" xfId="3203"/>
    <cellStyle name="_Column7_AC11 conso @Cst Fx after LFL restatement" xfId="3204"/>
    <cellStyle name="_Column7_AC11 conso @Cst Fx after LFL restatement 2" xfId="3205"/>
    <cellStyle name="_Column7_AC11 conso 2" xfId="3206"/>
    <cellStyle name="_Column7_AC11 conso 3" xfId="3207"/>
    <cellStyle name="_Column7_Biscuits Actual Results P01" xfId="3208"/>
    <cellStyle name="_Column7_Biscuits Actual Results P01 2" xfId="3209"/>
    <cellStyle name="_Column7_Biscuits Actual Results P02" xfId="3210"/>
    <cellStyle name="_Column7_Biscuits Actual Results P02 2" xfId="3211"/>
    <cellStyle name="_Column7_Biscuits Actual Results P04" xfId="3212"/>
    <cellStyle name="_Column7_Biscuits Actual Results P1 BIS" xfId="3213"/>
    <cellStyle name="_Column7_Biscuits Actual Results P1 BIS 2" xfId="3214"/>
    <cellStyle name="_Column7_Biscuits Actual Results P10" xfId="3215"/>
    <cellStyle name="_Column7_Biscuits Actual Results P10 2" xfId="3216"/>
    <cellStyle name="_Column7_Biscuits Actual Results P10_NC Drivers P10 T1" xfId="3217"/>
    <cellStyle name="_Column7_Biscuits Actual Results P10_NC Drivers P10 T1 2" xfId="3218"/>
    <cellStyle name="_Column7_Biscuits Actual Results P10_O&amp;R Nov Fc conso" xfId="3219"/>
    <cellStyle name="_Column7_Biscuits Actual Results P10_O&amp;R Nov Fc conso 2" xfId="3220"/>
    <cellStyle name="_Column7_Biscuits Actual Results P10_Ourson" xfId="3221"/>
    <cellStyle name="_Column7_Biscuits Actual Results P10_Prince" xfId="3222"/>
    <cellStyle name="_Column7_Biscuits Actual Results P10_template simul Growth Platforms" xfId="3223"/>
    <cellStyle name="_Column7_Biscuits Actual Results P10_template simul Growth Platforms 08-02-11_v0" xfId="3224"/>
    <cellStyle name="_Column7_Biscuits Actual Results P10_template simul Growth Platforms 14-02-11_v1" xfId="3225"/>
    <cellStyle name="_Column7_Biscuits Actual Results P10_template simul Growth Platforms new" xfId="3226"/>
    <cellStyle name="_Column7_Biscuits Actual Results P10_template simul per country" xfId="3227"/>
    <cellStyle name="_Column7_Biscuits Actual Results P10_template simul per country 10-03-11_v3" xfId="3228"/>
    <cellStyle name="_Column7_Biscuits Actual Results P10_template simul per country 10-03-11_v4 &amp; central alloc" xfId="3229"/>
    <cellStyle name="_Column7_Biscuits Actual Results P10_template simul per country 14-02-11_v1" xfId="3230"/>
    <cellStyle name="_Column7_Biscuits Actual Results P10_template simul per country 17-03-11_v6 &amp; central alloc" xfId="3231"/>
    <cellStyle name="_Column7_Biscuits Actual Results P10_template simul per country 17-03-11_v8 &amp; central alloc" xfId="3232"/>
    <cellStyle name="_Column7_Biscuits Actual Results P10_template simul per country 24-02-11_v2 with LH brands &amp; CBY_test" xfId="3233"/>
    <cellStyle name="_Column7_Biscuits Actual Results P10_template simul per country new" xfId="3234"/>
    <cellStyle name="_Column7_Biscuits Actual Results P11" xfId="3235"/>
    <cellStyle name="_Column7_Biscuits Actual Results P11 2" xfId="3236"/>
    <cellStyle name="_Column7_Biscuits Actual Results P11_Ourson" xfId="3237"/>
    <cellStyle name="_Column7_Biscuits Actual Results P11_Prince" xfId="3238"/>
    <cellStyle name="_Column7_Biscuits Actual Results P11_template simul Growth Platforms" xfId="3239"/>
    <cellStyle name="_Column7_Biscuits Actual Results P11_template simul Growth Platforms 08-02-11_v0" xfId="3240"/>
    <cellStyle name="_Column7_Biscuits Actual Results P11_template simul Growth Platforms 14-02-11_v1" xfId="3241"/>
    <cellStyle name="_Column7_Biscuits Actual Results P11_template simul Growth Platforms new" xfId="3242"/>
    <cellStyle name="_Column7_Biscuits Actual Results P11_template simul per country" xfId="3243"/>
    <cellStyle name="_Column7_Biscuits Actual Results P11_template simul per country 10-03-11_v3" xfId="3244"/>
    <cellStyle name="_Column7_Biscuits Actual Results P11_template simul per country 10-03-11_v4 &amp; central alloc" xfId="3245"/>
    <cellStyle name="_Column7_Biscuits Actual Results P11_template simul per country 14-02-11_v1" xfId="3246"/>
    <cellStyle name="_Column7_Biscuits Actual Results P11_template simul per country 17-03-11_v6 &amp; central alloc" xfId="3247"/>
    <cellStyle name="_Column7_Biscuits Actual Results P11_template simul per country 17-03-11_v8 &amp; central alloc" xfId="3248"/>
    <cellStyle name="_Column7_Biscuits Actual Results P11_template simul per country 24-02-11_v2 with LH brands &amp; CBY_test" xfId="3249"/>
    <cellStyle name="_Column7_Biscuits Actual Results P11_template simul per country new" xfId="3250"/>
    <cellStyle name="_Column7_Biscuits Actual Results P12" xfId="3251"/>
    <cellStyle name="_Column7_Biscuits Actual Results P12 161210" xfId="3252"/>
    <cellStyle name="_Column7_Biscuits Actual Results P12 161210 2" xfId="3253"/>
    <cellStyle name="_Column7_Biscuits Actual Results P12 161210_Ourson" xfId="3254"/>
    <cellStyle name="_Column7_Biscuits Actual Results P12 161210_Prince" xfId="3255"/>
    <cellStyle name="_Column7_Biscuits Actual Results P12 161210_template simul Growth Platforms" xfId="3256"/>
    <cellStyle name="_Column7_Biscuits Actual Results P12 161210_template simul Growth Platforms 08-02-11_v0" xfId="3257"/>
    <cellStyle name="_Column7_Biscuits Actual Results P12 161210_template simul Growth Platforms 14-02-11_v1" xfId="3258"/>
    <cellStyle name="_Column7_Biscuits Actual Results P12 161210_template simul Growth Platforms new" xfId="3259"/>
    <cellStyle name="_Column7_Biscuits Actual Results P12 161210_template simul per country" xfId="3260"/>
    <cellStyle name="_Column7_Biscuits Actual Results P12 161210_template simul per country 10-03-11_v3" xfId="3261"/>
    <cellStyle name="_Column7_Biscuits Actual Results P12 161210_template simul per country 10-03-11_v4 &amp; central alloc" xfId="3262"/>
    <cellStyle name="_Column7_Biscuits Actual Results P12 161210_template simul per country 14-02-11_v1" xfId="3263"/>
    <cellStyle name="_Column7_Biscuits Actual Results P12 161210_template simul per country 17-03-11_v6 &amp; central alloc" xfId="3264"/>
    <cellStyle name="_Column7_Biscuits Actual Results P12 161210_template simul per country 17-03-11_v8 &amp; central alloc" xfId="3265"/>
    <cellStyle name="_Column7_Biscuits Actual Results P12 161210_template simul per country 24-02-11_v2 with LH brands &amp; CBY_test" xfId="3266"/>
    <cellStyle name="_Column7_Biscuits Actual Results P12 161210_template simul per country new" xfId="3267"/>
    <cellStyle name="_Column7_Biscuits Actual Results P12 2" xfId="3268"/>
    <cellStyle name="_Column7_Biscuits Actual Results P12 Conso T2" xfId="3269"/>
    <cellStyle name="_Column7_Biscuits Actual Results P12 Conso T2 2" xfId="3270"/>
    <cellStyle name="_Column7_Biscuits Actual Results P12 Conso T2_Ourson" xfId="3271"/>
    <cellStyle name="_Column7_Biscuits Actual Results P12 Conso T2_Prince" xfId="3272"/>
    <cellStyle name="_Column7_Biscuits Actual Results P12 Conso T2_template simul Growth Platforms" xfId="3273"/>
    <cellStyle name="_Column7_Biscuits Actual Results P12 Conso T2_template simul Growth Platforms 08-02-11_v0" xfId="3274"/>
    <cellStyle name="_Column7_Biscuits Actual Results P12 Conso T2_template simul Growth Platforms 14-02-11_v1" xfId="3275"/>
    <cellStyle name="_Column7_Biscuits Actual Results P12 Conso T2_template simul Growth Platforms new" xfId="3276"/>
    <cellStyle name="_Column7_Biscuits Actual Results P12 Conso T2_template simul per country" xfId="3277"/>
    <cellStyle name="_Column7_Biscuits Actual Results P12 Conso T2_template simul per country 10-03-11_v3" xfId="3278"/>
    <cellStyle name="_Column7_Biscuits Actual Results P12 Conso T2_template simul per country 10-03-11_v4 &amp; central alloc" xfId="3279"/>
    <cellStyle name="_Column7_Biscuits Actual Results P12 Conso T2_template simul per country 14-02-11_v1" xfId="3280"/>
    <cellStyle name="_Column7_Biscuits Actual Results P12 Conso T2_template simul per country 17-03-11_v6 &amp; central alloc" xfId="3281"/>
    <cellStyle name="_Column7_Biscuits Actual Results P12 Conso T2_template simul per country 17-03-11_v8 &amp; central alloc" xfId="3282"/>
    <cellStyle name="_Column7_Biscuits Actual Results P12 Conso T2_template simul per country 24-02-11_v2 with LH brands &amp; CBY_test" xfId="3283"/>
    <cellStyle name="_Column7_Biscuits Actual Results P12 Conso T2_template simul per country new" xfId="3284"/>
    <cellStyle name="_Column7_Biscuits Actual Results P12_Ourson" xfId="3285"/>
    <cellStyle name="_Column7_Biscuits Actual Results P12_Prince" xfId="3286"/>
    <cellStyle name="_Column7_Biscuits Actual Results P12_template simul Growth Platforms" xfId="3287"/>
    <cellStyle name="_Column7_Biscuits Actual Results P12_template simul Growth Platforms 08-02-11_v0" xfId="3288"/>
    <cellStyle name="_Column7_Biscuits Actual Results P12_template simul Growth Platforms 14-02-11_v1" xfId="3289"/>
    <cellStyle name="_Column7_Biscuits Actual Results P12_template simul Growth Platforms new" xfId="3290"/>
    <cellStyle name="_Column7_Biscuits Actual Results P12_template simul per country" xfId="3291"/>
    <cellStyle name="_Column7_Biscuits Actual Results P12_template simul per country 10-03-11_v3" xfId="3292"/>
    <cellStyle name="_Column7_Biscuits Actual Results P12_template simul per country 10-03-11_v4 &amp; central alloc" xfId="3293"/>
    <cellStyle name="_Column7_Biscuits Actual Results P12_template simul per country 14-02-11_v1" xfId="3294"/>
    <cellStyle name="_Column7_Biscuits Actual Results P12_template simul per country 17-03-11_v6 &amp; central alloc" xfId="3295"/>
    <cellStyle name="_Column7_Biscuits Actual Results P12_template simul per country 17-03-11_v8 &amp; central alloc" xfId="3296"/>
    <cellStyle name="_Column7_Biscuits Actual Results P12_template simul per country 24-02-11_v2 with LH brands &amp; CBY_test" xfId="3297"/>
    <cellStyle name="_Column7_Biscuits Actual Results P12_template simul per country new" xfId="3298"/>
    <cellStyle name="_Column7_Biscuits Actual Results P9" xfId="3299"/>
    <cellStyle name="_Column7_Biscuits Actual Results P9 2" xfId="3300"/>
    <cellStyle name="_Column7_Biscuits Actual Results P9_NC Drivers P10 T1" xfId="3301"/>
    <cellStyle name="_Column7_Biscuits Actual Results P9_NC Drivers P10 T1 2" xfId="3302"/>
    <cellStyle name="_Column7_Biscuits Actual Results P9_O&amp;R Nov Fc conso" xfId="3303"/>
    <cellStyle name="_Column7_Biscuits Actual Results P9_O&amp;R Nov Fc conso 2" xfId="3304"/>
    <cellStyle name="_Column7_Biscuits Actual Results P9_Ourson" xfId="3305"/>
    <cellStyle name="_Column7_Biscuits Actual Results P9_Prince" xfId="3306"/>
    <cellStyle name="_Column7_Biscuits Actual Results P9_template simul Growth Platforms" xfId="3307"/>
    <cellStyle name="_Column7_Biscuits Actual Results P9_template simul Growth Platforms 08-02-11_v0" xfId="3308"/>
    <cellStyle name="_Column7_Biscuits Actual Results P9_template simul Growth Platforms 14-02-11_v1" xfId="3309"/>
    <cellStyle name="_Column7_Biscuits Actual Results P9_template simul Growth Platforms new" xfId="3310"/>
    <cellStyle name="_Column7_Biscuits Actual Results P9_template simul per country" xfId="3311"/>
    <cellStyle name="_Column7_Biscuits Actual Results P9_template simul per country 10-03-11_v3" xfId="3312"/>
    <cellStyle name="_Column7_Biscuits Actual Results P9_template simul per country 10-03-11_v4 &amp; central alloc" xfId="3313"/>
    <cellStyle name="_Column7_Biscuits Actual Results P9_template simul per country 14-02-11_v1" xfId="3314"/>
    <cellStyle name="_Column7_Biscuits Actual Results P9_template simul per country 17-03-11_v6 &amp; central alloc" xfId="3315"/>
    <cellStyle name="_Column7_Biscuits Actual Results P9_template simul per country 17-03-11_v8 &amp; central alloc" xfId="3316"/>
    <cellStyle name="_Column7_Biscuits Actual Results P9_template simul per country 24-02-11_v2 with LH brands &amp; CBY_test" xfId="3317"/>
    <cellStyle name="_Column7_Biscuits Actual Results P9_template simul per country new" xfId="3318"/>
    <cellStyle name="_Column7_bridge" xfId="3319"/>
    <cellStyle name="_Column7_Category PnL" xfId="3320"/>
    <cellStyle name="_Column7_Category PnL 2" xfId="3321"/>
    <cellStyle name="_Column7_Category PnL Template_140910" xfId="3322"/>
    <cellStyle name="_Column7_Category PnL Template_140910 2" xfId="3323"/>
    <cellStyle name="_Column7_Category PnL Template_140910_NC Drivers P10 T1" xfId="3324"/>
    <cellStyle name="_Column7_Category PnL Template_140910_NC Drivers P10 T1 2" xfId="3325"/>
    <cellStyle name="_Column7_Category PnL Template_140910_O&amp;R Nov Fc conso" xfId="3326"/>
    <cellStyle name="_Column7_Category PnL Template_140910_O&amp;R Nov Fc conso 2" xfId="3327"/>
    <cellStyle name="_Column7_Category PnL Template_140910_Ourson" xfId="3328"/>
    <cellStyle name="_Column7_Category PnL Template_140910_Prince" xfId="3329"/>
    <cellStyle name="_Column7_Category PnL Template_140910_template simul Growth Platforms" xfId="3330"/>
    <cellStyle name="_Column7_Category PnL Template_140910_template simul Growth Platforms 08-02-11_v0" xfId="3331"/>
    <cellStyle name="_Column7_Category PnL Template_140910_template simul Growth Platforms 14-02-11_v1" xfId="3332"/>
    <cellStyle name="_Column7_Category PnL Template_140910_template simul Growth Platforms new" xfId="3333"/>
    <cellStyle name="_Column7_Category PnL Template_140910_template simul per country" xfId="3334"/>
    <cellStyle name="_Column7_Category PnL Template_140910_template simul per country 10-03-11_v3" xfId="3335"/>
    <cellStyle name="_Column7_Category PnL Template_140910_template simul per country 10-03-11_v4 &amp; central alloc" xfId="3336"/>
    <cellStyle name="_Column7_Category PnL Template_140910_template simul per country 14-02-11_v1" xfId="3337"/>
    <cellStyle name="_Column7_Category PnL Template_140910_template simul per country 17-03-11_v6 &amp; central alloc" xfId="3338"/>
    <cellStyle name="_Column7_Category PnL Template_140910_template simul per country 17-03-11_v8 &amp; central alloc" xfId="3339"/>
    <cellStyle name="_Column7_Category PnL Template_140910_template simul per country 24-02-11_v2 with LH brands &amp; CBY_test" xfId="3340"/>
    <cellStyle name="_Column7_Category PnL Template_140910_template simul per country new" xfId="3341"/>
    <cellStyle name="_Column7_Category PnL Template_201010 (4)" xfId="3342"/>
    <cellStyle name="_Column7_Category PnL Template_201010 (4) 2" xfId="3343"/>
    <cellStyle name="_Column7_Category PnL Template_201010 (4)_NC Drivers P10 T1" xfId="3344"/>
    <cellStyle name="_Column7_Category PnL Template_201010 (4)_NC Drivers P10 T1 2" xfId="3345"/>
    <cellStyle name="_Column7_Category PnL Template_201010 (4)_O&amp;R Nov Fc conso" xfId="3346"/>
    <cellStyle name="_Column7_Category PnL Template_201010 (4)_O&amp;R Nov Fc conso 2" xfId="3347"/>
    <cellStyle name="_Column7_Category PnL Template_201010 (4)_Ourson" xfId="3348"/>
    <cellStyle name="_Column7_Category PnL Template_201010 (4)_Prince" xfId="3349"/>
    <cellStyle name="_Column7_Category PnL Template_201010 (4)_template simul Growth Platforms" xfId="3350"/>
    <cellStyle name="_Column7_Category PnL Template_201010 (4)_template simul Growth Platforms 08-02-11_v0" xfId="3351"/>
    <cellStyle name="_Column7_Category PnL Template_201010 (4)_template simul Growth Platforms 14-02-11_v1" xfId="3352"/>
    <cellStyle name="_Column7_Category PnL Template_201010 (4)_template simul Growth Platforms new" xfId="3353"/>
    <cellStyle name="_Column7_Category PnL Template_201010 (4)_template simul per country" xfId="3354"/>
    <cellStyle name="_Column7_Category PnL Template_201010 (4)_template simul per country 10-03-11_v3" xfId="3355"/>
    <cellStyle name="_Column7_Category PnL Template_201010 (4)_template simul per country 10-03-11_v4 &amp; central alloc" xfId="3356"/>
    <cellStyle name="_Column7_Category PnL Template_201010 (4)_template simul per country 14-02-11_v1" xfId="3357"/>
    <cellStyle name="_Column7_Category PnL Template_201010 (4)_template simul per country 17-03-11_v6 &amp; central alloc" xfId="3358"/>
    <cellStyle name="_Column7_Category PnL Template_201010 (4)_template simul per country 17-03-11_v8 &amp; central alloc" xfId="3359"/>
    <cellStyle name="_Column7_Category PnL Template_201010 (4)_template simul per country 24-02-11_v2 with LH brands &amp; CBY_test" xfId="3360"/>
    <cellStyle name="_Column7_Category PnL Template_201010 (4)_template simul per country new" xfId="3361"/>
    <cellStyle name="_Column7_Category PnL_Ourson" xfId="3362"/>
    <cellStyle name="_Column7_Category PnL_Prince" xfId="3363"/>
    <cellStyle name="_Column7_Category PnL_template simul Growth Platforms" xfId="3364"/>
    <cellStyle name="_Column7_Category PnL_template simul Growth Platforms 08-02-11_v0" xfId="3365"/>
    <cellStyle name="_Column7_Category PnL_template simul Growth Platforms 14-02-11_v1" xfId="3366"/>
    <cellStyle name="_Column7_Category PnL_template simul Growth Platforms new" xfId="3367"/>
    <cellStyle name="_Column7_Category PnL_template simul per country" xfId="3368"/>
    <cellStyle name="_Column7_Category PnL_template simul per country 10-03-11_v3" xfId="3369"/>
    <cellStyle name="_Column7_Category PnL_template simul per country 10-03-11_v4 &amp; central alloc" xfId="3370"/>
    <cellStyle name="_Column7_Category PnL_template simul per country 14-02-11_v1" xfId="3371"/>
    <cellStyle name="_Column7_Category PnL_template simul per country 17-03-11_v6 &amp; central alloc" xfId="3372"/>
    <cellStyle name="_Column7_Category PnL_template simul per country 17-03-11_v8 &amp; central alloc" xfId="3373"/>
    <cellStyle name="_Column7_Category PnL_template simul per country 24-02-11_v2 with LH brands &amp; CBY_test" xfId="3374"/>
    <cellStyle name="_Column7_Category PnL_template simul per country new" xfId="3375"/>
    <cellStyle name="_Column7_Category Targets 2011_1.2" xfId="3376"/>
    <cellStyle name="_Column7_Category Template AC'11 @Cst Fx 52W vs 53W" xfId="3377"/>
    <cellStyle name="_Column7_Category Template AC'11 @Cst Fx 52W vs 53W 2" xfId="3378"/>
    <cellStyle name="_Column7_Category Template AC'11 28092010" xfId="3379"/>
    <cellStyle name="_Column7_Category Template AC'11 30092010v4" xfId="3380"/>
    <cellStyle name="_Column7_Category Template AC'11_sent to countries" xfId="3381"/>
    <cellStyle name="_Column7_Category Template AC'11_sent to countries ( euro )" xfId="3382"/>
    <cellStyle name="_Column7_Category Template AC'11_sent to countries à modifier" xfId="3383"/>
    <cellStyle name="_Column7_Category Template_Actuals" xfId="3384"/>
    <cellStyle name="_Column7_Category Template_Actuals 2" xfId="3385"/>
    <cellStyle name="_Column7_Category Template_Actuals NEW" xfId="3386"/>
    <cellStyle name="_Column7_Category Template_Actuals NEW 2" xfId="3387"/>
    <cellStyle name="_Column7_Category Template_Actuals NEW_Ourson" xfId="3388"/>
    <cellStyle name="_Column7_Category Template_Actuals NEW_Prince" xfId="3389"/>
    <cellStyle name="_Column7_Category Template_Actuals NEW_template simul Growth Platforms" xfId="3390"/>
    <cellStyle name="_Column7_Category Template_Actuals NEW_template simul Growth Platforms 08-02-11_v0" xfId="3391"/>
    <cellStyle name="_Column7_Category Template_Actuals NEW_template simul Growth Platforms 14-02-11_v1" xfId="3392"/>
    <cellStyle name="_Column7_Category Template_Actuals NEW_template simul Growth Platforms new" xfId="3393"/>
    <cellStyle name="_Column7_Category Template_Actuals NEW_template simul per country" xfId="3394"/>
    <cellStyle name="_Column7_Category Template_Actuals NEW_template simul per country 10-03-11_v3" xfId="3395"/>
    <cellStyle name="_Column7_Category Template_Actuals NEW_template simul per country 10-03-11_v4 &amp; central alloc" xfId="3396"/>
    <cellStyle name="_Column7_Category Template_Actuals NEW_template simul per country 14-02-11_v1" xfId="3397"/>
    <cellStyle name="_Column7_Category Template_Actuals NEW_template simul per country 17-03-11_v6 &amp; central alloc" xfId="3398"/>
    <cellStyle name="_Column7_Category Template_Actuals NEW_template simul per country 17-03-11_v8 &amp; central alloc" xfId="3399"/>
    <cellStyle name="_Column7_Category Template_Actuals NEW_template simul per country 24-02-11_v2 with LH brands &amp; CBY_test" xfId="3400"/>
    <cellStyle name="_Column7_Category Template_Actuals NEW_template simul per country new" xfId="3401"/>
    <cellStyle name="_Column7_Cost bridge" xfId="3402"/>
    <cellStyle name="_Column7_KFE Category PnL template_Combined_P03 (2)" xfId="3403"/>
    <cellStyle name="_Column7_KFE Category PnL template_Kraft Legacy (2)" xfId="3404"/>
    <cellStyle name="_Column7_KFE Category PnL template_Kraft Legacy (4)" xfId="3405"/>
    <cellStyle name="_Column7_Mgmt bridge AC'11 vs Aug Fc_Spain" xfId="3406"/>
    <cellStyle name="_Column7_NC Drivers P10 T1" xfId="3407"/>
    <cellStyle name="_Column7_NC Drivers P10 T1 2" xfId="3408"/>
    <cellStyle name="_Column7_NC Drivers PY Qrt excl Cadbury" xfId="3409"/>
    <cellStyle name="_Column7_O&amp;R Nov Fc conso" xfId="3410"/>
    <cellStyle name="_Column7_O&amp;R Nov Fc conso 2" xfId="3411"/>
    <cellStyle name="_Column7_OI Bridge 0" xfId="3412"/>
    <cellStyle name="_Column7_OI Bridge 1" xfId="3413"/>
    <cellStyle name="_Column7_Ourson" xfId="3414"/>
    <cellStyle name="_Column7_P&amp;L KBE 2008-2011" xfId="3415"/>
    <cellStyle name="_Column7_P&amp;L KBE 2008-2011 2" xfId="3416"/>
    <cellStyle name="_Column7_P&amp;L P06 AFH AC US" xfId="3417"/>
    <cellStyle name="_Column7_P&amp;L Qrt" xfId="3418"/>
    <cellStyle name="_Column7_PA" xfId="3419"/>
    <cellStyle name="_Column7_Pricing Bridge" xfId="3420"/>
    <cellStyle name="_Column7_Prince" xfId="3421"/>
    <cellStyle name="_Column7_template simul Growth Platforms" xfId="3422"/>
    <cellStyle name="_Column7_template simul Growth Platforms 08-02-11_v0" xfId="3423"/>
    <cellStyle name="_Column7_template simul Growth Platforms 14-02-11_v1" xfId="3424"/>
    <cellStyle name="_Column7_template simul Growth Platforms new" xfId="3425"/>
    <cellStyle name="_Column7_template simul per country" xfId="3426"/>
    <cellStyle name="_Column7_template simul per country 10-03-11_v3" xfId="3427"/>
    <cellStyle name="_Column7_template simul per country 10-03-11_v4 &amp; central alloc" xfId="3428"/>
    <cellStyle name="_Column7_template simul per country 14-02-11_v1" xfId="3429"/>
    <cellStyle name="_Column7_template simul per country 17-03-11_v6 &amp; central alloc" xfId="3430"/>
    <cellStyle name="_Column7_template simul per country 17-03-11_v8 &amp; central alloc" xfId="3431"/>
    <cellStyle name="_Column7_template simul per country 24-02-11_v2 with LH brands &amp; CBY_test" xfId="3432"/>
    <cellStyle name="_Column7_template simul per country new" xfId="3433"/>
    <cellStyle name="_Column7_VRAN YTD" xfId="3434"/>
    <cellStyle name="_Column7_VRAN YTD 2" xfId="3435"/>
    <cellStyle name="_Column7_VRAN YTD_Ourson" xfId="3436"/>
    <cellStyle name="_Column7_VRAN YTD_Prince" xfId="3437"/>
    <cellStyle name="_Column7_VRAN YTD_template simul Growth Platforms" xfId="3438"/>
    <cellStyle name="_Column7_VRAN YTD_template simul Growth Platforms 08-02-11_v0" xfId="3439"/>
    <cellStyle name="_Column7_VRAN YTD_template simul Growth Platforms 14-02-11_v1" xfId="3440"/>
    <cellStyle name="_Column7_VRAN YTD_template simul Growth Platforms new" xfId="3441"/>
    <cellStyle name="_Column7_VRAN YTD_template simul per country" xfId="3442"/>
    <cellStyle name="_Column7_VRAN YTD_template simul per country 10-03-11_v3" xfId="3443"/>
    <cellStyle name="_Column7_VRAN YTD_template simul per country 10-03-11_v4 &amp; central alloc" xfId="3444"/>
    <cellStyle name="_Column7_VRAN YTD_template simul per country 14-02-11_v1" xfId="3445"/>
    <cellStyle name="_Column7_VRAN YTD_template simul per country 17-03-11_v6 &amp; central alloc" xfId="3446"/>
    <cellStyle name="_Column7_VRAN YTD_template simul per country 17-03-11_v8 &amp; central alloc" xfId="3447"/>
    <cellStyle name="_Column7_VRAN YTD_template simul per country 24-02-11_v2 with LH brands &amp; CBY_test" xfId="3448"/>
    <cellStyle name="_Column7_VRAN YTD_template simul per country new" xfId="3449"/>
    <cellStyle name="_Column7_WP_AC11 P&amp;L LFL 27.10.10" xfId="3450"/>
    <cellStyle name="_Confidential V2" xfId="3451"/>
    <cellStyle name="_Consolidated 2008 083107 (3)" xfId="3452"/>
    <cellStyle name="_Consolidated 2008 CSAC Bridge 1003" xfId="3453"/>
    <cellStyle name="_Consolidated 2008 CSAC Bridge 1004 - CC" xfId="3454"/>
    <cellStyle name="_Consolidated Data 031407" xfId="3455"/>
    <cellStyle name="_Consolidated Project Summary" xfId="3456"/>
    <cellStyle name="_Consolidated Staffing Data - Nielsen tc 04 16 07" xfId="3457"/>
    <cellStyle name="_Consolidation II" xfId="3458"/>
    <cellStyle name="_Contract Name" xfId="3459"/>
    <cellStyle name="_Contract Name_1" xfId="3460"/>
    <cellStyle name="_Contract Year 1" xfId="3461"/>
    <cellStyle name="_Contract Year 2" xfId="3462"/>
    <cellStyle name="_Contract Year 3" xfId="3463"/>
    <cellStyle name="_Contract Year 4" xfId="3464"/>
    <cellStyle name="_Contract Year 5" xfId="3465"/>
    <cellStyle name="_Contract Year 6" xfId="3466"/>
    <cellStyle name="_Contract Year 7" xfId="3467"/>
    <cellStyle name="_Contract Year 8" xfId="3468"/>
    <cellStyle name="_conversion Produtivity" xfId="3469"/>
    <cellStyle name="_Copie de Biscuit Commodity status Aug18 JPC v20100906 v4" xfId="3470"/>
    <cellStyle name="_Copie de CARAT E109 20090127 avec E0 intégré" xfId="3471"/>
    <cellStyle name="_Copy of 2010 Brawn IT Template (2)" xfId="3472"/>
    <cellStyle name="_Copy of 80807-TQC-Market History  Outlook" xfId="3473"/>
    <cellStyle name="_Copy of 80807-TQC-Market History  Outlook 2" xfId="3474"/>
    <cellStyle name="_Copy of DM Masterflow - Jun 15a" xfId="3475"/>
    <cellStyle name="_Copy of DM Masterflow - Jun 15a 2" xfId="3476"/>
    <cellStyle name="_Copy of DM Masterflow - Jun 15a_Book5" xfId="3477"/>
    <cellStyle name="_Copy of DM Masterflow - Jun 15a_Book5 2" xfId="3478"/>
    <cellStyle name="_Copy of DM Masterflow - Jun 15a_Book5_Category Template AC'11 @Cst Fx 52W vs 53W" xfId="3479"/>
    <cellStyle name="_Copy of DM Masterflow - Jun 15a_Book5_Category Template AC'11 @Cst Fx 52W vs 53W 2" xfId="3480"/>
    <cellStyle name="_Copy of DM Masterflow - Jun 15a_Book5_Category Template AC'11 @Cst Fx 52W vs 53W_P&amp;L KFE" xfId="3481"/>
    <cellStyle name="_Copy of DM Masterflow - Jun 15a_Book5_Category Template AC'11 @Cst Fx 52W vs 53W_Sheet3" xfId="3482"/>
    <cellStyle name="_Copy of DM Masterflow - Jun 15a_Book5_P&amp;L KFE" xfId="3483"/>
    <cellStyle name="_Copy of DM Masterflow - Jun 15a_Book5_Sheet3" xfId="3484"/>
    <cellStyle name="_Copy of DM Masterflow - Jun 15a_Category Template AC'11 @Cst Fx 52W vs 53W" xfId="3485"/>
    <cellStyle name="_Copy of DM Masterflow - Jun 15a_Category Template AC'11 @Cst Fx 52W vs 53W 2" xfId="3486"/>
    <cellStyle name="_Copy of DM Masterflow - Jun 15a_Category Template AC'11 @Cst Fx 52W vs 53W_P&amp;L KFE" xfId="3487"/>
    <cellStyle name="_Copy of DM Masterflow - Jun 15a_Category Template AC'11 @Cst Fx 52W vs 53W_Sheet3" xfId="3488"/>
    <cellStyle name="_Copy of DM Masterflow - Jun 15a_P&amp;L KFE" xfId="3489"/>
    <cellStyle name="_Copy of DM Masterflow - Jun 15a_Sheet3" xfId="3490"/>
    <cellStyle name="_Copy of DM Masterflow - Jun 15a_Wrigley - 05 budget&amp;calendar LE 050728 (25I)" xfId="3491"/>
    <cellStyle name="_Copy of DM Masterflow - Jun 15a_Wrigley - 05 budget&amp;calendar LE 050728 (25I) 2" xfId="3492"/>
    <cellStyle name="_Copy of DM Masterflow - Jun 15a_Wrigley - 05 budget&amp;calendar LE 050728 (25I)_Category Template AC'11 @Cst Fx 52W vs 53W" xfId="3493"/>
    <cellStyle name="_Copy of DM Masterflow - Jun 15a_Wrigley - 05 budget&amp;calendar LE 050728 (25I)_Category Template AC'11 @Cst Fx 52W vs 53W 2" xfId="3494"/>
    <cellStyle name="_Copy of DM Masterflow - Jun 15a_Wrigley - 05 budget&amp;calendar LE 050728 (25I)_Category Template AC'11 @Cst Fx 52W vs 53W_P&amp;L KFE" xfId="3495"/>
    <cellStyle name="_Copy of DM Masterflow - Jun 15a_Wrigley - 05 budget&amp;calendar LE 050728 (25I)_Category Template AC'11 @Cst Fx 52W vs 53W_Sheet3" xfId="3496"/>
    <cellStyle name="_Copy of DM Masterflow - Jun 15a_Wrigley - 05 budget&amp;calendar LE 050728 (25I)_P&amp;L KFE" xfId="3497"/>
    <cellStyle name="_Copy of DM Masterflow - Jun 15a_Wrigley - 05 budget&amp;calendar LE 050728 (25I)_Sheet3" xfId="3498"/>
    <cellStyle name="_Copy of DM Masterflow - Jun 15a_Wrigley - 05 budget&amp;calendar LE 050728 (25I)_Wrigley - 06 simple chart Sep 14" xfId="3499"/>
    <cellStyle name="_Copy of DM Masterflow - Jun 15a_Wrigley - 05 budget&amp;calendar LE 050728 (25I)_Wrigley - 06 simple chart Sep 14 2" xfId="3500"/>
    <cellStyle name="_Copy of DM Masterflow - Jun 15a_Wrigley - 05 budget&amp;calendar LE 050728 (25I)_Wrigley - 06 simple chart Sep 14_Category Template AC'11 @Cst Fx 52W vs 53W" xfId="3501"/>
    <cellStyle name="_Copy of DM Masterflow - Jun 15a_Wrigley - 05 budget&amp;calendar LE 050728 (25I)_Wrigley - 06 simple chart Sep 14_Category Template AC'11 @Cst Fx 52W vs 53W 2" xfId="3502"/>
    <cellStyle name="_Copy of DM Masterflow - Jun 15a_Wrigley - 05 budget&amp;calendar LE 050728 (25I)_Wrigley - 06 simple chart Sep 14_Category Template AC'11 @Cst Fx 52W vs 53W_P&amp;L KFE" xfId="3503"/>
    <cellStyle name="_Copy of DM Masterflow - Jun 15a_Wrigley - 05 budget&amp;calendar LE 050728 (25I)_Wrigley - 06 simple chart Sep 14_Category Template AC'11 @Cst Fx 52W vs 53W_Sheet3" xfId="3504"/>
    <cellStyle name="_Copy of DM Masterflow - Jun 15a_Wrigley - 05 budget&amp;calendar LE 050728 (25I)_Wrigley - 06 simple chart Sep 14_P&amp;L KFE" xfId="3505"/>
    <cellStyle name="_Copy of DM Masterflow - Jun 15a_Wrigley - 05 budget&amp;calendar LE 050728 (25I)_Wrigley - 06 simple chart Sep 14_Sheet3" xfId="3506"/>
    <cellStyle name="_Copy of DM Masterflow - Jun 15a_Wrigley - 05 budget&amp;calendar LE 050824 (25F)" xfId="3507"/>
    <cellStyle name="_Copy of DM Masterflow - Jun 15a_Wrigley - 05 budget&amp;calendar LE 050824 (25F) 2" xfId="3508"/>
    <cellStyle name="_Copy of DM Masterflow - Jun 15a_Wrigley - 05 budget&amp;calendar LE 050824 (25F)_Category Template AC'11 @Cst Fx 52W vs 53W" xfId="3509"/>
    <cellStyle name="_Copy of DM Masterflow - Jun 15a_Wrigley - 05 budget&amp;calendar LE 050824 (25F)_Category Template AC'11 @Cst Fx 52W vs 53W 2" xfId="3510"/>
    <cellStyle name="_Copy of DM Masterflow - Jun 15a_Wrigley - 05 budget&amp;calendar LE 050824 (25F)_Category Template AC'11 @Cst Fx 52W vs 53W_P&amp;L KFE" xfId="3511"/>
    <cellStyle name="_Copy of DM Masterflow - Jun 15a_Wrigley - 05 budget&amp;calendar LE 050824 (25F)_Category Template AC'11 @Cst Fx 52W vs 53W_Sheet3" xfId="3512"/>
    <cellStyle name="_Copy of DM Masterflow - Jun 15a_Wrigley - 05 budget&amp;calendar LE 050824 (25F)_P&amp;L KFE" xfId="3513"/>
    <cellStyle name="_Copy of DM Masterflow - Jun 15a_Wrigley - 05 budget&amp;calendar LE 050824 (25F)_Sheet3" xfId="3514"/>
    <cellStyle name="_Copy of DM Masterflow - Jun 15a_Wrigley - 05 budget&amp;calendar LE 050824 (25F)_Wrigley - 06 simple chart Sep 14" xfId="3515"/>
    <cellStyle name="_Copy of DM Masterflow - Jun 15a_Wrigley - 05 budget&amp;calendar LE 050824 (25F)_Wrigley - 06 simple chart Sep 14 2" xfId="3516"/>
    <cellStyle name="_Copy of DM Masterflow - Jun 15a_Wrigley - 05 budget&amp;calendar LE 050824 (25F)_Wrigley - 06 simple chart Sep 14_Category Template AC'11 @Cst Fx 52W vs 53W" xfId="3517"/>
    <cellStyle name="_Copy of DM Masterflow - Jun 15a_Wrigley - 05 budget&amp;calendar LE 050824 (25F)_Wrigley - 06 simple chart Sep 14_Category Template AC'11 @Cst Fx 52W vs 53W 2" xfId="3518"/>
    <cellStyle name="_Copy of DM Masterflow - Jun 15a_Wrigley - 05 budget&amp;calendar LE 050824 (25F)_Wrigley - 06 simple chart Sep 14_Category Template AC'11 @Cst Fx 52W vs 53W_P&amp;L KFE" xfId="3519"/>
    <cellStyle name="_Copy of DM Masterflow - Jun 15a_Wrigley - 05 budget&amp;calendar LE 050824 (25F)_Wrigley - 06 simple chart Sep 14_Category Template AC'11 @Cst Fx 52W vs 53W_Sheet3" xfId="3520"/>
    <cellStyle name="_Copy of DM Masterflow - Jun 15a_Wrigley - 05 budget&amp;calendar LE 050824 (25F)_Wrigley - 06 simple chart Sep 14_P&amp;L KFE" xfId="3521"/>
    <cellStyle name="_Copy of DM Masterflow - Jun 15a_Wrigley - 05 budget&amp;calendar LE 050824 (25F)_Wrigley - 06 simple chart Sep 14_Sheet3" xfId="3522"/>
    <cellStyle name="_Copy of DM Masterflow - Jun 15a_Wrigley - 05 budget&amp;calendar LE 050824 (25I)" xfId="3523"/>
    <cellStyle name="_Copy of DM Masterflow - Jun 15a_Wrigley - 05 budget&amp;calendar LE 050824 (25I) 2" xfId="3524"/>
    <cellStyle name="_Copy of DM Masterflow - Jun 15a_Wrigley - 05 budget&amp;calendar LE 050824 (25I)_Category Template AC'11 @Cst Fx 52W vs 53W" xfId="3525"/>
    <cellStyle name="_Copy of DM Masterflow - Jun 15a_Wrigley - 05 budget&amp;calendar LE 050824 (25I)_Category Template AC'11 @Cst Fx 52W vs 53W 2" xfId="3526"/>
    <cellStyle name="_Copy of DM Masterflow - Jun 15a_Wrigley - 05 budget&amp;calendar LE 050824 (25I)_Category Template AC'11 @Cst Fx 52W vs 53W_P&amp;L KFE" xfId="3527"/>
    <cellStyle name="_Copy of DM Masterflow - Jun 15a_Wrigley - 05 budget&amp;calendar LE 050824 (25I)_Category Template AC'11 @Cst Fx 52W vs 53W_Sheet3" xfId="3528"/>
    <cellStyle name="_Copy of DM Masterflow - Jun 15a_Wrigley - 05 budget&amp;calendar LE 050824 (25I)_P&amp;L KFE" xfId="3529"/>
    <cellStyle name="_Copy of DM Masterflow - Jun 15a_Wrigley - 05 budget&amp;calendar LE 050824 (25I)_Sheet3" xfId="3530"/>
    <cellStyle name="_Copy of DM Masterflow - Jun 15a_Wrigley - 05 budget&amp;calendar LE 050824 (25I)_Wrigley - 06 simple chart Sep 14" xfId="3531"/>
    <cellStyle name="_Copy of DM Masterflow - Jun 15a_Wrigley - 05 budget&amp;calendar LE 050824 (25I)_Wrigley - 06 simple chart Sep 14 2" xfId="3532"/>
    <cellStyle name="_Copy of DM Masterflow - Jun 15a_Wrigley - 05 budget&amp;calendar LE 050824 (25I)_Wrigley - 06 simple chart Sep 14_Category Template AC'11 @Cst Fx 52W vs 53W" xfId="3533"/>
    <cellStyle name="_Copy of DM Masterflow - Jun 15a_Wrigley - 05 budget&amp;calendar LE 050824 (25I)_Wrigley - 06 simple chart Sep 14_Category Template AC'11 @Cst Fx 52W vs 53W 2" xfId="3534"/>
    <cellStyle name="_Copy of DM Masterflow - Jun 15a_Wrigley - 05 budget&amp;calendar LE 050824 (25I)_Wrigley - 06 simple chart Sep 14_Category Template AC'11 @Cst Fx 52W vs 53W_P&amp;L KFE" xfId="3535"/>
    <cellStyle name="_Copy of DM Masterflow - Jun 15a_Wrigley - 05 budget&amp;calendar LE 050824 (25I)_Wrigley - 06 simple chart Sep 14_Category Template AC'11 @Cst Fx 52W vs 53W_Sheet3" xfId="3536"/>
    <cellStyle name="_Copy of DM Masterflow - Jun 15a_Wrigley - 05 budget&amp;calendar LE 050824 (25I)_Wrigley - 06 simple chart Sep 14_P&amp;L KFE" xfId="3537"/>
    <cellStyle name="_Copy of DM Masterflow - Jun 15a_Wrigley - 05 budget&amp;calendar LE 050824 (25I)_Wrigley - 06 simple chart Sep 14_Sheet3" xfId="3538"/>
    <cellStyle name="_Copy of DM Masterflow - Jun 15a_Wrigley - 06 simple chart Sep 14" xfId="3539"/>
    <cellStyle name="_Copy of DM Masterflow - Jun 15a_Wrigley - 06 simple chart Sep 14 2" xfId="3540"/>
    <cellStyle name="_Copy of DM Masterflow - Jun 15a_Wrigley - 06 simple chart Sep 14_Category Template AC'11 @Cst Fx 52W vs 53W" xfId="3541"/>
    <cellStyle name="_Copy of DM Masterflow - Jun 15a_Wrigley - 06 simple chart Sep 14_Category Template AC'11 @Cst Fx 52W vs 53W 2" xfId="3542"/>
    <cellStyle name="_Copy of DM Masterflow - Jun 15a_Wrigley - 06 simple chart Sep 14_Category Template AC'11 @Cst Fx 52W vs 53W_P&amp;L KFE" xfId="3543"/>
    <cellStyle name="_Copy of DM Masterflow - Jun 15a_Wrigley - 06 simple chart Sep 14_Category Template AC'11 @Cst Fx 52W vs 53W_Sheet3" xfId="3544"/>
    <cellStyle name="_Copy of DM Masterflow - Jun 15a_Wrigley - 06 simple chart Sep 14_P&amp;L KFE" xfId="3545"/>
    <cellStyle name="_Copy of DM Masterflow - Jun 15a_Wrigley - 06 simple chart Sep 14_Sheet3" xfId="3546"/>
    <cellStyle name="_Copy of HR Employee Mapping data - 2-21b HR Baseline Model" xfId="3547"/>
    <cellStyle name="_Copy of Inventoried Site List_FINAL_08-01-07 -JD Normalizedv1 1 (DT)" xfId="3548"/>
    <cellStyle name="_Copy of TR Masterflow June 15-a" xfId="3549"/>
    <cellStyle name="_Copy of TR Masterflow June 15-a 2" xfId="3550"/>
    <cellStyle name="_Copy of TR Masterflow June 15-a_Book5" xfId="3551"/>
    <cellStyle name="_Copy of TR Masterflow June 15-a_Book5 2" xfId="3552"/>
    <cellStyle name="_Copy of TR Masterflow June 15-a_Book5_Category Template AC'11 @Cst Fx 52W vs 53W" xfId="3553"/>
    <cellStyle name="_Copy of TR Masterflow June 15-a_Book5_Category Template AC'11 @Cst Fx 52W vs 53W 2" xfId="3554"/>
    <cellStyle name="_Copy of TR Masterflow June 15-a_Book5_Category Template AC'11 @Cst Fx 52W vs 53W_P&amp;L KFE" xfId="3555"/>
    <cellStyle name="_Copy of TR Masterflow June 15-a_Book5_Category Template AC'11 @Cst Fx 52W vs 53W_Sheet3" xfId="3556"/>
    <cellStyle name="_Copy of TR Masterflow June 15-a_Book5_P&amp;L KFE" xfId="3557"/>
    <cellStyle name="_Copy of TR Masterflow June 15-a_Book5_Sheet3" xfId="3558"/>
    <cellStyle name="_Copy of TR Masterflow June 15-a_Category Template AC'11 @Cst Fx 52W vs 53W" xfId="3559"/>
    <cellStyle name="_Copy of TR Masterflow June 15-a_Category Template AC'11 @Cst Fx 52W vs 53W 2" xfId="3560"/>
    <cellStyle name="_Copy of TR Masterflow June 15-a_Category Template AC'11 @Cst Fx 52W vs 53W_P&amp;L KFE" xfId="3561"/>
    <cellStyle name="_Copy of TR Masterflow June 15-a_Category Template AC'11 @Cst Fx 52W vs 53W_Sheet3" xfId="3562"/>
    <cellStyle name="_Copy of TR Masterflow June 15-a_P&amp;L KFE" xfId="3563"/>
    <cellStyle name="_Copy of TR Masterflow June 15-a_Sheet3" xfId="3564"/>
    <cellStyle name="_Copy of TR Masterflow June 15-a_Wrigley - 05 budget&amp;calendar LE 050728 (25I)" xfId="3565"/>
    <cellStyle name="_Copy of TR Masterflow June 15-a_Wrigley - 05 budget&amp;calendar LE 050728 (25I) 2" xfId="3566"/>
    <cellStyle name="_Copy of TR Masterflow June 15-a_Wrigley - 05 budget&amp;calendar LE 050728 (25I)_Category Template AC'11 @Cst Fx 52W vs 53W" xfId="3567"/>
    <cellStyle name="_Copy of TR Masterflow June 15-a_Wrigley - 05 budget&amp;calendar LE 050728 (25I)_Category Template AC'11 @Cst Fx 52W vs 53W 2" xfId="3568"/>
    <cellStyle name="_Copy of TR Masterflow June 15-a_Wrigley - 05 budget&amp;calendar LE 050728 (25I)_Category Template AC'11 @Cst Fx 52W vs 53W_P&amp;L KFE" xfId="3569"/>
    <cellStyle name="_Copy of TR Masterflow June 15-a_Wrigley - 05 budget&amp;calendar LE 050728 (25I)_Category Template AC'11 @Cst Fx 52W vs 53W_Sheet3" xfId="3570"/>
    <cellStyle name="_Copy of TR Masterflow June 15-a_Wrigley - 05 budget&amp;calendar LE 050728 (25I)_P&amp;L KFE" xfId="3571"/>
    <cellStyle name="_Copy of TR Masterflow June 15-a_Wrigley - 05 budget&amp;calendar LE 050728 (25I)_Sheet3" xfId="3572"/>
    <cellStyle name="_Copy of TR Masterflow June 15-a_Wrigley - 05 budget&amp;calendar LE 050728 (25I)_Wrigley - 06 simple chart Sep 14" xfId="3573"/>
    <cellStyle name="_Copy of TR Masterflow June 15-a_Wrigley - 05 budget&amp;calendar LE 050728 (25I)_Wrigley - 06 simple chart Sep 14 2" xfId="3574"/>
    <cellStyle name="_Copy of TR Masterflow June 15-a_Wrigley - 05 budget&amp;calendar LE 050728 (25I)_Wrigley - 06 simple chart Sep 14_Category Template AC'11 @Cst Fx 52W vs 53W" xfId="3575"/>
    <cellStyle name="_Copy of TR Masterflow June 15-a_Wrigley - 05 budget&amp;calendar LE 050728 (25I)_Wrigley - 06 simple chart Sep 14_Category Template AC'11 @Cst Fx 52W vs 53W 2" xfId="3576"/>
    <cellStyle name="_Copy of TR Masterflow June 15-a_Wrigley - 05 budget&amp;calendar LE 050728 (25I)_Wrigley - 06 simple chart Sep 14_Category Template AC'11 @Cst Fx 52W vs 53W_P&amp;L KFE" xfId="3577"/>
    <cellStyle name="_Copy of TR Masterflow June 15-a_Wrigley - 05 budget&amp;calendar LE 050728 (25I)_Wrigley - 06 simple chart Sep 14_Category Template AC'11 @Cst Fx 52W vs 53W_Sheet3" xfId="3578"/>
    <cellStyle name="_Copy of TR Masterflow June 15-a_Wrigley - 05 budget&amp;calendar LE 050728 (25I)_Wrigley - 06 simple chart Sep 14_P&amp;L KFE" xfId="3579"/>
    <cellStyle name="_Copy of TR Masterflow June 15-a_Wrigley - 05 budget&amp;calendar LE 050728 (25I)_Wrigley - 06 simple chart Sep 14_Sheet3" xfId="3580"/>
    <cellStyle name="_Copy of TR Masterflow June 15-a_Wrigley - 05 budget&amp;calendar LE 050824 (25F)" xfId="3581"/>
    <cellStyle name="_Copy of TR Masterflow June 15-a_Wrigley - 05 budget&amp;calendar LE 050824 (25F) 2" xfId="3582"/>
    <cellStyle name="_Copy of TR Masterflow June 15-a_Wrigley - 05 budget&amp;calendar LE 050824 (25F)_Category Template AC'11 @Cst Fx 52W vs 53W" xfId="3583"/>
    <cellStyle name="_Copy of TR Masterflow June 15-a_Wrigley - 05 budget&amp;calendar LE 050824 (25F)_Category Template AC'11 @Cst Fx 52W vs 53W 2" xfId="3584"/>
    <cellStyle name="_Copy of TR Masterflow June 15-a_Wrigley - 05 budget&amp;calendar LE 050824 (25F)_Category Template AC'11 @Cst Fx 52W vs 53W_P&amp;L KFE" xfId="3585"/>
    <cellStyle name="_Copy of TR Masterflow June 15-a_Wrigley - 05 budget&amp;calendar LE 050824 (25F)_Category Template AC'11 @Cst Fx 52W vs 53W_Sheet3" xfId="3586"/>
    <cellStyle name="_Copy of TR Masterflow June 15-a_Wrigley - 05 budget&amp;calendar LE 050824 (25F)_P&amp;L KFE" xfId="3587"/>
    <cellStyle name="_Copy of TR Masterflow June 15-a_Wrigley - 05 budget&amp;calendar LE 050824 (25F)_Sheet3" xfId="3588"/>
    <cellStyle name="_Copy of TR Masterflow June 15-a_Wrigley - 05 budget&amp;calendar LE 050824 (25F)_Wrigley - 06 simple chart Sep 14" xfId="3589"/>
    <cellStyle name="_Copy of TR Masterflow June 15-a_Wrigley - 05 budget&amp;calendar LE 050824 (25F)_Wrigley - 06 simple chart Sep 14 2" xfId="3590"/>
    <cellStyle name="_Copy of TR Masterflow June 15-a_Wrigley - 05 budget&amp;calendar LE 050824 (25F)_Wrigley - 06 simple chart Sep 14_Category Template AC'11 @Cst Fx 52W vs 53W" xfId="3591"/>
    <cellStyle name="_Copy of TR Masterflow June 15-a_Wrigley - 05 budget&amp;calendar LE 050824 (25F)_Wrigley - 06 simple chart Sep 14_Category Template AC'11 @Cst Fx 52W vs 53W 2" xfId="3592"/>
    <cellStyle name="_Copy of TR Masterflow June 15-a_Wrigley - 05 budget&amp;calendar LE 050824 (25F)_Wrigley - 06 simple chart Sep 14_Category Template AC'11 @Cst Fx 52W vs 53W_P&amp;L KFE" xfId="3593"/>
    <cellStyle name="_Copy of TR Masterflow June 15-a_Wrigley - 05 budget&amp;calendar LE 050824 (25F)_Wrigley - 06 simple chart Sep 14_Category Template AC'11 @Cst Fx 52W vs 53W_Sheet3" xfId="3594"/>
    <cellStyle name="_Copy of TR Masterflow June 15-a_Wrigley - 05 budget&amp;calendar LE 050824 (25F)_Wrigley - 06 simple chart Sep 14_P&amp;L KFE" xfId="3595"/>
    <cellStyle name="_Copy of TR Masterflow June 15-a_Wrigley - 05 budget&amp;calendar LE 050824 (25F)_Wrigley - 06 simple chart Sep 14_Sheet3" xfId="3596"/>
    <cellStyle name="_Copy of TR Masterflow June 15-a_Wrigley - 05 budget&amp;calendar LE 050824 (25I)" xfId="3597"/>
    <cellStyle name="_Copy of TR Masterflow June 15-a_Wrigley - 05 budget&amp;calendar LE 050824 (25I) 2" xfId="3598"/>
    <cellStyle name="_Copy of TR Masterflow June 15-a_Wrigley - 05 budget&amp;calendar LE 050824 (25I)_Category Template AC'11 @Cst Fx 52W vs 53W" xfId="3599"/>
    <cellStyle name="_Copy of TR Masterflow June 15-a_Wrigley - 05 budget&amp;calendar LE 050824 (25I)_Category Template AC'11 @Cst Fx 52W vs 53W 2" xfId="3600"/>
    <cellStyle name="_Copy of TR Masterflow June 15-a_Wrigley - 05 budget&amp;calendar LE 050824 (25I)_Category Template AC'11 @Cst Fx 52W vs 53W_P&amp;L KFE" xfId="3601"/>
    <cellStyle name="_Copy of TR Masterflow June 15-a_Wrigley - 05 budget&amp;calendar LE 050824 (25I)_Category Template AC'11 @Cst Fx 52W vs 53W_Sheet3" xfId="3602"/>
    <cellStyle name="_Copy of TR Masterflow June 15-a_Wrigley - 05 budget&amp;calendar LE 050824 (25I)_P&amp;L KFE" xfId="3603"/>
    <cellStyle name="_Copy of TR Masterflow June 15-a_Wrigley - 05 budget&amp;calendar LE 050824 (25I)_Sheet3" xfId="3604"/>
    <cellStyle name="_Copy of TR Masterflow June 15-a_Wrigley - 05 budget&amp;calendar LE 050824 (25I)_Wrigley - 06 simple chart Sep 14" xfId="3605"/>
    <cellStyle name="_Copy of TR Masterflow June 15-a_Wrigley - 05 budget&amp;calendar LE 050824 (25I)_Wrigley - 06 simple chart Sep 14 2" xfId="3606"/>
    <cellStyle name="_Copy of TR Masterflow June 15-a_Wrigley - 05 budget&amp;calendar LE 050824 (25I)_Wrigley - 06 simple chart Sep 14_Category Template AC'11 @Cst Fx 52W vs 53W" xfId="3607"/>
    <cellStyle name="_Copy of TR Masterflow June 15-a_Wrigley - 05 budget&amp;calendar LE 050824 (25I)_Wrigley - 06 simple chart Sep 14_Category Template AC'11 @Cst Fx 52W vs 53W 2" xfId="3608"/>
    <cellStyle name="_Copy of TR Masterflow June 15-a_Wrigley - 05 budget&amp;calendar LE 050824 (25I)_Wrigley - 06 simple chart Sep 14_Category Template AC'11 @Cst Fx 52W vs 53W_P&amp;L KFE" xfId="3609"/>
    <cellStyle name="_Copy of TR Masterflow June 15-a_Wrigley - 05 budget&amp;calendar LE 050824 (25I)_Wrigley - 06 simple chart Sep 14_Category Template AC'11 @Cst Fx 52W vs 53W_Sheet3" xfId="3610"/>
    <cellStyle name="_Copy of TR Masterflow June 15-a_Wrigley - 05 budget&amp;calendar LE 050824 (25I)_Wrigley - 06 simple chart Sep 14_P&amp;L KFE" xfId="3611"/>
    <cellStyle name="_Copy of TR Masterflow June 15-a_Wrigley - 05 budget&amp;calendar LE 050824 (25I)_Wrigley - 06 simple chart Sep 14_Sheet3" xfId="3612"/>
    <cellStyle name="_Copy of TR Masterflow June 15-a_Wrigley - 06 simple chart Sep 14" xfId="3613"/>
    <cellStyle name="_Copy of TR Masterflow June 15-a_Wrigley - 06 simple chart Sep 14 2" xfId="3614"/>
    <cellStyle name="_Copy of TR Masterflow June 15-a_Wrigley - 06 simple chart Sep 14_Category Template AC'11 @Cst Fx 52W vs 53W" xfId="3615"/>
    <cellStyle name="_Copy of TR Masterflow June 15-a_Wrigley - 06 simple chart Sep 14_Category Template AC'11 @Cst Fx 52W vs 53W 2" xfId="3616"/>
    <cellStyle name="_Copy of TR Masterflow June 15-a_Wrigley - 06 simple chart Sep 14_Category Template AC'11 @Cst Fx 52W vs 53W_P&amp;L KFE" xfId="3617"/>
    <cellStyle name="_Copy of TR Masterflow June 15-a_Wrigley - 06 simple chart Sep 14_Category Template AC'11 @Cst Fx 52W vs 53W_Sheet3" xfId="3618"/>
    <cellStyle name="_Copy of TR Masterflow June 15-a_Wrigley - 06 simple chart Sep 14_P&amp;L KFE" xfId="3619"/>
    <cellStyle name="_Copy of TR Masterflow June 15-a_Wrigley - 06 simple chart Sep 14_Sheet3" xfId="3620"/>
    <cellStyle name="_Cost Bridge 2008 JMU3 vs 2008 OB  2007 Act_without links_TRO" xfId="3621"/>
    <cellStyle name="_Cost vs AugFcst_NovDec" xfId="3622"/>
    <cellStyle name="_Cost vs AugFcst_NovDec 2" xfId="3623"/>
    <cellStyle name="_Cost vs AugFcst_NovDec_Opps&amp;Risks" xfId="3624"/>
    <cellStyle name="_Cost vs AugFcst_NovDec_Opps&amp;Risks 2" xfId="3625"/>
    <cellStyle name="_CostCenterFinancialsMaster 581100_200_400 YearEnd Combined" xfId="3626"/>
    <cellStyle name="_Cote d'Or pralines_local production for IBRs14_01_2008 Pokrov(2)" xfId="3627"/>
    <cellStyle name="_Cote d'Or pralines_local production for IBRs14_01_2008 Pokrov(2)_AR_TUC new line_Szekes v10" xfId="3628"/>
    <cellStyle name="_Country indirect cost model-template" xfId="3629"/>
    <cellStyle name="_Country presentation template_MayFC" xfId="3630"/>
    <cellStyle name="_Country Sign Off FY 2010 M5-M7 - Précircul sans formules" xfId="3631"/>
    <cellStyle name="_CSAP NSV" xfId="3632"/>
    <cellStyle name="_CSAP NSV 2008-2011" xfId="3633"/>
    <cellStyle name="_CU _11DEC" xfId="3634"/>
    <cellStyle name="_CU _11DEC_AR_TUC new line_Szekes v10" xfId="3635"/>
    <cellStyle name="_CU 2008-2018_B-2_C-2_29 10 08 (3)" xfId="3636"/>
    <cellStyle name="_CU 2008-2018_B-2_C-2_29 10 08 (3)_AR_TUC new line_Szekes v10" xfId="3637"/>
    <cellStyle name="_CU OB'09" xfId="3638"/>
    <cellStyle name="_CU OB'09_AR_TUC new line_Szekes v10" xfId="3639"/>
    <cellStyle name="_CU2 CMC_RO" xfId="3640"/>
    <cellStyle name="_CV3 submission - UOP entity" xfId="3641"/>
    <cellStyle name="_Dairy impact P01-P12`08 vs OB08 based on new commodities assumption 310108" xfId="3642"/>
    <cellStyle name="_Data" xfId="3643"/>
    <cellStyle name="_Data 2" xfId="3644"/>
    <cellStyle name="_Data Request - Volumes Payroll  IT - May 17th" xfId="3645"/>
    <cellStyle name="_Data_2011 Targets by Category" xfId="3646"/>
    <cellStyle name="_Data_2011 Targets by category Aug 25" xfId="3647"/>
    <cellStyle name="_Data_2011 Targets by Category Last OM" xfId="3648"/>
    <cellStyle name="_Data_2011 Targets by Category Last OM.xls" xfId="3649"/>
    <cellStyle name="_Data_2011 Targets by Category Oct 1 incl Cby adjustments" xfId="3650"/>
    <cellStyle name="_Data_2011 Targets by Category Sep 06" xfId="3651"/>
    <cellStyle name="_Data_2011 Targets by Category Sep 07" xfId="3652"/>
    <cellStyle name="_Data_2011 Targets by Category Sep 07 incl. JK feedback" xfId="3653"/>
    <cellStyle name="_Data_AC11 conso @Cst Fx after LFL restatement" xfId="3654"/>
    <cellStyle name="_Data_AC11 conso @Cst Fx after LFL restatement_P&amp;L KFE" xfId="3655"/>
    <cellStyle name="_Data_AC11 conso @Cst Fx after LFL restatement_Sheet3" xfId="3656"/>
    <cellStyle name="_Data_Category Targets 2011_1.2" xfId="3657"/>
    <cellStyle name="_Data_Category Template AC'11 @Cst Fx 52W vs 53W" xfId="3658"/>
    <cellStyle name="_Data_Category Template AC'11 @Cst Fx 52W vs 53W_P&amp;L KFE" xfId="3659"/>
    <cellStyle name="_Data_Category Template AC'11 @Cst Fx 52W vs 53W_Sheet3" xfId="3660"/>
    <cellStyle name="_Data_P&amp;L KBE 2008-2011" xfId="3661"/>
    <cellStyle name="_Data_P&amp;L KBE 2008-2011_P&amp;L KFE" xfId="3662"/>
    <cellStyle name="_Data_P&amp;L KBE 2008-2011_Sheet3" xfId="3663"/>
    <cellStyle name="_Data_P&amp;L KFE" xfId="3664"/>
    <cellStyle name="_Data_Sheet3" xfId="3665"/>
    <cellStyle name="_DM Pty 2009 key platform New Commitment" xfId="3666"/>
    <cellStyle name="_Draft contrat 09 summary v18" xfId="3667"/>
    <cellStyle name="_Draft contrat 09 summary v20" xfId="3668"/>
    <cellStyle name="_Draft P1E EPC _ SP 070409" xfId="3669"/>
    <cellStyle name="_DVL Pkr" xfId="3670"/>
    <cellStyle name="_DVL Pkr_AR_TUC new line_Szekes v10" xfId="3671"/>
    <cellStyle name="_DVL Tro vs Pokrov" xfId="3672"/>
    <cellStyle name="_DVL Tro vs Pokrov_AR_TUC new line_Szekes v10" xfId="3673"/>
    <cellStyle name="_E2 2006 Financial Model Final 05.09.06 value" xfId="3674"/>
    <cellStyle name="_E2 2006 Financial Model Final 05.09.06 value 2" xfId="3675"/>
    <cellStyle name="_EEMA" xfId="3676"/>
    <cellStyle name="_EEMA AP 2009 Region Schedules_part1" xfId="3677"/>
    <cellStyle name="_EEMA AP 2009 Region Schedules_part2" xfId="3678"/>
    <cellStyle name="_EMEA Infrastructure &amp; EUS Payroll Document" xfId="3679"/>
    <cellStyle name="_EMEA Infrastructure &amp; EUS Payroll Document_Data" xfId="3680"/>
    <cellStyle name="_EMEA Infrastructure &amp; EUS Payroll Document_GP25000 BIMA_Central Functions_ IT Management_3+9" xfId="3681"/>
    <cellStyle name="_EMEA Infrastructure &amp; EUS Payroll Document_GP25000 BIMA_Central Functions_ IT Management_3+9_2010 9plus3 - Breakdown by cost centre" xfId="3682"/>
    <cellStyle name="_EMEA Infrastructure &amp; EUS Payroll Document_GP25000 BIMA_Central Functions_ IT Management_3+9_CF Portfolio 2010 050510" xfId="3683"/>
    <cellStyle name="_EMEA Infrastructure &amp; EUS Payroll Document_GP25000 BIMA_Central Functions_ IT Management_3+9_CV3 submission - UOP entity" xfId="3684"/>
    <cellStyle name="_EMEA Infrastructure &amp; EUS Payroll Document_GP25000 BIMA_Central Functions_ IT Management_3+9_Data" xfId="3685"/>
    <cellStyle name="_EMEA Infrastructure &amp; EUS Payroll Document_GP25000 BIMA_Central Functions_ IT Management_3+9_Function and cc mapping (2)" xfId="3686"/>
    <cellStyle name="_EMEA Infrastructure &amp; EUS Payroll Document_GP25000 BIMA_Central Functions_ IT Management_3+9_Global_Hosting_Services_v02" xfId="3687"/>
    <cellStyle name="_EMEA Infrastructure &amp; EUS Payroll Document_GP25000 BIMA_Central Functions_ IT Management_3+9_GP25056 Global Service Desk (UK) 2009" xfId="3688"/>
    <cellStyle name="_EMEA Infrastructure &amp; EUS Payroll Document_GP25000 BIMA_Central Functions_ IT Management_3+9_GP25057_EUS_Shared_2009_CC_Report" xfId="3689"/>
    <cellStyle name="_EMEA Infrastructure &amp; EUS Payroll Document_GP25000 BIMA_Central Functions_ IT Management_3+9_GP25060 Global Hosting Services 3+9F v5" xfId="3690"/>
    <cellStyle name="_EMEA Infrastructure &amp; EUS Payroll Document_GP25000 BIMA_Central Functions_ IT Management_3+9_Sheet1" xfId="3691"/>
    <cellStyle name="_EMEA Infrastructure &amp; EUS Payroll Document_GP25000 BIMA_Central Functions_ IT Management_3+9_Sheet2" xfId="3692"/>
    <cellStyle name="_EMEA Infrastructure &amp; EUS Payroll Document_GP25000 BIMA_Central Functions_ IT Management_3+9_UOP balance by entity 6+6F" xfId="3693"/>
    <cellStyle name="_EMEA Infrastructure &amp; EUS Payroll Document_GP25056 Global Service Desk (UK) 2009" xfId="3694"/>
    <cellStyle name="_EMEA Infrastructure &amp; EUS Payroll Document_GP25057_EUS_Shared_2009_CC_Report" xfId="3695"/>
    <cellStyle name="_EMEA Infrastructure &amp; EUS Payroll Document_GP25060 Global Hosting Services_2009_CC Report" xfId="3696"/>
    <cellStyle name="_EMEA Infrastructure &amp; EUS Payroll Document_GP25060 Global Hosting Services_2009_V1" xfId="3697"/>
    <cellStyle name="_EMEA Infrastructure &amp; EUS Payroll Document_GP25060 Global Hosting Services_Sept 08" xfId="3698"/>
    <cellStyle name="_EMEA Infrastructure &amp; EUS Payroll Document_Information" xfId="3699"/>
    <cellStyle name="_EMEA Infrastructure &amp; EUS Payroll Document_SAP" xfId="3700"/>
    <cellStyle name="_EMEA Infrastructure &amp; EUS Payroll Document_SAP_2010 9plus3 - Breakdown by cost centre" xfId="3701"/>
    <cellStyle name="_EMEA Infrastructure &amp; EUS Payroll Document_SAP_CF Portfolio 2010 050510" xfId="3702"/>
    <cellStyle name="_EMEA Infrastructure &amp; EUS Payroll Document_SAP_CV3 submission - UOP entity" xfId="3703"/>
    <cellStyle name="_EMEA Infrastructure &amp; EUS Payroll Document_SAP_Data" xfId="3704"/>
    <cellStyle name="_EMEA Infrastructure &amp; EUS Payroll Document_SAP_Function and cc mapping (2)" xfId="3705"/>
    <cellStyle name="_EMEA Infrastructure &amp; EUS Payroll Document_SAP_Global_Hosting_Services_v02" xfId="3706"/>
    <cellStyle name="_EMEA Infrastructure &amp; EUS Payroll Document_SAP_GP25056 Global Service Desk (UK) 2009" xfId="3707"/>
    <cellStyle name="_EMEA Infrastructure &amp; EUS Payroll Document_SAP_GP25057_EUS_Shared_2009_CC_Report" xfId="3708"/>
    <cellStyle name="_EMEA Infrastructure &amp; EUS Payroll Document_SAP_GP25060 Global Hosting Services 3+9F v5" xfId="3709"/>
    <cellStyle name="_EMEA Infrastructure &amp; EUS Payroll Document_SAP_Sheet1" xfId="3710"/>
    <cellStyle name="_EMEA Infrastructure &amp; EUS Payroll Document_SAP_Sheet2" xfId="3711"/>
    <cellStyle name="_EMEA Infrastructure &amp; EUS Payroll Document_SAP_UOP balance by entity 6+6F" xfId="3712"/>
    <cellStyle name="_EMEA Infrastructure &amp; EUS Payroll Document_Sheet1" xfId="3713"/>
    <cellStyle name="_EMEA Infrastructure &amp; EUS Payroll Document_Sheet2" xfId="3714"/>
    <cellStyle name="_EMEA IT Projects 2007_01Feb05_LW" xfId="3715"/>
    <cellStyle name="_EMEA Template 2008-2011 Roadmap Template ISSUED" xfId="3716"/>
    <cellStyle name="_Entity" xfId="3717"/>
    <cellStyle name="_Estimate Updated APAC 2008-py01" xfId="3718"/>
    <cellStyle name="_Estimate Updated APAC 2008-py01 2" xfId="3719"/>
    <cellStyle name="_Estimate Updated APAC 2008-py01_Category Template AC'11 @Cst Fx 52W vs 53W" xfId="3720"/>
    <cellStyle name="_Estimate Updated APAC 2008-py01_Category Template AC'11 @Cst Fx 52W vs 53W 2" xfId="3721"/>
    <cellStyle name="_Estimate Updated APAC 2008-py01_Category Template AC'11 @Cst Fx 52W vs 53W_P&amp;L KFE" xfId="3722"/>
    <cellStyle name="_Estimate Updated APAC 2008-py01_Category Template AC'11 @Cst Fx 52W vs 53W_Sheet3" xfId="3723"/>
    <cellStyle name="_Estimate Updated APAC 2008-py01_P&amp;L KFE" xfId="3724"/>
    <cellStyle name="_Estimate Updated APAC 2008-py01_Sheet3" xfId="3725"/>
    <cellStyle name="_EU overview V13_JK @LE07fx_21.11.2007" xfId="3726"/>
    <cellStyle name="_EUE Mgmt Bridge AC11 vs AUGFC10_BI" xfId="3727"/>
    <cellStyle name="_Europe BU 2010 CV1 - IT Costs - Distribution" xfId="3728"/>
    <cellStyle name="_Europe V1 Contract Deck 2008" xfId="3729"/>
    <cellStyle name="_EX Master Flowchart June 15a" xfId="3730"/>
    <cellStyle name="_EX Master Flowchart June 15a 2" xfId="3731"/>
    <cellStyle name="_EX Master Flowchart June 15a_Book5" xfId="3732"/>
    <cellStyle name="_EX Master Flowchart June 15a_Book5 2" xfId="3733"/>
    <cellStyle name="_EX Master Flowchart June 15a_Book5_Category Template AC'11 @Cst Fx 52W vs 53W" xfId="3734"/>
    <cellStyle name="_EX Master Flowchart June 15a_Book5_Category Template AC'11 @Cst Fx 52W vs 53W 2" xfId="3735"/>
    <cellStyle name="_EX Master Flowchart June 15a_Book5_Category Template AC'11 @Cst Fx 52W vs 53W_P&amp;L KFE" xfId="3736"/>
    <cellStyle name="_EX Master Flowchart June 15a_Book5_Category Template AC'11 @Cst Fx 52W vs 53W_Sheet3" xfId="3737"/>
    <cellStyle name="_EX Master Flowchart June 15a_Book5_P&amp;L KFE" xfId="3738"/>
    <cellStyle name="_EX Master Flowchart June 15a_Book5_Sheet3" xfId="3739"/>
    <cellStyle name="_EX Master Flowchart June 15a_Category Template AC'11 @Cst Fx 52W vs 53W" xfId="3740"/>
    <cellStyle name="_EX Master Flowchart June 15a_Category Template AC'11 @Cst Fx 52W vs 53W 2" xfId="3741"/>
    <cellStyle name="_EX Master Flowchart June 15a_Category Template AC'11 @Cst Fx 52W vs 53W_P&amp;L KFE" xfId="3742"/>
    <cellStyle name="_EX Master Flowchart June 15a_Category Template AC'11 @Cst Fx 52W vs 53W_Sheet3" xfId="3743"/>
    <cellStyle name="_EX Master Flowchart June 15a_P&amp;L KFE" xfId="3744"/>
    <cellStyle name="_EX Master Flowchart June 15a_Sheet3" xfId="3745"/>
    <cellStyle name="_EX Master Flowchart June 15a_Wrigley - 05 budget&amp;calendar LE 050728 (25I)" xfId="3746"/>
    <cellStyle name="_EX Master Flowchart June 15a_Wrigley - 05 budget&amp;calendar LE 050728 (25I) 2" xfId="3747"/>
    <cellStyle name="_EX Master Flowchart June 15a_Wrigley - 05 budget&amp;calendar LE 050728 (25I)_Category Template AC'11 @Cst Fx 52W vs 53W" xfId="3748"/>
    <cellStyle name="_EX Master Flowchart June 15a_Wrigley - 05 budget&amp;calendar LE 050728 (25I)_Category Template AC'11 @Cst Fx 52W vs 53W 2" xfId="3749"/>
    <cellStyle name="_EX Master Flowchart June 15a_Wrigley - 05 budget&amp;calendar LE 050728 (25I)_Category Template AC'11 @Cst Fx 52W vs 53W_P&amp;L KFE" xfId="3750"/>
    <cellStyle name="_EX Master Flowchart June 15a_Wrigley - 05 budget&amp;calendar LE 050728 (25I)_Category Template AC'11 @Cst Fx 52W vs 53W_Sheet3" xfId="3751"/>
    <cellStyle name="_EX Master Flowchart June 15a_Wrigley - 05 budget&amp;calendar LE 050728 (25I)_P&amp;L KFE" xfId="3752"/>
    <cellStyle name="_EX Master Flowchart June 15a_Wrigley - 05 budget&amp;calendar LE 050728 (25I)_Sheet3" xfId="3753"/>
    <cellStyle name="_EX Master Flowchart June 15a_Wrigley - 05 budget&amp;calendar LE 050728 (25I)_Wrigley - 06 simple chart Sep 14" xfId="3754"/>
    <cellStyle name="_EX Master Flowchart June 15a_Wrigley - 05 budget&amp;calendar LE 050728 (25I)_Wrigley - 06 simple chart Sep 14 2" xfId="3755"/>
    <cellStyle name="_EX Master Flowchart June 15a_Wrigley - 05 budget&amp;calendar LE 050728 (25I)_Wrigley - 06 simple chart Sep 14_Category Template AC'11 @Cst Fx 52W vs 53W" xfId="3756"/>
    <cellStyle name="_EX Master Flowchart June 15a_Wrigley - 05 budget&amp;calendar LE 050728 (25I)_Wrigley - 06 simple chart Sep 14_Category Template AC'11 @Cst Fx 52W vs 53W 2" xfId="3757"/>
    <cellStyle name="_EX Master Flowchart June 15a_Wrigley - 05 budget&amp;calendar LE 050728 (25I)_Wrigley - 06 simple chart Sep 14_Category Template AC'11 @Cst Fx 52W vs 53W_P&amp;L KFE" xfId="3758"/>
    <cellStyle name="_EX Master Flowchart June 15a_Wrigley - 05 budget&amp;calendar LE 050728 (25I)_Wrigley - 06 simple chart Sep 14_Category Template AC'11 @Cst Fx 52W vs 53W_Sheet3" xfId="3759"/>
    <cellStyle name="_EX Master Flowchart June 15a_Wrigley - 05 budget&amp;calendar LE 050728 (25I)_Wrigley - 06 simple chart Sep 14_P&amp;L KFE" xfId="3760"/>
    <cellStyle name="_EX Master Flowchart June 15a_Wrigley - 05 budget&amp;calendar LE 050728 (25I)_Wrigley - 06 simple chart Sep 14_Sheet3" xfId="3761"/>
    <cellStyle name="_EX Master Flowchart June 15a_Wrigley - 05 budget&amp;calendar LE 050824 (25F)" xfId="3762"/>
    <cellStyle name="_EX Master Flowchart June 15a_Wrigley - 05 budget&amp;calendar LE 050824 (25F) 2" xfId="3763"/>
    <cellStyle name="_EX Master Flowchart June 15a_Wrigley - 05 budget&amp;calendar LE 050824 (25F)_Category Template AC'11 @Cst Fx 52W vs 53W" xfId="3764"/>
    <cellStyle name="_EX Master Flowchart June 15a_Wrigley - 05 budget&amp;calendar LE 050824 (25F)_Category Template AC'11 @Cst Fx 52W vs 53W 2" xfId="3765"/>
    <cellStyle name="_EX Master Flowchart June 15a_Wrigley - 05 budget&amp;calendar LE 050824 (25F)_Category Template AC'11 @Cst Fx 52W vs 53W_P&amp;L KFE" xfId="3766"/>
    <cellStyle name="_EX Master Flowchart June 15a_Wrigley - 05 budget&amp;calendar LE 050824 (25F)_Category Template AC'11 @Cst Fx 52W vs 53W_Sheet3" xfId="3767"/>
    <cellStyle name="_EX Master Flowchart June 15a_Wrigley - 05 budget&amp;calendar LE 050824 (25F)_P&amp;L KFE" xfId="3768"/>
    <cellStyle name="_EX Master Flowchart June 15a_Wrigley - 05 budget&amp;calendar LE 050824 (25F)_Sheet3" xfId="3769"/>
    <cellStyle name="_EX Master Flowchart June 15a_Wrigley - 05 budget&amp;calendar LE 050824 (25F)_Wrigley - 06 simple chart Sep 14" xfId="3770"/>
    <cellStyle name="_EX Master Flowchart June 15a_Wrigley - 05 budget&amp;calendar LE 050824 (25F)_Wrigley - 06 simple chart Sep 14 2" xfId="3771"/>
    <cellStyle name="_EX Master Flowchart June 15a_Wrigley - 05 budget&amp;calendar LE 050824 (25F)_Wrigley - 06 simple chart Sep 14_Category Template AC'11 @Cst Fx 52W vs 53W" xfId="3772"/>
    <cellStyle name="_EX Master Flowchart June 15a_Wrigley - 05 budget&amp;calendar LE 050824 (25F)_Wrigley - 06 simple chart Sep 14_Category Template AC'11 @Cst Fx 52W vs 53W 2" xfId="3773"/>
    <cellStyle name="_EX Master Flowchart June 15a_Wrigley - 05 budget&amp;calendar LE 050824 (25F)_Wrigley - 06 simple chart Sep 14_Category Template AC'11 @Cst Fx 52W vs 53W_P&amp;L KFE" xfId="3774"/>
    <cellStyle name="_EX Master Flowchart June 15a_Wrigley - 05 budget&amp;calendar LE 050824 (25F)_Wrigley - 06 simple chart Sep 14_Category Template AC'11 @Cst Fx 52W vs 53W_Sheet3" xfId="3775"/>
    <cellStyle name="_EX Master Flowchart June 15a_Wrigley - 05 budget&amp;calendar LE 050824 (25F)_Wrigley - 06 simple chart Sep 14_P&amp;L KFE" xfId="3776"/>
    <cellStyle name="_EX Master Flowchart June 15a_Wrigley - 05 budget&amp;calendar LE 050824 (25F)_Wrigley - 06 simple chart Sep 14_Sheet3" xfId="3777"/>
    <cellStyle name="_EX Master Flowchart June 15a_Wrigley - 05 budget&amp;calendar LE 050824 (25I)" xfId="3778"/>
    <cellStyle name="_EX Master Flowchart June 15a_Wrigley - 05 budget&amp;calendar LE 050824 (25I) 2" xfId="3779"/>
    <cellStyle name="_EX Master Flowchart June 15a_Wrigley - 05 budget&amp;calendar LE 050824 (25I)_Category Template AC'11 @Cst Fx 52W vs 53W" xfId="3780"/>
    <cellStyle name="_EX Master Flowchart June 15a_Wrigley - 05 budget&amp;calendar LE 050824 (25I)_Category Template AC'11 @Cst Fx 52W vs 53W 2" xfId="3781"/>
    <cellStyle name="_EX Master Flowchart June 15a_Wrigley - 05 budget&amp;calendar LE 050824 (25I)_Category Template AC'11 @Cst Fx 52W vs 53W_P&amp;L KFE" xfId="3782"/>
    <cellStyle name="_EX Master Flowchart June 15a_Wrigley - 05 budget&amp;calendar LE 050824 (25I)_Category Template AC'11 @Cst Fx 52W vs 53W_Sheet3" xfId="3783"/>
    <cellStyle name="_EX Master Flowchart June 15a_Wrigley - 05 budget&amp;calendar LE 050824 (25I)_P&amp;L KFE" xfId="3784"/>
    <cellStyle name="_EX Master Flowchart June 15a_Wrigley - 05 budget&amp;calendar LE 050824 (25I)_Sheet3" xfId="3785"/>
    <cellStyle name="_EX Master Flowchart June 15a_Wrigley - 05 budget&amp;calendar LE 050824 (25I)_Wrigley - 06 simple chart Sep 14" xfId="3786"/>
    <cellStyle name="_EX Master Flowchart June 15a_Wrigley - 05 budget&amp;calendar LE 050824 (25I)_Wrigley - 06 simple chart Sep 14 2" xfId="3787"/>
    <cellStyle name="_EX Master Flowchart June 15a_Wrigley - 05 budget&amp;calendar LE 050824 (25I)_Wrigley - 06 simple chart Sep 14_Category Template AC'11 @Cst Fx 52W vs 53W" xfId="3788"/>
    <cellStyle name="_EX Master Flowchart June 15a_Wrigley - 05 budget&amp;calendar LE 050824 (25I)_Wrigley - 06 simple chart Sep 14_Category Template AC'11 @Cst Fx 52W vs 53W 2" xfId="3789"/>
    <cellStyle name="_EX Master Flowchart June 15a_Wrigley - 05 budget&amp;calendar LE 050824 (25I)_Wrigley - 06 simple chart Sep 14_Category Template AC'11 @Cst Fx 52W vs 53W_P&amp;L KFE" xfId="3790"/>
    <cellStyle name="_EX Master Flowchart June 15a_Wrigley - 05 budget&amp;calendar LE 050824 (25I)_Wrigley - 06 simple chart Sep 14_Category Template AC'11 @Cst Fx 52W vs 53W_Sheet3" xfId="3791"/>
    <cellStyle name="_EX Master Flowchart June 15a_Wrigley - 05 budget&amp;calendar LE 050824 (25I)_Wrigley - 06 simple chart Sep 14_P&amp;L KFE" xfId="3792"/>
    <cellStyle name="_EX Master Flowchart June 15a_Wrigley - 05 budget&amp;calendar LE 050824 (25I)_Wrigley - 06 simple chart Sep 14_Sheet3" xfId="3793"/>
    <cellStyle name="_EX Master Flowchart June 15a_Wrigley - 06 simple chart Sep 14" xfId="3794"/>
    <cellStyle name="_EX Master Flowchart June 15a_Wrigley - 06 simple chart Sep 14 2" xfId="3795"/>
    <cellStyle name="_EX Master Flowchart June 15a_Wrigley - 06 simple chart Sep 14_Category Template AC'11 @Cst Fx 52W vs 53W" xfId="3796"/>
    <cellStyle name="_EX Master Flowchart June 15a_Wrigley - 06 simple chart Sep 14_Category Template AC'11 @Cst Fx 52W vs 53W 2" xfId="3797"/>
    <cellStyle name="_EX Master Flowchart June 15a_Wrigley - 06 simple chart Sep 14_Category Template AC'11 @Cst Fx 52W vs 53W_P&amp;L KFE" xfId="3798"/>
    <cellStyle name="_EX Master Flowchart June 15a_Wrigley - 06 simple chart Sep 14_Category Template AC'11 @Cst Fx 52W vs 53W_Sheet3" xfId="3799"/>
    <cellStyle name="_EX Master Flowchart June 15a_Wrigley - 06 simple chart Sep 14_P&amp;L KFE" xfId="3800"/>
    <cellStyle name="_EX Master Flowchart June 15a_Wrigley - 06 simple chart Sep 14_Sheet3" xfId="3801"/>
    <cellStyle name="_Example" xfId="3802"/>
    <cellStyle name="_Express SAN Storage Usage" xfId="3803"/>
    <cellStyle name="_Express SAN Storage Usage v3" xfId="3804"/>
    <cellStyle name="_EXRATE OB09 KRAFT" xfId="3805"/>
    <cellStyle name="_EXRATE OB09 KRAFT 2" xfId="3806"/>
    <cellStyle name="_EXRATE OB09 KRAFT 2_P&amp;L KFE" xfId="3807"/>
    <cellStyle name="_EXRATE OB09 KRAFT 2_Sheet3" xfId="3808"/>
    <cellStyle name="_EXRATE OB09 KRAFT 3" xfId="3809"/>
    <cellStyle name="_EXRATE OB09 KRAFT_2011 Targets by category Aug 25" xfId="3810"/>
    <cellStyle name="_EXRATE OB09 KRAFT_AC11 conso @Cst Fx" xfId="3811"/>
    <cellStyle name="_EXRATE OB09 KRAFT_AC11 conso @Cst Fx 2" xfId="3812"/>
    <cellStyle name="_EXRATE OB09 KRAFT_AC11 conso @Cst Fx after LFL restatement" xfId="3813"/>
    <cellStyle name="_EXRATE OB09 KRAFT_AC11 conso @Cst Fx after LFL restatement 2" xfId="3814"/>
    <cellStyle name="_EXRATE OB09 KRAFT_AC11 conso @Cst Fx after LFL restatement_P&amp;L KFE" xfId="3815"/>
    <cellStyle name="_EXRATE OB09 KRAFT_AC11 conso @Cst Fx after LFL restatement_Sheet3" xfId="3816"/>
    <cellStyle name="_EXRATE OB09 KRAFT_AC11 conso @Cst Fx_P&amp;L KFE" xfId="3817"/>
    <cellStyle name="_EXRATE OB09 KRAFT_AC11 conso @Cst Fx_Sheet3" xfId="3818"/>
    <cellStyle name="_EXRATE OB09 KRAFT_Category PnL" xfId="3819"/>
    <cellStyle name="_EXRATE OB09 KRAFT_Category PnL 2" xfId="3820"/>
    <cellStyle name="_EXRATE OB09 KRAFT_Category PnL_P&amp;L KFE" xfId="3821"/>
    <cellStyle name="_EXRATE OB09 KRAFT_Category PnL_Sheet3" xfId="3822"/>
    <cellStyle name="_EXRATE OB09 KRAFT_Category Targets 2011_1.2" xfId="3823"/>
    <cellStyle name="_EXRATE OB09 KRAFT_Category Template_Actuals" xfId="3824"/>
    <cellStyle name="_EXRATE OB09 KRAFT_Category Template_Actuals 2" xfId="3825"/>
    <cellStyle name="_EXRATE OB09 KRAFT_Category Template_Actuals NEW" xfId="3826"/>
    <cellStyle name="_EXRATE OB09 KRAFT_Category Template_Actuals NEW 2" xfId="3827"/>
    <cellStyle name="_EXRATE OB09 KRAFT_Category Template_Actuals NEW_Biscuits Actual Results P01" xfId="3828"/>
    <cellStyle name="_EXRATE OB09 KRAFT_Category Template_Actuals NEW_Biscuits Actual Results P01 2" xfId="3829"/>
    <cellStyle name="_EXRATE OB09 KRAFT_Category Template_Actuals NEW_Biscuits Actual Results P01_Category Template_Actuals" xfId="3830"/>
    <cellStyle name="_EXRATE OB09 KRAFT_Category Template_Actuals NEW_Biscuits Actual Results P01_Category Template_Actuals 2" xfId="3831"/>
    <cellStyle name="_EXRATE OB09 KRAFT_Category Template_Actuals NEW_Biscuits Actual Results P01_Category Template_Actuals_Biscuits Actual Results P02" xfId="3832"/>
    <cellStyle name="_EXRATE OB09 KRAFT_Category Template_Actuals NEW_Biscuits Actual Results P01_Category Template_Actuals_Biscuits Actual Results P02 2" xfId="3833"/>
    <cellStyle name="_EXRATE OB09 KRAFT_Category Template_Actuals NEW_Biscuits Actual Results P01_Category Template_Actuals_Biscuits Actual Results P02_Category Template_Actuals" xfId="3834"/>
    <cellStyle name="_EXRATE OB09 KRAFT_Category Template_Actuals NEW_Biscuits Actual Results P01_Category Template_Actuals_Biscuits Actual Results P02_Category Template_Actuals_Biscuits Actual Results P04" xfId="3835"/>
    <cellStyle name="_EXRATE OB09 KRAFT_Category Template_Actuals NEW_Biscuits Actual Results P01_Category Template_Actuals_Biscuits Actual Results P02_Category Template_Actuals_P&amp;L P06 AFH AC US" xfId="3836"/>
    <cellStyle name="_EXRATE OB09 KRAFT_Category Template_Actuals NEW_Biscuits Actual Results P01_Category Template_Actuals_Biscuits Actual Results P02_P&amp;L" xfId="3837"/>
    <cellStyle name="_EXRATE OB09 KRAFT_Category Template_Actuals NEW_Biscuits Actual Results P01_Category Template_Actuals_Biscuits Actual Results P02_P&amp;L_P&amp;L KFE" xfId="3838"/>
    <cellStyle name="_EXRATE OB09 KRAFT_Category Template_Actuals NEW_Biscuits Actual Results P01_Category Template_Actuals_Biscuits Actual Results P02_P&amp;L_Sheet3" xfId="3839"/>
    <cellStyle name="_EXRATE OB09 KRAFT_Category Template_Actuals NEW_Biscuits Actual Results P01_Category Template_Actuals_Biscuits Actual Results P02_VRAN YTD" xfId="3840"/>
    <cellStyle name="_EXRATE OB09 KRAFT_Category Template_Actuals NEW_Biscuits Actual Results P01_Category Template_Actuals_Biscuits Actual Results P04" xfId="3841"/>
    <cellStyle name="_EXRATE OB09 KRAFT_Category Template_Actuals NEW_Biscuits Actual Results P01_Category Template_Actuals_P&amp;L" xfId="3842"/>
    <cellStyle name="_EXRATE OB09 KRAFT_Category Template_Actuals NEW_Biscuits Actual Results P01_Category Template_Actuals_P&amp;L P06 AFH AC US" xfId="3843"/>
    <cellStyle name="_EXRATE OB09 KRAFT_Category Template_Actuals NEW_Biscuits Actual Results P01_Category Template_Actuals_P&amp;L_P&amp;L KFE" xfId="3844"/>
    <cellStyle name="_EXRATE OB09 KRAFT_Category Template_Actuals NEW_Biscuits Actual Results P01_Category Template_Actuals_P&amp;L_Sheet3" xfId="3845"/>
    <cellStyle name="_EXRATE OB09 KRAFT_Category Template_Actuals NEW_Biscuits Actual Results P01_P&amp;L" xfId="3846"/>
    <cellStyle name="_EXRATE OB09 KRAFT_Category Template_Actuals NEW_Biscuits Actual Results P01_P&amp;L_P&amp;L KFE" xfId="3847"/>
    <cellStyle name="_EXRATE OB09 KRAFT_Category Template_Actuals NEW_Biscuits Actual Results P01_P&amp;L_Sheet3" xfId="3848"/>
    <cellStyle name="_EXRATE OB09 KRAFT_Category Template_Actuals NEW_Biscuits Actual Results P01_VRAN YTD" xfId="3849"/>
    <cellStyle name="_EXRATE OB09 KRAFT_Category Template_Actuals NEW_Biscuits Actual Results P02" xfId="3850"/>
    <cellStyle name="_EXRATE OB09 KRAFT_Category Template_Actuals NEW_Biscuits Actual Results P02 2" xfId="3851"/>
    <cellStyle name="_EXRATE OB09 KRAFT_Category Template_Actuals NEW_Biscuits Actual Results P02_Category Template_Actuals" xfId="3852"/>
    <cellStyle name="_EXRATE OB09 KRAFT_Category Template_Actuals NEW_Biscuits Actual Results P02_Category Template_Actuals_Biscuits Actual Results P04" xfId="3853"/>
    <cellStyle name="_EXRATE OB09 KRAFT_Category Template_Actuals NEW_Biscuits Actual Results P02_Category Template_Actuals_P&amp;L P06 AFH AC US" xfId="3854"/>
    <cellStyle name="_EXRATE OB09 KRAFT_Category Template_Actuals NEW_Biscuits Actual Results P02_P&amp;L" xfId="3855"/>
    <cellStyle name="_EXRATE OB09 KRAFT_Category Template_Actuals NEW_Biscuits Actual Results P02_P&amp;L_P&amp;L KFE" xfId="3856"/>
    <cellStyle name="_EXRATE OB09 KRAFT_Category Template_Actuals NEW_Biscuits Actual Results P02_P&amp;L_Sheet3" xfId="3857"/>
    <cellStyle name="_EXRATE OB09 KRAFT_Category Template_Actuals NEW_Biscuits Actual Results P02_VRAN YTD" xfId="3858"/>
    <cellStyle name="_EXRATE OB09 KRAFT_Category Template_Actuals NEW_Biscuits Actual Results P04" xfId="3859"/>
    <cellStyle name="_EXRATE OB09 KRAFT_Category Template_Actuals NEW_Biscuits Actual Results P1 BIS" xfId="3860"/>
    <cellStyle name="_EXRATE OB09 KRAFT_Category Template_Actuals NEW_Biscuits Actual Results P1 BIS 2" xfId="3861"/>
    <cellStyle name="_EXRATE OB09 KRAFT_Category Template_Actuals NEW_Biscuits Actual Results P1 BIS_Category Template_Actuals" xfId="3862"/>
    <cellStyle name="_EXRATE OB09 KRAFT_Category Template_Actuals NEW_Biscuits Actual Results P1 BIS_Category Template_Actuals_Biscuits Actual Results P04" xfId="3863"/>
    <cellStyle name="_EXRATE OB09 KRAFT_Category Template_Actuals NEW_Biscuits Actual Results P1 BIS_Category Template_Actuals_P&amp;L P06 AFH AC US" xfId="3864"/>
    <cellStyle name="_EXRATE OB09 KRAFT_Category Template_Actuals NEW_Biscuits Actual Results P1 BIS_P&amp;L" xfId="3865"/>
    <cellStyle name="_EXRATE OB09 KRAFT_Category Template_Actuals NEW_Biscuits Actual Results P1 BIS_P&amp;L_P&amp;L KFE" xfId="3866"/>
    <cellStyle name="_EXRATE OB09 KRAFT_Category Template_Actuals NEW_Biscuits Actual Results P1 BIS_P&amp;L_Sheet3" xfId="3867"/>
    <cellStyle name="_EXRATE OB09 KRAFT_Category Template_Actuals NEW_Biscuits Actual Results P1 BIS_VRAN YTD" xfId="3868"/>
    <cellStyle name="_EXRATE OB09 KRAFT_Category Template_Actuals NEW_Biscuits Actual Results P12 161210" xfId="3869"/>
    <cellStyle name="_EXRATE OB09 KRAFT_Category Template_Actuals NEW_Biscuits Actual Results P12 161210 2" xfId="3870"/>
    <cellStyle name="_EXRATE OB09 KRAFT_Category Template_Actuals NEW_Biscuits Actual Results P12 161210_Category Template_Actuals" xfId="3871"/>
    <cellStyle name="_EXRATE OB09 KRAFT_Category Template_Actuals NEW_Biscuits Actual Results P12 161210_Category Template_Actuals 2" xfId="3872"/>
    <cellStyle name="_EXRATE OB09 KRAFT_Category Template_Actuals NEW_Biscuits Actual Results P12 161210_Category Template_Actuals_Biscuits Actual Results P02" xfId="3873"/>
    <cellStyle name="_EXRATE OB09 KRAFT_Category Template_Actuals NEW_Biscuits Actual Results P12 161210_Category Template_Actuals_Biscuits Actual Results P02 2" xfId="3874"/>
    <cellStyle name="_EXRATE OB09 KRAFT_Category Template_Actuals NEW_Biscuits Actual Results P12 161210_Category Template_Actuals_Biscuits Actual Results P02_Category Template_Actuals" xfId="3875"/>
    <cellStyle name="_EXRATE OB09 KRAFT_Category Template_Actuals NEW_Biscuits Actual Results P12 161210_Category Template_Actuals_Biscuits Actual Results P02_Category Template_Actuals_Biscuits Actual Results P04" xfId="3876"/>
    <cellStyle name="_EXRATE OB09 KRAFT_Category Template_Actuals NEW_Biscuits Actual Results P12 161210_Category Template_Actuals_Biscuits Actual Results P02_Category Template_Actuals_P&amp;L P06 AFH AC US" xfId="3877"/>
    <cellStyle name="_EXRATE OB09 KRAFT_Category Template_Actuals NEW_Biscuits Actual Results P12 161210_Category Template_Actuals_Biscuits Actual Results P02_P&amp;L" xfId="3878"/>
    <cellStyle name="_EXRATE OB09 KRAFT_Category Template_Actuals NEW_Biscuits Actual Results P12 161210_Category Template_Actuals_Biscuits Actual Results P02_P&amp;L_P&amp;L KFE" xfId="3879"/>
    <cellStyle name="_EXRATE OB09 KRAFT_Category Template_Actuals NEW_Biscuits Actual Results P12 161210_Category Template_Actuals_Biscuits Actual Results P02_P&amp;L_Sheet3" xfId="3880"/>
    <cellStyle name="_EXRATE OB09 KRAFT_Category Template_Actuals NEW_Biscuits Actual Results P12 161210_Category Template_Actuals_Biscuits Actual Results P02_VRAN YTD" xfId="3881"/>
    <cellStyle name="_EXRATE OB09 KRAFT_Category Template_Actuals NEW_Biscuits Actual Results P12 161210_Category Template_Actuals_Biscuits Actual Results P04" xfId="3882"/>
    <cellStyle name="_EXRATE OB09 KRAFT_Category Template_Actuals NEW_Biscuits Actual Results P12 161210_Category Template_Actuals_P&amp;L" xfId="3883"/>
    <cellStyle name="_EXRATE OB09 KRAFT_Category Template_Actuals NEW_Biscuits Actual Results P12 161210_Category Template_Actuals_P&amp;L P06 AFH AC US" xfId="3884"/>
    <cellStyle name="_EXRATE OB09 KRAFT_Category Template_Actuals NEW_Biscuits Actual Results P12 161210_Category Template_Actuals_P&amp;L_P&amp;L KFE" xfId="3885"/>
    <cellStyle name="_EXRATE OB09 KRAFT_Category Template_Actuals NEW_Biscuits Actual Results P12 161210_Category Template_Actuals_P&amp;L_Sheet3" xfId="3886"/>
    <cellStyle name="_EXRATE OB09 KRAFT_Category Template_Actuals NEW_Biscuits Actual Results P12 161210_P&amp;L" xfId="3887"/>
    <cellStyle name="_EXRATE OB09 KRAFT_Category Template_Actuals NEW_Biscuits Actual Results P12 161210_P&amp;L_P&amp;L KFE" xfId="3888"/>
    <cellStyle name="_EXRATE OB09 KRAFT_Category Template_Actuals NEW_Biscuits Actual Results P12 161210_P&amp;L_Sheet3" xfId="3889"/>
    <cellStyle name="_EXRATE OB09 KRAFT_Category Template_Actuals NEW_Biscuits Actual Results P12 161210_VRAN YTD" xfId="3890"/>
    <cellStyle name="_EXRATE OB09 KRAFT_Category Template_Actuals NEW_P&amp;L" xfId="3891"/>
    <cellStyle name="_EXRATE OB09 KRAFT_Category Template_Actuals NEW_P&amp;L P06 AFH AC US" xfId="3892"/>
    <cellStyle name="_EXRATE OB09 KRAFT_Category Template_Actuals NEW_P&amp;L_P&amp;L KFE" xfId="3893"/>
    <cellStyle name="_EXRATE OB09 KRAFT_Category Template_Actuals NEW_P&amp;L_Sheet3" xfId="3894"/>
    <cellStyle name="_EXRATE OB09 KRAFT_Category Template_Actuals_Biscuits Actual Results P02" xfId="3895"/>
    <cellStyle name="_EXRATE OB09 KRAFT_Category Template_Actuals_Biscuits Actual Results P02 2" xfId="3896"/>
    <cellStyle name="_EXRATE OB09 KRAFT_Category Template_Actuals_Biscuits Actual Results P02_Category Template_Actuals" xfId="3897"/>
    <cellStyle name="_EXRATE OB09 KRAFT_Category Template_Actuals_Biscuits Actual Results P02_Category Template_Actuals_Biscuits Actual Results P04" xfId="3898"/>
    <cellStyle name="_EXRATE OB09 KRAFT_Category Template_Actuals_Biscuits Actual Results P02_Category Template_Actuals_P&amp;L P06 AFH AC US" xfId="3899"/>
    <cellStyle name="_EXRATE OB09 KRAFT_Category Template_Actuals_Biscuits Actual Results P02_P&amp;L" xfId="3900"/>
    <cellStyle name="_EXRATE OB09 KRAFT_Category Template_Actuals_Biscuits Actual Results P02_P&amp;L_P&amp;L KFE" xfId="3901"/>
    <cellStyle name="_EXRATE OB09 KRAFT_Category Template_Actuals_Biscuits Actual Results P02_P&amp;L_Sheet3" xfId="3902"/>
    <cellStyle name="_EXRATE OB09 KRAFT_Category Template_Actuals_Biscuits Actual Results P02_VRAN YTD" xfId="3903"/>
    <cellStyle name="_EXRATE OB09 KRAFT_Category Template_Actuals_Biscuits Actual Results P04" xfId="3904"/>
    <cellStyle name="_EXRATE OB09 KRAFT_Category Template_Actuals_P&amp;L" xfId="3905"/>
    <cellStyle name="_EXRATE OB09 KRAFT_Category Template_Actuals_P&amp;L P06 AFH AC US" xfId="3906"/>
    <cellStyle name="_EXRATE OB09 KRAFT_Category Template_Actuals_P&amp;L_P&amp;L KFE" xfId="3907"/>
    <cellStyle name="_EXRATE OB09 KRAFT_Category Template_Actuals_P&amp;L_Sheet3" xfId="3908"/>
    <cellStyle name="_EXRATE OB09 KRAFT_KFE Category PnL template_Combined_P03 (2)" xfId="3909"/>
    <cellStyle name="_EXRATE OB09 KRAFT_KFE Category PnL template_Combined_P03 (2)_P&amp;L KFE" xfId="3910"/>
    <cellStyle name="_EXRATE OB09 KRAFT_KFE Category PnL template_Combined_P03 (2)_Sheet3" xfId="3911"/>
    <cellStyle name="_EXRATE OB09 KRAFT_KFE Category PnL template_Kraft Legacy (2)" xfId="3912"/>
    <cellStyle name="_EXRATE OB09 KRAFT_KFE Category PnL template_Kraft Legacy (2)_P&amp;L KFE" xfId="3913"/>
    <cellStyle name="_EXRATE OB09 KRAFT_KFE Category PnL template_Kraft Legacy (2)_Sheet3" xfId="3914"/>
    <cellStyle name="_EXRATE OB09 KRAFT_KFE Category PnL template_Kraft Legacy (4)" xfId="3915"/>
    <cellStyle name="_EXRATE OB09 KRAFT_KFE Category PnL template_Kraft Legacy (4)_P&amp;L KFE" xfId="3916"/>
    <cellStyle name="_EXRATE OB09 KRAFT_KFE Category PnL template_Kraft Legacy (4)_Sheet3" xfId="3917"/>
    <cellStyle name="_EXRATE OB09 KRAFT_OI Bridge 0" xfId="3918"/>
    <cellStyle name="_EXRATE OB09 KRAFT_OI Bridge 0_1" xfId="3919"/>
    <cellStyle name="_EXRATE OB09 KRAFT_OI Bridge 1" xfId="3920"/>
    <cellStyle name="_EXRATE OB09 KRAFT_P&amp;L" xfId="3921"/>
    <cellStyle name="_EXRATE OB09 KRAFT_P&amp;L_P&amp;L KFE" xfId="3922"/>
    <cellStyle name="_EXRATE OB09 KRAFT_P&amp;L_Sheet3" xfId="3923"/>
    <cellStyle name="_EXRATE OB09 KRAFT_Sheet1" xfId="3924"/>
    <cellStyle name="_EXRATE OB09 KRAFT_VRAN YTD" xfId="3925"/>
    <cellStyle name="_EXRATE OB09 KRAFT_VRAN YTD 2" xfId="3926"/>
    <cellStyle name="_EXRATE OB09 KRAFT_VRAN YTD_Biscuits Actual Results P01" xfId="3927"/>
    <cellStyle name="_EXRATE OB09 KRAFT_VRAN YTD_Biscuits Actual Results P01 2" xfId="3928"/>
    <cellStyle name="_EXRATE OB09 KRAFT_VRAN YTD_Biscuits Actual Results P01_Category Template_Actuals" xfId="3929"/>
    <cellStyle name="_EXRATE OB09 KRAFT_VRAN YTD_Biscuits Actual Results P01_Category Template_Actuals 2" xfId="3930"/>
    <cellStyle name="_EXRATE OB09 KRAFT_VRAN YTD_Biscuits Actual Results P01_Category Template_Actuals_Biscuits Actual Results P02" xfId="3931"/>
    <cellStyle name="_EXRATE OB09 KRAFT_VRAN YTD_Biscuits Actual Results P01_Category Template_Actuals_Biscuits Actual Results P02 2" xfId="3932"/>
    <cellStyle name="_EXRATE OB09 KRAFT_VRAN YTD_Biscuits Actual Results P01_Category Template_Actuals_Biscuits Actual Results P02_Category Template_Actuals" xfId="3933"/>
    <cellStyle name="_EXRATE OB09 KRAFT_VRAN YTD_Biscuits Actual Results P01_Category Template_Actuals_Biscuits Actual Results P02_Category Template_Actuals_Biscuits Actual Results P04" xfId="3934"/>
    <cellStyle name="_EXRATE OB09 KRAFT_VRAN YTD_Biscuits Actual Results P01_Category Template_Actuals_Biscuits Actual Results P02_Category Template_Actuals_P&amp;L P06 AFH AC US" xfId="3935"/>
    <cellStyle name="_EXRATE OB09 KRAFT_VRAN YTD_Biscuits Actual Results P01_Category Template_Actuals_Biscuits Actual Results P02_P&amp;L" xfId="3936"/>
    <cellStyle name="_EXRATE OB09 KRAFT_VRAN YTD_Biscuits Actual Results P01_Category Template_Actuals_Biscuits Actual Results P02_P&amp;L_P&amp;L KFE" xfId="3937"/>
    <cellStyle name="_EXRATE OB09 KRAFT_VRAN YTD_Biscuits Actual Results P01_Category Template_Actuals_Biscuits Actual Results P02_P&amp;L_Sheet3" xfId="3938"/>
    <cellStyle name="_EXRATE OB09 KRAFT_VRAN YTD_Biscuits Actual Results P01_Category Template_Actuals_Biscuits Actual Results P02_VRAN YTD" xfId="3939"/>
    <cellStyle name="_EXRATE OB09 KRAFT_VRAN YTD_Biscuits Actual Results P01_Category Template_Actuals_Biscuits Actual Results P04" xfId="3940"/>
    <cellStyle name="_EXRATE OB09 KRAFT_VRAN YTD_Biscuits Actual Results P01_Category Template_Actuals_P&amp;L" xfId="3941"/>
    <cellStyle name="_EXRATE OB09 KRAFT_VRAN YTD_Biscuits Actual Results P01_Category Template_Actuals_P&amp;L P06 AFH AC US" xfId="3942"/>
    <cellStyle name="_EXRATE OB09 KRAFT_VRAN YTD_Biscuits Actual Results P01_Category Template_Actuals_P&amp;L_P&amp;L KFE" xfId="3943"/>
    <cellStyle name="_EXRATE OB09 KRAFT_VRAN YTD_Biscuits Actual Results P01_Category Template_Actuals_P&amp;L_Sheet3" xfId="3944"/>
    <cellStyle name="_EXRATE OB09 KRAFT_VRAN YTD_Biscuits Actual Results P01_P&amp;L" xfId="3945"/>
    <cellStyle name="_EXRATE OB09 KRAFT_VRAN YTD_Biscuits Actual Results P01_P&amp;L_P&amp;L KFE" xfId="3946"/>
    <cellStyle name="_EXRATE OB09 KRAFT_VRAN YTD_Biscuits Actual Results P01_P&amp;L_Sheet3" xfId="3947"/>
    <cellStyle name="_EXRATE OB09 KRAFT_VRAN YTD_Biscuits Actual Results P01_VRAN YTD" xfId="3948"/>
    <cellStyle name="_EXRATE OB09 KRAFT_VRAN YTD_Biscuits Actual Results P02" xfId="3949"/>
    <cellStyle name="_EXRATE OB09 KRAFT_VRAN YTD_Biscuits Actual Results P02 2" xfId="3950"/>
    <cellStyle name="_EXRATE OB09 KRAFT_VRAN YTD_Biscuits Actual Results P02_Category Template_Actuals" xfId="3951"/>
    <cellStyle name="_EXRATE OB09 KRAFT_VRAN YTD_Biscuits Actual Results P02_Category Template_Actuals_Biscuits Actual Results P04" xfId="3952"/>
    <cellStyle name="_EXRATE OB09 KRAFT_VRAN YTD_Biscuits Actual Results P02_Category Template_Actuals_P&amp;L P06 AFH AC US" xfId="3953"/>
    <cellStyle name="_EXRATE OB09 KRAFT_VRAN YTD_Biscuits Actual Results P02_P&amp;L" xfId="3954"/>
    <cellStyle name="_EXRATE OB09 KRAFT_VRAN YTD_Biscuits Actual Results P02_P&amp;L_P&amp;L KFE" xfId="3955"/>
    <cellStyle name="_EXRATE OB09 KRAFT_VRAN YTD_Biscuits Actual Results P02_P&amp;L_Sheet3" xfId="3956"/>
    <cellStyle name="_EXRATE OB09 KRAFT_VRAN YTD_Biscuits Actual Results P02_VRAN YTD" xfId="3957"/>
    <cellStyle name="_EXRATE OB09 KRAFT_VRAN YTD_Biscuits Actual Results P04" xfId="3958"/>
    <cellStyle name="_EXRATE OB09 KRAFT_VRAN YTD_Biscuits Actual Results P1 BIS" xfId="3959"/>
    <cellStyle name="_EXRATE OB09 KRAFT_VRAN YTD_Biscuits Actual Results P1 BIS 2" xfId="3960"/>
    <cellStyle name="_EXRATE OB09 KRAFT_VRAN YTD_Biscuits Actual Results P1 BIS_Category Template_Actuals" xfId="3961"/>
    <cellStyle name="_EXRATE OB09 KRAFT_VRAN YTD_Biscuits Actual Results P1 BIS_Category Template_Actuals_Biscuits Actual Results P04" xfId="3962"/>
    <cellStyle name="_EXRATE OB09 KRAFT_VRAN YTD_Biscuits Actual Results P1 BIS_Category Template_Actuals_P&amp;L P06 AFH AC US" xfId="3963"/>
    <cellStyle name="_EXRATE OB09 KRAFT_VRAN YTD_Biscuits Actual Results P1 BIS_P&amp;L" xfId="3964"/>
    <cellStyle name="_EXRATE OB09 KRAFT_VRAN YTD_Biscuits Actual Results P1 BIS_P&amp;L_P&amp;L KFE" xfId="3965"/>
    <cellStyle name="_EXRATE OB09 KRAFT_VRAN YTD_Biscuits Actual Results P1 BIS_P&amp;L_Sheet3" xfId="3966"/>
    <cellStyle name="_EXRATE OB09 KRAFT_VRAN YTD_Biscuits Actual Results P1 BIS_VRAN YTD" xfId="3967"/>
    <cellStyle name="_EXRATE OB09 KRAFT_VRAN YTD_Biscuits Actual Results P12 161210" xfId="3968"/>
    <cellStyle name="_EXRATE OB09 KRAFT_VRAN YTD_Biscuits Actual Results P12 161210 2" xfId="3969"/>
    <cellStyle name="_EXRATE OB09 KRAFT_VRAN YTD_Biscuits Actual Results P12 161210_Category Template_Actuals" xfId="3970"/>
    <cellStyle name="_EXRATE OB09 KRAFT_VRAN YTD_Biscuits Actual Results P12 161210_Category Template_Actuals 2" xfId="3971"/>
    <cellStyle name="_EXRATE OB09 KRAFT_VRAN YTD_Biscuits Actual Results P12 161210_Category Template_Actuals_Biscuits Actual Results P02" xfId="3972"/>
    <cellStyle name="_EXRATE OB09 KRAFT_VRAN YTD_Biscuits Actual Results P12 161210_Category Template_Actuals_Biscuits Actual Results P02 2" xfId="3973"/>
    <cellStyle name="_EXRATE OB09 KRAFT_VRAN YTD_Biscuits Actual Results P12 161210_Category Template_Actuals_Biscuits Actual Results P02_Category Template_Actuals" xfId="3974"/>
    <cellStyle name="_EXRATE OB09 KRAFT_VRAN YTD_Biscuits Actual Results P12 161210_Category Template_Actuals_Biscuits Actual Results P02_Category Template_Actuals_Biscuits Actual Results P04" xfId="3975"/>
    <cellStyle name="_EXRATE OB09 KRAFT_VRAN YTD_Biscuits Actual Results P12 161210_Category Template_Actuals_Biscuits Actual Results P02_Category Template_Actuals_P&amp;L P06 AFH AC US" xfId="3976"/>
    <cellStyle name="_EXRATE OB09 KRAFT_VRAN YTD_Biscuits Actual Results P12 161210_Category Template_Actuals_Biscuits Actual Results P02_P&amp;L" xfId="3977"/>
    <cellStyle name="_EXRATE OB09 KRAFT_VRAN YTD_Biscuits Actual Results P12 161210_Category Template_Actuals_Biscuits Actual Results P02_P&amp;L_P&amp;L KFE" xfId="3978"/>
    <cellStyle name="_EXRATE OB09 KRAFT_VRAN YTD_Biscuits Actual Results P12 161210_Category Template_Actuals_Biscuits Actual Results P02_P&amp;L_Sheet3" xfId="3979"/>
    <cellStyle name="_EXRATE OB09 KRAFT_VRAN YTD_Biscuits Actual Results P12 161210_Category Template_Actuals_Biscuits Actual Results P02_VRAN YTD" xfId="3980"/>
    <cellStyle name="_EXRATE OB09 KRAFT_VRAN YTD_Biscuits Actual Results P12 161210_Category Template_Actuals_Biscuits Actual Results P04" xfId="3981"/>
    <cellStyle name="_EXRATE OB09 KRAFT_VRAN YTD_Biscuits Actual Results P12 161210_Category Template_Actuals_P&amp;L" xfId="3982"/>
    <cellStyle name="_EXRATE OB09 KRAFT_VRAN YTD_Biscuits Actual Results P12 161210_Category Template_Actuals_P&amp;L P06 AFH AC US" xfId="3983"/>
    <cellStyle name="_EXRATE OB09 KRAFT_VRAN YTD_Biscuits Actual Results P12 161210_Category Template_Actuals_P&amp;L_P&amp;L KFE" xfId="3984"/>
    <cellStyle name="_EXRATE OB09 KRAFT_VRAN YTD_Biscuits Actual Results P12 161210_Category Template_Actuals_P&amp;L_Sheet3" xfId="3985"/>
    <cellStyle name="_EXRATE OB09 KRAFT_VRAN YTD_Biscuits Actual Results P12 161210_P&amp;L" xfId="3986"/>
    <cellStyle name="_EXRATE OB09 KRAFT_VRAN YTD_Biscuits Actual Results P12 161210_P&amp;L_P&amp;L KFE" xfId="3987"/>
    <cellStyle name="_EXRATE OB09 KRAFT_VRAN YTD_Biscuits Actual Results P12 161210_P&amp;L_Sheet3" xfId="3988"/>
    <cellStyle name="_EXRATE OB09 KRAFT_VRAN YTD_Biscuits Actual Results P12 161210_VRAN YTD" xfId="3989"/>
    <cellStyle name="_EXRATE OB09 KRAFT_VRAN YTD_P&amp;L" xfId="3990"/>
    <cellStyle name="_EXRATE OB09 KRAFT_VRAN YTD_P&amp;L P06 AFH AC US" xfId="3991"/>
    <cellStyle name="_EXRATE OB09 KRAFT_VRAN YTD_P&amp;L_P&amp;L KFE" xfId="3992"/>
    <cellStyle name="_EXRATE OB09 KRAFT_VRAN YTD_P&amp;L_Sheet3" xfId="3993"/>
    <cellStyle name="_EXRATE OB09 KRAFT_WP_AC11 P&amp;L LFL 27.10.10" xfId="3994"/>
    <cellStyle name="_Extra me" xfId="3995"/>
    <cellStyle name="_Extra me 2" xfId="3996"/>
    <cellStyle name="_Extra me_P&amp;L KFE" xfId="3997"/>
    <cellStyle name="_Extra me_Sheet3" xfId="3998"/>
    <cellStyle name="_Extra media plan 050329" xfId="3999"/>
    <cellStyle name="_Extra media plan 050329 2" xfId="4000"/>
    <cellStyle name="_Extra media plan 050329_Book5" xfId="4001"/>
    <cellStyle name="_Extra media plan 050329_Book5 2" xfId="4002"/>
    <cellStyle name="_Extra media plan 050329_Book5_Category Template AC'11 @Cst Fx 52W vs 53W" xfId="4003"/>
    <cellStyle name="_Extra media plan 050329_Book5_Category Template AC'11 @Cst Fx 52W vs 53W 2" xfId="4004"/>
    <cellStyle name="_Extra media plan 050329_Book5_Category Template AC'11 @Cst Fx 52W vs 53W_P&amp;L KFE" xfId="4005"/>
    <cellStyle name="_Extra media plan 050329_Book5_Category Template AC'11 @Cst Fx 52W vs 53W_Sheet3" xfId="4006"/>
    <cellStyle name="_Extra media plan 050329_Book5_P&amp;L KFE" xfId="4007"/>
    <cellStyle name="_Extra media plan 050329_Book5_Sheet3" xfId="4008"/>
    <cellStyle name="_Extra media plan 050329_Category Template AC'11 @Cst Fx 52W vs 53W" xfId="4009"/>
    <cellStyle name="_Extra media plan 050329_Category Template AC'11 @Cst Fx 52W vs 53W 2" xfId="4010"/>
    <cellStyle name="_Extra media plan 050329_Category Template AC'11 @Cst Fx 52W vs 53W_P&amp;L KFE" xfId="4011"/>
    <cellStyle name="_Extra media plan 050329_Category Template AC'11 @Cst Fx 52W vs 53W_Sheet3" xfId="4012"/>
    <cellStyle name="_Extra media plan 050329_Copy of Wrigley - 05 budget&amp;calendar R1 050428-vl" xfId="4013"/>
    <cellStyle name="_Extra media plan 050329_Copy of Wrigley - 05 budget&amp;calendar R1 050428-vl 2" xfId="4014"/>
    <cellStyle name="_Extra media plan 050329_Copy of Wrigley - 05 budget&amp;calendar R1 050428-vl_Book5" xfId="4015"/>
    <cellStyle name="_Extra media plan 050329_Copy of Wrigley - 05 budget&amp;calendar R1 050428-vl_Book5 2" xfId="4016"/>
    <cellStyle name="_Extra media plan 050329_Copy of Wrigley - 05 budget&amp;calendar R1 050428-vl_Book5_Category Template AC'11 @Cst Fx 52W vs 53W" xfId="4017"/>
    <cellStyle name="_Extra media plan 050329_Copy of Wrigley - 05 budget&amp;calendar R1 050428-vl_Book5_Category Template AC'11 @Cst Fx 52W vs 53W 2" xfId="4018"/>
    <cellStyle name="_Extra media plan 050329_Copy of Wrigley - 05 budget&amp;calendar R1 050428-vl_Book5_Category Template AC'11 @Cst Fx 52W vs 53W_P&amp;L KFE" xfId="4019"/>
    <cellStyle name="_Extra media plan 050329_Copy of Wrigley - 05 budget&amp;calendar R1 050428-vl_Book5_Category Template AC'11 @Cst Fx 52W vs 53W_Sheet3" xfId="4020"/>
    <cellStyle name="_Extra media plan 050329_Copy of Wrigley - 05 budget&amp;calendar R1 050428-vl_Book5_P&amp;L KFE" xfId="4021"/>
    <cellStyle name="_Extra media plan 050329_Copy of Wrigley - 05 budget&amp;calendar R1 050428-vl_Book5_Sheet3" xfId="4022"/>
    <cellStyle name="_Extra media plan 050329_Copy of Wrigley - 05 budget&amp;calendar R1 050428-vl_CA Masterflow June 15a" xfId="4023"/>
    <cellStyle name="_Extra media plan 050329_Copy of Wrigley - 05 budget&amp;calendar R1 050428-vl_CA Masterflow June 15a 2" xfId="4024"/>
    <cellStyle name="_Extra media plan 050329_Copy of Wrigley - 05 budget&amp;calendar R1 050428-vl_CA Masterflow June 15a_Book5" xfId="4025"/>
    <cellStyle name="_Extra media plan 050329_Copy of Wrigley - 05 budget&amp;calendar R1 050428-vl_CA Masterflow June 15a_Book5 2" xfId="4026"/>
    <cellStyle name="_Extra media plan 050329_Copy of Wrigley - 05 budget&amp;calendar R1 050428-vl_CA Masterflow June 15a_Book5_Category Template AC'11 @Cst Fx 52W vs 53W" xfId="4027"/>
    <cellStyle name="_Extra media plan 050329_Copy of Wrigley - 05 budget&amp;calendar R1 050428-vl_CA Masterflow June 15a_Book5_Category Template AC'11 @Cst Fx 52W vs 53W 2" xfId="4028"/>
    <cellStyle name="_Extra media plan 050329_Copy of Wrigley - 05 budget&amp;calendar R1 050428-vl_CA Masterflow June 15a_Book5_Category Template AC'11 @Cst Fx 52W vs 53W_P&amp;L KFE" xfId="4029"/>
    <cellStyle name="_Extra media plan 050329_Copy of Wrigley - 05 budget&amp;calendar R1 050428-vl_CA Masterflow June 15a_Book5_Category Template AC'11 @Cst Fx 52W vs 53W_Sheet3" xfId="4030"/>
    <cellStyle name="_Extra media plan 050329_Copy of Wrigley - 05 budget&amp;calendar R1 050428-vl_CA Masterflow June 15a_Book5_P&amp;L KFE" xfId="4031"/>
    <cellStyle name="_Extra media plan 050329_Copy of Wrigley - 05 budget&amp;calendar R1 050428-vl_CA Masterflow June 15a_Book5_Sheet3" xfId="4032"/>
    <cellStyle name="_Extra media plan 050329_Copy of Wrigley - 05 budget&amp;calendar R1 050428-vl_CA Masterflow June 15a_Category Template AC'11 @Cst Fx 52W vs 53W" xfId="4033"/>
    <cellStyle name="_Extra media plan 050329_Copy of Wrigley - 05 budget&amp;calendar R1 050428-vl_CA Masterflow June 15a_Category Template AC'11 @Cst Fx 52W vs 53W 2" xfId="4034"/>
    <cellStyle name="_Extra media plan 050329_Copy of Wrigley - 05 budget&amp;calendar R1 050428-vl_CA Masterflow June 15a_Category Template AC'11 @Cst Fx 52W vs 53W_P&amp;L KFE" xfId="4035"/>
    <cellStyle name="_Extra media plan 050329_Copy of Wrigley - 05 budget&amp;calendar R1 050428-vl_CA Masterflow June 15a_Category Template AC'11 @Cst Fx 52W vs 53W_Sheet3" xfId="4036"/>
    <cellStyle name="_Extra media plan 050329_Copy of Wrigley - 05 budget&amp;calendar R1 050428-vl_CA Masterflow June 15a_P&amp;L KFE" xfId="4037"/>
    <cellStyle name="_Extra media plan 050329_Copy of Wrigley - 05 budget&amp;calendar R1 050428-vl_CA Masterflow June 15a_Sheet3" xfId="4038"/>
    <cellStyle name="_Extra media plan 050329_Copy of Wrigley - 05 budget&amp;calendar R1 050428-vl_CA Masterflow June 15a_Wrigley - 05 budget&amp;calendar LE 050728 (25I)" xfId="4039"/>
    <cellStyle name="_Extra media plan 050329_Copy of Wrigley - 05 budget&amp;calendar R1 050428-vl_CA Masterflow June 15a_Wrigley - 05 budget&amp;calendar LE 050728 (25I) 2" xfId="4040"/>
    <cellStyle name="_Extra media plan 050329_Copy of Wrigley - 05 budget&amp;calendar R1 050428-vl_CA Masterflow June 15a_Wrigley - 05 budget&amp;calendar LE 050728 (25I)_Category Template AC'11 @Cst Fx 52W vs 53W" xfId="4041"/>
    <cellStyle name="_Extra media plan 050329_Copy of Wrigley - 05 budget&amp;calendar R1 050428-vl_CA Masterflow June 15a_Wrigley - 05 budget&amp;calendar LE 050728 (25I)_Category Template AC'11 @Cst Fx 52W vs 53W 2" xfId="4042"/>
    <cellStyle name="_Extra media plan 050329_Copy of Wrigley - 05 budget&amp;calendar R1 050428-vl_CA Masterflow June 15a_Wrigley - 05 budget&amp;calendar LE 050728 (25I)_Category Template AC'11 @Cst Fx 52W vs 53W_P&amp;L KFE" xfId="4043"/>
    <cellStyle name="_Extra media plan 050329_Copy of Wrigley - 05 budget&amp;calendar R1 050428-vl_CA Masterflow June 15a_Wrigley - 05 budget&amp;calendar LE 050728 (25I)_Category Template AC'11 @Cst Fx 52W vs 53W_Sheet3" xfId="4044"/>
    <cellStyle name="_Extra media plan 050329_Copy of Wrigley - 05 budget&amp;calendar R1 050428-vl_CA Masterflow June 15a_Wrigley - 05 budget&amp;calendar LE 050728 (25I)_P&amp;L KFE" xfId="4045"/>
    <cellStyle name="_Extra media plan 050329_Copy of Wrigley - 05 budget&amp;calendar R1 050428-vl_CA Masterflow June 15a_Wrigley - 05 budget&amp;calendar LE 050728 (25I)_Sheet3" xfId="4046"/>
    <cellStyle name="_Extra media plan 050329_Copy of Wrigley - 05 budget&amp;calendar R1 050428-vl_CA Masterflow June 15a_Wrigley - 05 budget&amp;calendar LE 050728 (25I)_Wrigley - 06 simple chart Sep 14" xfId="4047"/>
    <cellStyle name="_Extra media plan 050329_Copy of Wrigley - 05 budget&amp;calendar R1 050428-vl_CA Masterflow June 15a_Wrigley - 05 budget&amp;calendar LE 050728 (25I)_Wrigley - 06 simple chart Sep 14 2" xfId="4048"/>
    <cellStyle name="_Extra media plan 050329_Copy of Wrigley - 05 budget&amp;calendar R1 050428-vl_CA Masterflow June 15a_Wrigley - 05 budget&amp;calendar LE 050728 (25I)_Wrigley - 06 simple chart Sep 14_Category Template AC'11 @Cst Fx 52W vs 53W" xfId="4049"/>
    <cellStyle name="_Extra media plan 050329_Copy of Wrigley - 05 budget&amp;calendar R1 050428-vl_CA Masterflow June 15a_Wrigley - 05 budget&amp;calendar LE 050728 (25I)_Wrigley - 06 simple chart Sep 14_Category Template AC'11 @Cst Fx 52W vs 53W 2" xfId="4050"/>
    <cellStyle name="_Extra media plan 050329_Copy of Wrigley - 05 budget&amp;calendar R1 050428-vl_CA Masterflow June 15a_Wrigley - 05 budget&amp;calendar LE 050728 (25I)_Wrigley - 06 simple chart Sep 14_Category Template AC'11 @Cst Fx 52W vs 53W_P&amp;L KFE" xfId="4051"/>
    <cellStyle name="_Extra media plan 050329_Copy of Wrigley - 05 budget&amp;calendar R1 050428-vl_CA Masterflow June 15a_Wrigley - 05 budget&amp;calendar LE 050728 (25I)_Wrigley - 06 simple chart Sep 14_Category Template AC'11 @Cst Fx 52W vs 53W_Sheet3" xfId="4052"/>
    <cellStyle name="_Extra media plan 050329_Copy of Wrigley - 05 budget&amp;calendar R1 050428-vl_CA Masterflow June 15a_Wrigley - 05 budget&amp;calendar LE 050728 (25I)_Wrigley - 06 simple chart Sep 14_P&amp;L KFE" xfId="4053"/>
    <cellStyle name="_Extra media plan 050329_Copy of Wrigley - 05 budget&amp;calendar R1 050428-vl_CA Masterflow June 15a_Wrigley - 05 budget&amp;calendar LE 050728 (25I)_Wrigley - 06 simple chart Sep 14_Sheet3" xfId="4054"/>
    <cellStyle name="_Extra media plan 050329_Copy of Wrigley - 05 budget&amp;calendar R1 050428-vl_CA Masterflow June 15a_Wrigley - 05 budget&amp;calendar LE 050824 (25F)" xfId="4055"/>
    <cellStyle name="_Extra media plan 050329_Copy of Wrigley - 05 budget&amp;calendar R1 050428-vl_CA Masterflow June 15a_Wrigley - 05 budget&amp;calendar LE 050824 (25F) 2" xfId="4056"/>
    <cellStyle name="_Extra media plan 050329_Copy of Wrigley - 05 budget&amp;calendar R1 050428-vl_CA Masterflow June 15a_Wrigley - 05 budget&amp;calendar LE 050824 (25F)_Category Template AC'11 @Cst Fx 52W vs 53W" xfId="4057"/>
    <cellStyle name="_Extra media plan 050329_Copy of Wrigley - 05 budget&amp;calendar R1 050428-vl_CA Masterflow June 15a_Wrigley - 05 budget&amp;calendar LE 050824 (25F)_Category Template AC'11 @Cst Fx 52W vs 53W 2" xfId="4058"/>
    <cellStyle name="_Extra media plan 050329_Copy of Wrigley - 05 budget&amp;calendar R1 050428-vl_CA Masterflow June 15a_Wrigley - 05 budget&amp;calendar LE 050824 (25F)_Category Template AC'11 @Cst Fx 52W vs 53W_P&amp;L KFE" xfId="4059"/>
    <cellStyle name="_Extra media plan 050329_Copy of Wrigley - 05 budget&amp;calendar R1 050428-vl_CA Masterflow June 15a_Wrigley - 05 budget&amp;calendar LE 050824 (25F)_Category Template AC'11 @Cst Fx 52W vs 53W_Sheet3" xfId="4060"/>
    <cellStyle name="_Extra media plan 050329_Copy of Wrigley - 05 budget&amp;calendar R1 050428-vl_CA Masterflow June 15a_Wrigley - 05 budget&amp;calendar LE 050824 (25F)_P&amp;L KFE" xfId="4061"/>
    <cellStyle name="_Extra media plan 050329_Copy of Wrigley - 05 budget&amp;calendar R1 050428-vl_CA Masterflow June 15a_Wrigley - 05 budget&amp;calendar LE 050824 (25F)_Sheet3" xfId="4062"/>
    <cellStyle name="_Extra media plan 050329_Copy of Wrigley - 05 budget&amp;calendar R1 050428-vl_CA Masterflow June 15a_Wrigley - 05 budget&amp;calendar LE 050824 (25F)_Wrigley - 06 simple chart Sep 14" xfId="4063"/>
    <cellStyle name="_Extra media plan 050329_Copy of Wrigley - 05 budget&amp;calendar R1 050428-vl_CA Masterflow June 15a_Wrigley - 05 budget&amp;calendar LE 050824 (25F)_Wrigley - 06 simple chart Sep 14 2" xfId="4064"/>
    <cellStyle name="_Extra media plan 050329_Copy of Wrigley - 05 budget&amp;calendar R1 050428-vl_CA Masterflow June 15a_Wrigley - 05 budget&amp;calendar LE 050824 (25F)_Wrigley - 06 simple chart Sep 14_Category Template AC'11 @Cst Fx 52W vs 53W" xfId="4065"/>
    <cellStyle name="_Extra media plan 050329_Copy of Wrigley - 05 budget&amp;calendar R1 050428-vl_CA Masterflow June 15a_Wrigley - 05 budget&amp;calendar LE 050824 (25F)_Wrigley - 06 simple chart Sep 14_Category Template AC'11 @Cst Fx 52W vs 53W 2" xfId="4066"/>
    <cellStyle name="_Extra media plan 050329_Copy of Wrigley - 05 budget&amp;calendar R1 050428-vl_CA Masterflow June 15a_Wrigley - 05 budget&amp;calendar LE 050824 (25F)_Wrigley - 06 simple chart Sep 14_Category Template AC'11 @Cst Fx 52W vs 53W_P&amp;L KFE" xfId="4067"/>
    <cellStyle name="_Extra media plan 050329_Copy of Wrigley - 05 budget&amp;calendar R1 050428-vl_CA Masterflow June 15a_Wrigley - 05 budget&amp;calendar LE 050824 (25F)_Wrigley - 06 simple chart Sep 14_Category Template AC'11 @Cst Fx 52W vs 53W_Sheet3" xfId="4068"/>
    <cellStyle name="_Extra media plan 050329_Copy of Wrigley - 05 budget&amp;calendar R1 050428-vl_CA Masterflow June 15a_Wrigley - 05 budget&amp;calendar LE 050824 (25F)_Wrigley - 06 simple chart Sep 14_P&amp;L KFE" xfId="4069"/>
    <cellStyle name="_Extra media plan 050329_Copy of Wrigley - 05 budget&amp;calendar R1 050428-vl_CA Masterflow June 15a_Wrigley - 05 budget&amp;calendar LE 050824 (25F)_Wrigley - 06 simple chart Sep 14_Sheet3" xfId="4070"/>
    <cellStyle name="_Extra media plan 050329_Copy of Wrigley - 05 budget&amp;calendar R1 050428-vl_CA Masterflow June 15a_Wrigley - 05 budget&amp;calendar LE 050824 (25I)" xfId="4071"/>
    <cellStyle name="_Extra media plan 050329_Copy of Wrigley - 05 budget&amp;calendar R1 050428-vl_CA Masterflow June 15a_Wrigley - 05 budget&amp;calendar LE 050824 (25I) 2" xfId="4072"/>
    <cellStyle name="_Extra media plan 050329_Copy of Wrigley - 05 budget&amp;calendar R1 050428-vl_CA Masterflow June 15a_Wrigley - 05 budget&amp;calendar LE 050824 (25I)_Category Template AC'11 @Cst Fx 52W vs 53W" xfId="4073"/>
    <cellStyle name="_Extra media plan 050329_Copy of Wrigley - 05 budget&amp;calendar R1 050428-vl_CA Masterflow June 15a_Wrigley - 05 budget&amp;calendar LE 050824 (25I)_Category Template AC'11 @Cst Fx 52W vs 53W 2" xfId="4074"/>
    <cellStyle name="_Extra media plan 050329_Copy of Wrigley - 05 budget&amp;calendar R1 050428-vl_CA Masterflow June 15a_Wrigley - 05 budget&amp;calendar LE 050824 (25I)_Category Template AC'11 @Cst Fx 52W vs 53W_P&amp;L KFE" xfId="4075"/>
    <cellStyle name="_Extra media plan 050329_Copy of Wrigley - 05 budget&amp;calendar R1 050428-vl_CA Masterflow June 15a_Wrigley - 05 budget&amp;calendar LE 050824 (25I)_Category Template AC'11 @Cst Fx 52W vs 53W_Sheet3" xfId="4076"/>
    <cellStyle name="_Extra media plan 050329_Copy of Wrigley - 05 budget&amp;calendar R1 050428-vl_CA Masterflow June 15a_Wrigley - 05 budget&amp;calendar LE 050824 (25I)_P&amp;L KFE" xfId="4077"/>
    <cellStyle name="_Extra media plan 050329_Copy of Wrigley - 05 budget&amp;calendar R1 050428-vl_CA Masterflow June 15a_Wrigley - 05 budget&amp;calendar LE 050824 (25I)_Sheet3" xfId="4078"/>
    <cellStyle name="_Extra media plan 050329_Copy of Wrigley - 05 budget&amp;calendar R1 050428-vl_CA Masterflow June 15a_Wrigley - 05 budget&amp;calendar LE 050824 (25I)_Wrigley - 06 simple chart Sep 14" xfId="4079"/>
    <cellStyle name="_Extra media plan 050329_Copy of Wrigley - 05 budget&amp;calendar R1 050428-vl_CA Masterflow June 15a_Wrigley - 05 budget&amp;calendar LE 050824 (25I)_Wrigley - 06 simple chart Sep 14 2" xfId="4080"/>
    <cellStyle name="_Extra media plan 050329_Copy of Wrigley - 05 budget&amp;calendar R1 050428-vl_CA Masterflow June 15a_Wrigley - 05 budget&amp;calendar LE 050824 (25I)_Wrigley - 06 simple chart Sep 14_Category Template AC'11 @Cst Fx 52W vs 53W" xfId="4081"/>
    <cellStyle name="_Extra media plan 050329_Copy of Wrigley - 05 budget&amp;calendar R1 050428-vl_CA Masterflow June 15a_Wrigley - 05 budget&amp;calendar LE 050824 (25I)_Wrigley - 06 simple chart Sep 14_Category Template AC'11 @Cst Fx 52W vs 53W 2" xfId="4082"/>
    <cellStyle name="_Extra media plan 050329_Copy of Wrigley - 05 budget&amp;calendar R1 050428-vl_CA Masterflow June 15a_Wrigley - 05 budget&amp;calendar LE 050824 (25I)_Wrigley - 06 simple chart Sep 14_Category Template AC'11 @Cst Fx 52W vs 53W_P&amp;L KFE" xfId="4083"/>
    <cellStyle name="_Extra media plan 050329_Copy of Wrigley - 05 budget&amp;calendar R1 050428-vl_CA Masterflow June 15a_Wrigley - 05 budget&amp;calendar LE 050824 (25I)_Wrigley - 06 simple chart Sep 14_Category Template AC'11 @Cst Fx 52W vs 53W_Sheet3" xfId="4084"/>
    <cellStyle name="_Extra media plan 050329_Copy of Wrigley - 05 budget&amp;calendar R1 050428-vl_CA Masterflow June 15a_Wrigley - 05 budget&amp;calendar LE 050824 (25I)_Wrigley - 06 simple chart Sep 14_P&amp;L KFE" xfId="4085"/>
    <cellStyle name="_Extra media plan 050329_Copy of Wrigley - 05 budget&amp;calendar R1 050428-vl_CA Masterflow June 15a_Wrigley - 05 budget&amp;calendar LE 050824 (25I)_Wrigley - 06 simple chart Sep 14_Sheet3" xfId="4086"/>
    <cellStyle name="_Extra media plan 050329_Copy of Wrigley - 05 budget&amp;calendar R1 050428-vl_CA Masterflow June 15a_Wrigley - 06 simple chart Sep 14" xfId="4087"/>
    <cellStyle name="_Extra media plan 050329_Copy of Wrigley - 05 budget&amp;calendar R1 050428-vl_CA Masterflow June 15a_Wrigley - 06 simple chart Sep 14 2" xfId="4088"/>
    <cellStyle name="_Extra media plan 050329_Copy of Wrigley - 05 budget&amp;calendar R1 050428-vl_CA Masterflow June 15a_Wrigley - 06 simple chart Sep 14_Category Template AC'11 @Cst Fx 52W vs 53W" xfId="4089"/>
    <cellStyle name="_Extra media plan 050329_Copy of Wrigley - 05 budget&amp;calendar R1 050428-vl_CA Masterflow June 15a_Wrigley - 06 simple chart Sep 14_Category Template AC'11 @Cst Fx 52W vs 53W 2" xfId="4090"/>
    <cellStyle name="_Extra media plan 050329_Copy of Wrigley - 05 budget&amp;calendar R1 050428-vl_CA Masterflow June 15a_Wrigley - 06 simple chart Sep 14_Category Template AC'11 @Cst Fx 52W vs 53W_P&amp;L KFE" xfId="4091"/>
    <cellStyle name="_Extra media plan 050329_Copy of Wrigley - 05 budget&amp;calendar R1 050428-vl_CA Masterflow June 15a_Wrigley - 06 simple chart Sep 14_Category Template AC'11 @Cst Fx 52W vs 53W_Sheet3" xfId="4092"/>
    <cellStyle name="_Extra media plan 050329_Copy of Wrigley - 05 budget&amp;calendar R1 050428-vl_CA Masterflow June 15a_Wrigley - 06 simple chart Sep 14_P&amp;L KFE" xfId="4093"/>
    <cellStyle name="_Extra media plan 050329_Copy of Wrigley - 05 budget&amp;calendar R1 050428-vl_CA Masterflow June 15a_Wrigley - 06 simple chart Sep 14_Sheet3" xfId="4094"/>
    <cellStyle name="_Extra media plan 050329_Copy of Wrigley - 05 budget&amp;calendar R1 050428-vl_Category Template AC'11 @Cst Fx 52W vs 53W" xfId="4095"/>
    <cellStyle name="_Extra media plan 050329_Copy of Wrigley - 05 budget&amp;calendar R1 050428-vl_Category Template AC'11 @Cst Fx 52W vs 53W 2" xfId="4096"/>
    <cellStyle name="_Extra media plan 050329_Copy of Wrigley - 05 budget&amp;calendar R1 050428-vl_Category Template AC'11 @Cst Fx 52W vs 53W_P&amp;L KFE" xfId="4097"/>
    <cellStyle name="_Extra media plan 050329_Copy of Wrigley - 05 budget&amp;calendar R1 050428-vl_Category Template AC'11 @Cst Fx 52W vs 53W_Sheet3" xfId="4098"/>
    <cellStyle name="_Extra media plan 050329_Copy of Wrigley - 05 budget&amp;calendar R1 050428-vl_CG Masterflow June 15a" xfId="4099"/>
    <cellStyle name="_Extra media plan 050329_Copy of Wrigley - 05 budget&amp;calendar R1 050428-vl_CG Masterflow June 15a 2" xfId="4100"/>
    <cellStyle name="_Extra media plan 050329_Copy of Wrigley - 05 budget&amp;calendar R1 050428-vl_CG Masterflow June 15a_Book5" xfId="4101"/>
    <cellStyle name="_Extra media plan 050329_Copy of Wrigley - 05 budget&amp;calendar R1 050428-vl_CG Masterflow June 15a_Book5 2" xfId="4102"/>
    <cellStyle name="_Extra media plan 050329_Copy of Wrigley - 05 budget&amp;calendar R1 050428-vl_CG Masterflow June 15a_Book5_Category Template AC'11 @Cst Fx 52W vs 53W" xfId="4103"/>
    <cellStyle name="_Extra media plan 050329_Copy of Wrigley - 05 budget&amp;calendar R1 050428-vl_CG Masterflow June 15a_Book5_Category Template AC'11 @Cst Fx 52W vs 53W 2" xfId="4104"/>
    <cellStyle name="_Extra media plan 050329_Copy of Wrigley - 05 budget&amp;calendar R1 050428-vl_CG Masterflow June 15a_Book5_Category Template AC'11 @Cst Fx 52W vs 53W_P&amp;L KFE" xfId="4105"/>
    <cellStyle name="_Extra media plan 050329_Copy of Wrigley - 05 budget&amp;calendar R1 050428-vl_CG Masterflow June 15a_Book5_Category Template AC'11 @Cst Fx 52W vs 53W_Sheet3" xfId="4106"/>
    <cellStyle name="_Extra media plan 050329_Copy of Wrigley - 05 budget&amp;calendar R1 050428-vl_CG Masterflow June 15a_Book5_P&amp;L KFE" xfId="4107"/>
    <cellStyle name="_Extra media plan 050329_Copy of Wrigley - 05 budget&amp;calendar R1 050428-vl_CG Masterflow June 15a_Book5_Sheet3" xfId="4108"/>
    <cellStyle name="_Extra media plan 050329_Copy of Wrigley - 05 budget&amp;calendar R1 050428-vl_CG Masterflow June 15a_Category Template AC'11 @Cst Fx 52W vs 53W" xfId="4109"/>
    <cellStyle name="_Extra media plan 050329_Copy of Wrigley - 05 budget&amp;calendar R1 050428-vl_CG Masterflow June 15a_Category Template AC'11 @Cst Fx 52W vs 53W 2" xfId="4110"/>
    <cellStyle name="_Extra media plan 050329_Copy of Wrigley - 05 budget&amp;calendar R1 050428-vl_CG Masterflow June 15a_Category Template AC'11 @Cst Fx 52W vs 53W_P&amp;L KFE" xfId="4111"/>
    <cellStyle name="_Extra media plan 050329_Copy of Wrigley - 05 budget&amp;calendar R1 050428-vl_CG Masterflow June 15a_Category Template AC'11 @Cst Fx 52W vs 53W_Sheet3" xfId="4112"/>
    <cellStyle name="_Extra media plan 050329_Copy of Wrigley - 05 budget&amp;calendar R1 050428-vl_CG Masterflow June 15a_P&amp;L KFE" xfId="4113"/>
    <cellStyle name="_Extra media plan 050329_Copy of Wrigley - 05 budget&amp;calendar R1 050428-vl_CG Masterflow June 15a_Sheet3" xfId="4114"/>
    <cellStyle name="_Extra media plan 050329_Copy of Wrigley - 05 budget&amp;calendar R1 050428-vl_CG Masterflow June 15a_Wrigley - 05 budget&amp;calendar LE 050728 (25I)" xfId="4115"/>
    <cellStyle name="_Extra media plan 050329_Copy of Wrigley - 05 budget&amp;calendar R1 050428-vl_CG Masterflow June 15a_Wrigley - 05 budget&amp;calendar LE 050728 (25I) 2" xfId="4116"/>
    <cellStyle name="_Extra media plan 050329_Copy of Wrigley - 05 budget&amp;calendar R1 050428-vl_CG Masterflow June 15a_Wrigley - 05 budget&amp;calendar LE 050728 (25I)_Category Template AC'11 @Cst Fx 52W vs 53W" xfId="4117"/>
    <cellStyle name="_Extra media plan 050329_Copy of Wrigley - 05 budget&amp;calendar R1 050428-vl_CG Masterflow June 15a_Wrigley - 05 budget&amp;calendar LE 050728 (25I)_Category Template AC'11 @Cst Fx 52W vs 53W 2" xfId="4118"/>
    <cellStyle name="_Extra media plan 050329_Copy of Wrigley - 05 budget&amp;calendar R1 050428-vl_CG Masterflow June 15a_Wrigley - 05 budget&amp;calendar LE 050728 (25I)_Category Template AC'11 @Cst Fx 52W vs 53W_P&amp;L KFE" xfId="4119"/>
    <cellStyle name="_Extra media plan 050329_Copy of Wrigley - 05 budget&amp;calendar R1 050428-vl_CG Masterflow June 15a_Wrigley - 05 budget&amp;calendar LE 050728 (25I)_Category Template AC'11 @Cst Fx 52W vs 53W_Sheet3" xfId="4120"/>
    <cellStyle name="_Extra media plan 050329_Copy of Wrigley - 05 budget&amp;calendar R1 050428-vl_CG Masterflow June 15a_Wrigley - 05 budget&amp;calendar LE 050728 (25I)_P&amp;L KFE" xfId="4121"/>
    <cellStyle name="_Extra media plan 050329_Copy of Wrigley - 05 budget&amp;calendar R1 050428-vl_CG Masterflow June 15a_Wrigley - 05 budget&amp;calendar LE 050728 (25I)_Sheet3" xfId="4122"/>
    <cellStyle name="_Extra media plan 050329_Copy of Wrigley - 05 budget&amp;calendar R1 050428-vl_CG Masterflow June 15a_Wrigley - 05 budget&amp;calendar LE 050728 (25I)_Wrigley - 06 simple chart Sep 14" xfId="4123"/>
    <cellStyle name="_Extra media plan 050329_Copy of Wrigley - 05 budget&amp;calendar R1 050428-vl_CG Masterflow June 15a_Wrigley - 05 budget&amp;calendar LE 050728 (25I)_Wrigley - 06 simple chart Sep 14 2" xfId="4124"/>
    <cellStyle name="_Extra media plan 050329_Copy of Wrigley - 05 budget&amp;calendar R1 050428-vl_CG Masterflow June 15a_Wrigley - 05 budget&amp;calendar LE 050728 (25I)_Wrigley - 06 simple chart Sep 14_Category Template AC'11 @Cst Fx 52W vs 53W" xfId="4125"/>
    <cellStyle name="_Extra media plan 050329_Copy of Wrigley - 05 budget&amp;calendar R1 050428-vl_CG Masterflow June 15a_Wrigley - 05 budget&amp;calendar LE 050728 (25I)_Wrigley - 06 simple chart Sep 14_Category Template AC'11 @Cst Fx 52W vs 53W 2" xfId="4126"/>
    <cellStyle name="_Extra media plan 050329_Copy of Wrigley - 05 budget&amp;calendar R1 050428-vl_CG Masterflow June 15a_Wrigley - 05 budget&amp;calendar LE 050728 (25I)_Wrigley - 06 simple chart Sep 14_Category Template AC'11 @Cst Fx 52W vs 53W_P&amp;L KFE" xfId="4127"/>
    <cellStyle name="_Extra media plan 050329_Copy of Wrigley - 05 budget&amp;calendar R1 050428-vl_CG Masterflow June 15a_Wrigley - 05 budget&amp;calendar LE 050728 (25I)_Wrigley - 06 simple chart Sep 14_Category Template AC'11 @Cst Fx 52W vs 53W_Sheet3" xfId="4128"/>
    <cellStyle name="_Extra media plan 050329_Copy of Wrigley - 05 budget&amp;calendar R1 050428-vl_CG Masterflow June 15a_Wrigley - 05 budget&amp;calendar LE 050728 (25I)_Wrigley - 06 simple chart Sep 14_P&amp;L KFE" xfId="4129"/>
    <cellStyle name="_Extra media plan 050329_Copy of Wrigley - 05 budget&amp;calendar R1 050428-vl_CG Masterflow June 15a_Wrigley - 05 budget&amp;calendar LE 050728 (25I)_Wrigley - 06 simple chart Sep 14_Sheet3" xfId="4130"/>
    <cellStyle name="_Extra media plan 050329_Copy of Wrigley - 05 budget&amp;calendar R1 050428-vl_CG Masterflow June 15a_Wrigley - 05 budget&amp;calendar LE 050824 (25F)" xfId="4131"/>
    <cellStyle name="_Extra media plan 050329_Copy of Wrigley - 05 budget&amp;calendar R1 050428-vl_CG Masterflow June 15a_Wrigley - 05 budget&amp;calendar LE 050824 (25F) 2" xfId="4132"/>
    <cellStyle name="_Extra media plan 050329_Copy of Wrigley - 05 budget&amp;calendar R1 050428-vl_CG Masterflow June 15a_Wrigley - 05 budget&amp;calendar LE 050824 (25F)_Category Template AC'11 @Cst Fx 52W vs 53W" xfId="4133"/>
    <cellStyle name="_Extra media plan 050329_Copy of Wrigley - 05 budget&amp;calendar R1 050428-vl_CG Masterflow June 15a_Wrigley - 05 budget&amp;calendar LE 050824 (25F)_Category Template AC'11 @Cst Fx 52W vs 53W 2" xfId="4134"/>
    <cellStyle name="_Extra media plan 050329_Copy of Wrigley - 05 budget&amp;calendar R1 050428-vl_CG Masterflow June 15a_Wrigley - 05 budget&amp;calendar LE 050824 (25F)_Category Template AC'11 @Cst Fx 52W vs 53W_P&amp;L KFE" xfId="4135"/>
    <cellStyle name="_Extra media plan 050329_Copy of Wrigley - 05 budget&amp;calendar R1 050428-vl_CG Masterflow June 15a_Wrigley - 05 budget&amp;calendar LE 050824 (25F)_Category Template AC'11 @Cst Fx 52W vs 53W_Sheet3" xfId="4136"/>
    <cellStyle name="_Extra media plan 050329_Copy of Wrigley - 05 budget&amp;calendar R1 050428-vl_CG Masterflow June 15a_Wrigley - 05 budget&amp;calendar LE 050824 (25F)_P&amp;L KFE" xfId="4137"/>
    <cellStyle name="_Extra media plan 050329_Copy of Wrigley - 05 budget&amp;calendar R1 050428-vl_CG Masterflow June 15a_Wrigley - 05 budget&amp;calendar LE 050824 (25F)_Sheet3" xfId="4138"/>
    <cellStyle name="_Extra media plan 050329_Copy of Wrigley - 05 budget&amp;calendar R1 050428-vl_CG Masterflow June 15a_Wrigley - 05 budget&amp;calendar LE 050824 (25F)_Wrigley - 06 simple chart Sep 14" xfId="4139"/>
    <cellStyle name="_Extra media plan 050329_Copy of Wrigley - 05 budget&amp;calendar R1 050428-vl_CG Masterflow June 15a_Wrigley - 05 budget&amp;calendar LE 050824 (25F)_Wrigley - 06 simple chart Sep 14 2" xfId="4140"/>
    <cellStyle name="_Extra media plan 050329_Copy of Wrigley - 05 budget&amp;calendar R1 050428-vl_CG Masterflow June 15a_Wrigley - 05 budget&amp;calendar LE 050824 (25F)_Wrigley - 06 simple chart Sep 14_Category Template AC'11 @Cst Fx 52W vs 53W" xfId="4141"/>
    <cellStyle name="_Extra media plan 050329_Copy of Wrigley - 05 budget&amp;calendar R1 050428-vl_CG Masterflow June 15a_Wrigley - 05 budget&amp;calendar LE 050824 (25F)_Wrigley - 06 simple chart Sep 14_Category Template AC'11 @Cst Fx 52W vs 53W 2" xfId="4142"/>
    <cellStyle name="_Extra media plan 050329_Copy of Wrigley - 05 budget&amp;calendar R1 050428-vl_CG Masterflow June 15a_Wrigley - 05 budget&amp;calendar LE 050824 (25F)_Wrigley - 06 simple chart Sep 14_Category Template AC'11 @Cst Fx 52W vs 53W_P&amp;L KFE" xfId="4143"/>
    <cellStyle name="_Extra media plan 050329_Copy of Wrigley - 05 budget&amp;calendar R1 050428-vl_CG Masterflow June 15a_Wrigley - 05 budget&amp;calendar LE 050824 (25F)_Wrigley - 06 simple chart Sep 14_Category Template AC'11 @Cst Fx 52W vs 53W_Sheet3" xfId="4144"/>
    <cellStyle name="_Extra media plan 050329_Copy of Wrigley - 05 budget&amp;calendar R1 050428-vl_CG Masterflow June 15a_Wrigley - 05 budget&amp;calendar LE 050824 (25F)_Wrigley - 06 simple chart Sep 14_P&amp;L KFE" xfId="4145"/>
    <cellStyle name="_Extra media plan 050329_Copy of Wrigley - 05 budget&amp;calendar R1 050428-vl_CG Masterflow June 15a_Wrigley - 05 budget&amp;calendar LE 050824 (25F)_Wrigley - 06 simple chart Sep 14_Sheet3" xfId="4146"/>
    <cellStyle name="_Extra media plan 050329_Copy of Wrigley - 05 budget&amp;calendar R1 050428-vl_CG Masterflow June 15a_Wrigley - 05 budget&amp;calendar LE 050824 (25I)" xfId="4147"/>
    <cellStyle name="_Extra media plan 050329_Copy of Wrigley - 05 budget&amp;calendar R1 050428-vl_CG Masterflow June 15a_Wrigley - 05 budget&amp;calendar LE 050824 (25I) 2" xfId="4148"/>
    <cellStyle name="_Extra media plan 050329_Copy of Wrigley - 05 budget&amp;calendar R1 050428-vl_CG Masterflow June 15a_Wrigley - 05 budget&amp;calendar LE 050824 (25I)_Category Template AC'11 @Cst Fx 52W vs 53W" xfId="4149"/>
    <cellStyle name="_Extra media plan 050329_Copy of Wrigley - 05 budget&amp;calendar R1 050428-vl_CG Masterflow June 15a_Wrigley - 05 budget&amp;calendar LE 050824 (25I)_Category Template AC'11 @Cst Fx 52W vs 53W 2" xfId="4150"/>
    <cellStyle name="_Extra media plan 050329_Copy of Wrigley - 05 budget&amp;calendar R1 050428-vl_CG Masterflow June 15a_Wrigley - 05 budget&amp;calendar LE 050824 (25I)_Category Template AC'11 @Cst Fx 52W vs 53W_P&amp;L KFE" xfId="4151"/>
    <cellStyle name="_Extra media plan 050329_Copy of Wrigley - 05 budget&amp;calendar R1 050428-vl_CG Masterflow June 15a_Wrigley - 05 budget&amp;calendar LE 050824 (25I)_Category Template AC'11 @Cst Fx 52W vs 53W_Sheet3" xfId="4152"/>
    <cellStyle name="_Extra media plan 050329_Copy of Wrigley - 05 budget&amp;calendar R1 050428-vl_CG Masterflow June 15a_Wrigley - 05 budget&amp;calendar LE 050824 (25I)_P&amp;L KFE" xfId="4153"/>
    <cellStyle name="_Extra media plan 050329_Copy of Wrigley - 05 budget&amp;calendar R1 050428-vl_CG Masterflow June 15a_Wrigley - 05 budget&amp;calendar LE 050824 (25I)_Sheet3" xfId="4154"/>
    <cellStyle name="_Extra media plan 050329_Copy of Wrigley - 05 budget&amp;calendar R1 050428-vl_CG Masterflow June 15a_Wrigley - 05 budget&amp;calendar LE 050824 (25I)_Wrigley - 06 simple chart Sep 14" xfId="4155"/>
    <cellStyle name="_Extra media plan 050329_Copy of Wrigley - 05 budget&amp;calendar R1 050428-vl_CG Masterflow June 15a_Wrigley - 05 budget&amp;calendar LE 050824 (25I)_Wrigley - 06 simple chart Sep 14 2" xfId="4156"/>
    <cellStyle name="_Extra media plan 050329_Copy of Wrigley - 05 budget&amp;calendar R1 050428-vl_CG Masterflow June 15a_Wrigley - 05 budget&amp;calendar LE 050824 (25I)_Wrigley - 06 simple chart Sep 14_Category Template AC'11 @Cst Fx 52W vs 53W" xfId="4157"/>
    <cellStyle name="_Extra media plan 050329_Copy of Wrigley - 05 budget&amp;calendar R1 050428-vl_CG Masterflow June 15a_Wrigley - 05 budget&amp;calendar LE 050824 (25I)_Wrigley - 06 simple chart Sep 14_Category Template AC'11 @Cst Fx 52W vs 53W 2" xfId="4158"/>
    <cellStyle name="_Extra media plan 050329_Copy of Wrigley - 05 budget&amp;calendar R1 050428-vl_CG Masterflow June 15a_Wrigley - 05 budget&amp;calendar LE 050824 (25I)_Wrigley - 06 simple chart Sep 14_Category Template AC'11 @Cst Fx 52W vs 53W_P&amp;L KFE" xfId="4159"/>
    <cellStyle name="_Extra media plan 050329_Copy of Wrigley - 05 budget&amp;calendar R1 050428-vl_CG Masterflow June 15a_Wrigley - 05 budget&amp;calendar LE 050824 (25I)_Wrigley - 06 simple chart Sep 14_Category Template AC'11 @Cst Fx 52W vs 53W_Sheet3" xfId="4160"/>
    <cellStyle name="_Extra media plan 050329_Copy of Wrigley - 05 budget&amp;calendar R1 050428-vl_CG Masterflow June 15a_Wrigley - 05 budget&amp;calendar LE 050824 (25I)_Wrigley - 06 simple chart Sep 14_P&amp;L KFE" xfId="4161"/>
    <cellStyle name="_Extra media plan 050329_Copy of Wrigley - 05 budget&amp;calendar R1 050428-vl_CG Masterflow June 15a_Wrigley - 05 budget&amp;calendar LE 050824 (25I)_Wrigley - 06 simple chart Sep 14_Sheet3" xfId="4162"/>
    <cellStyle name="_Extra media plan 050329_Copy of Wrigley - 05 budget&amp;calendar R1 050428-vl_CG Masterflow June 15a_Wrigley - 06 simple chart Sep 14" xfId="4163"/>
    <cellStyle name="_Extra media plan 050329_Copy of Wrigley - 05 budget&amp;calendar R1 050428-vl_CG Masterflow June 15a_Wrigley - 06 simple chart Sep 14 2" xfId="4164"/>
    <cellStyle name="_Extra media plan 050329_Copy of Wrigley - 05 budget&amp;calendar R1 050428-vl_CG Masterflow June 15a_Wrigley - 06 simple chart Sep 14_Category Template AC'11 @Cst Fx 52W vs 53W" xfId="4165"/>
    <cellStyle name="_Extra media plan 050329_Copy of Wrigley - 05 budget&amp;calendar R1 050428-vl_CG Masterflow June 15a_Wrigley - 06 simple chart Sep 14_Category Template AC'11 @Cst Fx 52W vs 53W 2" xfId="4166"/>
    <cellStyle name="_Extra media plan 050329_Copy of Wrigley - 05 budget&amp;calendar R1 050428-vl_CG Masterflow June 15a_Wrigley - 06 simple chart Sep 14_Category Template AC'11 @Cst Fx 52W vs 53W_P&amp;L KFE" xfId="4167"/>
    <cellStyle name="_Extra media plan 050329_Copy of Wrigley - 05 budget&amp;calendar R1 050428-vl_CG Masterflow June 15a_Wrigley - 06 simple chart Sep 14_Category Template AC'11 @Cst Fx 52W vs 53W_Sheet3" xfId="4168"/>
    <cellStyle name="_Extra media plan 050329_Copy of Wrigley - 05 budget&amp;calendar R1 050428-vl_CG Masterflow June 15a_Wrigley - 06 simple chart Sep 14_P&amp;L KFE" xfId="4169"/>
    <cellStyle name="_Extra media plan 050329_Copy of Wrigley - 05 budget&amp;calendar R1 050428-vl_CG Masterflow June 15a_Wrigley - 06 simple chart Sep 14_Sheet3" xfId="4170"/>
    <cellStyle name="_Extra media plan 050329_Copy of Wrigley - 05 budget&amp;calendar R1 050428-vl_Copy of DM Masterflow - Jun 15a" xfId="4171"/>
    <cellStyle name="_Extra media plan 050329_Copy of Wrigley - 05 budget&amp;calendar R1 050428-vl_Copy of DM Masterflow - Jun 15a 2" xfId="4172"/>
    <cellStyle name="_Extra media plan 050329_Copy of Wrigley - 05 budget&amp;calendar R1 050428-vl_Copy of DM Masterflow - Jun 15a_Book5" xfId="4173"/>
    <cellStyle name="_Extra media plan 050329_Copy of Wrigley - 05 budget&amp;calendar R1 050428-vl_Copy of DM Masterflow - Jun 15a_Book5 2" xfId="4174"/>
    <cellStyle name="_Extra media plan 050329_Copy of Wrigley - 05 budget&amp;calendar R1 050428-vl_Copy of DM Masterflow - Jun 15a_Book5_Category Template AC'11 @Cst Fx 52W vs 53W" xfId="4175"/>
    <cellStyle name="_Extra media plan 050329_Copy of Wrigley - 05 budget&amp;calendar R1 050428-vl_Copy of DM Masterflow - Jun 15a_Book5_Category Template AC'11 @Cst Fx 52W vs 53W 2" xfId="4176"/>
    <cellStyle name="_Extra media plan 050329_Copy of Wrigley - 05 budget&amp;calendar R1 050428-vl_Copy of DM Masterflow - Jun 15a_Book5_Category Template AC'11 @Cst Fx 52W vs 53W_P&amp;L KFE" xfId="4177"/>
    <cellStyle name="_Extra media plan 050329_Copy of Wrigley - 05 budget&amp;calendar R1 050428-vl_Copy of DM Masterflow - Jun 15a_Book5_Category Template AC'11 @Cst Fx 52W vs 53W_Sheet3" xfId="4178"/>
    <cellStyle name="_Extra media plan 050329_Copy of Wrigley - 05 budget&amp;calendar R1 050428-vl_Copy of DM Masterflow - Jun 15a_Book5_P&amp;L KFE" xfId="4179"/>
    <cellStyle name="_Extra media plan 050329_Copy of Wrigley - 05 budget&amp;calendar R1 050428-vl_Copy of DM Masterflow - Jun 15a_Book5_Sheet3" xfId="4180"/>
    <cellStyle name="_Extra media plan 050329_Copy of Wrigley - 05 budget&amp;calendar R1 050428-vl_Copy of DM Masterflow - Jun 15a_Category Template AC'11 @Cst Fx 52W vs 53W" xfId="4181"/>
    <cellStyle name="_Extra media plan 050329_Copy of Wrigley - 05 budget&amp;calendar R1 050428-vl_Copy of DM Masterflow - Jun 15a_Category Template AC'11 @Cst Fx 52W vs 53W 2" xfId="4182"/>
    <cellStyle name="_Extra media plan 050329_Copy of Wrigley - 05 budget&amp;calendar R1 050428-vl_Copy of DM Masterflow - Jun 15a_Category Template AC'11 @Cst Fx 52W vs 53W_P&amp;L KFE" xfId="4183"/>
    <cellStyle name="_Extra media plan 050329_Copy of Wrigley - 05 budget&amp;calendar R1 050428-vl_Copy of DM Masterflow - Jun 15a_Category Template AC'11 @Cst Fx 52W vs 53W_Sheet3" xfId="4184"/>
    <cellStyle name="_Extra media plan 050329_Copy of Wrigley - 05 budget&amp;calendar R1 050428-vl_Copy of DM Masterflow - Jun 15a_P&amp;L KFE" xfId="4185"/>
    <cellStyle name="_Extra media plan 050329_Copy of Wrigley - 05 budget&amp;calendar R1 050428-vl_Copy of DM Masterflow - Jun 15a_Sheet3" xfId="4186"/>
    <cellStyle name="_Extra media plan 050329_Copy of Wrigley - 05 budget&amp;calendar R1 050428-vl_Copy of DM Masterflow - Jun 15a_Wrigley - 05 budget&amp;calendar LE 050728 (25I)" xfId="4187"/>
    <cellStyle name="_Extra media plan 050329_Copy of Wrigley - 05 budget&amp;calendar R1 050428-vl_Copy of DM Masterflow - Jun 15a_Wrigley - 05 budget&amp;calendar LE 050728 (25I) 2" xfId="4188"/>
    <cellStyle name="_Extra media plan 050329_Copy of Wrigley - 05 budget&amp;calendar R1 050428-vl_Copy of DM Masterflow - Jun 15a_Wrigley - 05 budget&amp;calendar LE 050728 (25I)_Category Template AC'11 @Cst Fx 52W vs 53W" xfId="4189"/>
    <cellStyle name="_Extra media plan 050329_Copy of Wrigley - 05 budget&amp;calendar R1 050428-vl_Copy of DM Masterflow - Jun 15a_Wrigley - 05 budget&amp;calendar LE 050728 (25I)_Category Template AC'11 @Cst Fx 52W vs 53W 2" xfId="4190"/>
    <cellStyle name="_Extra media plan 050329_Copy of Wrigley - 05 budget&amp;calendar R1 050428-vl_Copy of DM Masterflow - Jun 15a_Wrigley - 05 budget&amp;calendar LE 050728 (25I)_Category Template AC'11 @Cst Fx 52W vs 53W_P&amp;L KFE" xfId="4191"/>
    <cellStyle name="_Extra media plan 050329_Copy of Wrigley - 05 budget&amp;calendar R1 050428-vl_Copy of DM Masterflow - Jun 15a_Wrigley - 05 budget&amp;calendar LE 050728 (25I)_Category Template AC'11 @Cst Fx 52W vs 53W_Sheet3" xfId="4192"/>
    <cellStyle name="_Extra media plan 050329_Copy of Wrigley - 05 budget&amp;calendar R1 050428-vl_Copy of DM Masterflow - Jun 15a_Wrigley - 05 budget&amp;calendar LE 050728 (25I)_P&amp;L KFE" xfId="4193"/>
    <cellStyle name="_Extra media plan 050329_Copy of Wrigley - 05 budget&amp;calendar R1 050428-vl_Copy of DM Masterflow - Jun 15a_Wrigley - 05 budget&amp;calendar LE 050728 (25I)_Sheet3" xfId="4194"/>
    <cellStyle name="_Extra media plan 050329_Copy of Wrigley - 05 budget&amp;calendar R1 050428-vl_Copy of DM Masterflow - Jun 15a_Wrigley - 05 budget&amp;calendar LE 050728 (25I)_Wrigley - 06 simple chart Sep 14" xfId="4195"/>
    <cellStyle name="_Extra media plan 050329_Copy of Wrigley - 05 budget&amp;calendar R1 050428-vl_Copy of DM Masterflow - Jun 15a_Wrigley - 05 budget&amp;calendar LE 050728 (25I)_Wrigley - 06 simple chart Sep 14 2" xfId="4196"/>
    <cellStyle name="_Extra media plan 050329_Copy of Wrigley - 05 budget&amp;calendar R1 050428-vl_Copy of DM Masterflow - Jun 15a_Wrigley - 05 budget&amp;calendar LE 050728 (25I)_Wrigley - 06 simple chart Sep 14_Category Template AC'11 @Cst Fx 52W vs 53W" xfId="4197"/>
    <cellStyle name="_Extra media plan 050329_Copy of Wrigley - 05 budget&amp;calendar R1 050428-vl_Copy of DM Masterflow - Jun 15a_Wrigley - 05 budget&amp;calendar LE 050728 (25I)_Wrigley - 06 simple chart Sep 14_Category Template AC'11 @Cst Fx 52W vs 53W 2" xfId="4198"/>
    <cellStyle name="_Extra media plan 050329_Copy of Wrigley - 05 budget&amp;calendar R1 050428-vl_Copy of DM Masterflow - Jun 15a_Wrigley - 05 budget&amp;calendar LE 050728 (25I)_Wrigley - 06 simple chart Sep 14_Category Template AC'11 @Cst Fx 52W vs 53W_P&amp;L KFE" xfId="4199"/>
    <cellStyle name="_Extra media plan 050329_Copy of Wrigley - 05 budget&amp;calendar R1 050428-vl_Copy of DM Masterflow - Jun 15a_Wrigley - 05 budget&amp;calendar LE 050728 (25I)_Wrigley - 06 simple chart Sep 14_Category Template AC'11 @Cst Fx 52W vs 53W_Sheet3" xfId="4200"/>
    <cellStyle name="_Extra media plan 050329_Copy of Wrigley - 05 budget&amp;calendar R1 050428-vl_Copy of DM Masterflow - Jun 15a_Wrigley - 05 budget&amp;calendar LE 050728 (25I)_Wrigley - 06 simple chart Sep 14_P&amp;L KFE" xfId="4201"/>
    <cellStyle name="_Extra media plan 050329_Copy of Wrigley - 05 budget&amp;calendar R1 050428-vl_Copy of DM Masterflow - Jun 15a_Wrigley - 05 budget&amp;calendar LE 050728 (25I)_Wrigley - 06 simple chart Sep 14_Sheet3" xfId="4202"/>
    <cellStyle name="_Extra media plan 050329_Copy of Wrigley - 05 budget&amp;calendar R1 050428-vl_Copy of DM Masterflow - Jun 15a_Wrigley - 05 budget&amp;calendar LE 050824 (25F)" xfId="4203"/>
    <cellStyle name="_Extra media plan 050329_Copy of Wrigley - 05 budget&amp;calendar R1 050428-vl_Copy of DM Masterflow - Jun 15a_Wrigley - 05 budget&amp;calendar LE 050824 (25F) 2" xfId="4204"/>
    <cellStyle name="_Extra media plan 050329_Copy of Wrigley - 05 budget&amp;calendar R1 050428-vl_Copy of DM Masterflow - Jun 15a_Wrigley - 05 budget&amp;calendar LE 050824 (25F)_Category Template AC'11 @Cst Fx 52W vs 53W" xfId="4205"/>
    <cellStyle name="_Extra media plan 050329_Copy of Wrigley - 05 budget&amp;calendar R1 050428-vl_Copy of DM Masterflow - Jun 15a_Wrigley - 05 budget&amp;calendar LE 050824 (25F)_Category Template AC'11 @Cst Fx 52W vs 53W 2" xfId="4206"/>
    <cellStyle name="_Extra media plan 050329_Copy of Wrigley - 05 budget&amp;calendar R1 050428-vl_Copy of DM Masterflow - Jun 15a_Wrigley - 05 budget&amp;calendar LE 050824 (25F)_Category Template AC'11 @Cst Fx 52W vs 53W_P&amp;L KFE" xfId="4207"/>
    <cellStyle name="_Extra media plan 050329_Copy of Wrigley - 05 budget&amp;calendar R1 050428-vl_Copy of DM Masterflow - Jun 15a_Wrigley - 05 budget&amp;calendar LE 050824 (25F)_Category Template AC'11 @Cst Fx 52W vs 53W_Sheet3" xfId="4208"/>
    <cellStyle name="_Extra media plan 050329_Copy of Wrigley - 05 budget&amp;calendar R1 050428-vl_Copy of DM Masterflow - Jun 15a_Wrigley - 05 budget&amp;calendar LE 050824 (25F)_P&amp;L KFE" xfId="4209"/>
    <cellStyle name="_Extra media plan 050329_Copy of Wrigley - 05 budget&amp;calendar R1 050428-vl_Copy of DM Masterflow - Jun 15a_Wrigley - 05 budget&amp;calendar LE 050824 (25F)_Sheet3" xfId="4210"/>
    <cellStyle name="_Extra media plan 050329_Copy of Wrigley - 05 budget&amp;calendar R1 050428-vl_Copy of DM Masterflow - Jun 15a_Wrigley - 05 budget&amp;calendar LE 050824 (25F)_Wrigley - 06 simple chart Sep 14" xfId="4211"/>
    <cellStyle name="_Extra media plan 050329_Copy of Wrigley - 05 budget&amp;calendar R1 050428-vl_Copy of DM Masterflow - Jun 15a_Wrigley - 05 budget&amp;calendar LE 050824 (25F)_Wrigley - 06 simple chart Sep 14 2" xfId="4212"/>
    <cellStyle name="_Extra media plan 050329_Copy of Wrigley - 05 budget&amp;calendar R1 050428-vl_Copy of DM Masterflow - Jun 15a_Wrigley - 05 budget&amp;calendar LE 050824 (25F)_Wrigley - 06 simple chart Sep 14_Category Template AC'11 @Cst Fx 52W vs 53W" xfId="4213"/>
    <cellStyle name="_Extra media plan 050329_Copy of Wrigley - 05 budget&amp;calendar R1 050428-vl_Copy of DM Masterflow - Jun 15a_Wrigley - 05 budget&amp;calendar LE 050824 (25F)_Wrigley - 06 simple chart Sep 14_Category Template AC'11 @Cst Fx 52W vs 53W 2" xfId="4214"/>
    <cellStyle name="_Extra media plan 050329_Copy of Wrigley - 05 budget&amp;calendar R1 050428-vl_Copy of DM Masterflow - Jun 15a_Wrigley - 05 budget&amp;calendar LE 050824 (25F)_Wrigley - 06 simple chart Sep 14_Category Template AC'11 @Cst Fx 52W vs 53W_P&amp;L KFE" xfId="4215"/>
    <cellStyle name="_Extra media plan 050329_Copy of Wrigley - 05 budget&amp;calendar R1 050428-vl_Copy of DM Masterflow - Jun 15a_Wrigley - 05 budget&amp;calendar LE 050824 (25F)_Wrigley - 06 simple chart Sep 14_Category Template AC'11 @Cst Fx 52W vs 53W_Sheet3" xfId="4216"/>
    <cellStyle name="_Extra media plan 050329_Copy of Wrigley - 05 budget&amp;calendar R1 050428-vl_Copy of DM Masterflow - Jun 15a_Wrigley - 05 budget&amp;calendar LE 050824 (25F)_Wrigley - 06 simple chart Sep 14_P&amp;L KFE" xfId="4217"/>
    <cellStyle name="_Extra media plan 050329_Copy of Wrigley - 05 budget&amp;calendar R1 050428-vl_Copy of DM Masterflow - Jun 15a_Wrigley - 05 budget&amp;calendar LE 050824 (25F)_Wrigley - 06 simple chart Sep 14_Sheet3" xfId="4218"/>
    <cellStyle name="_Extra media plan 050329_Copy of Wrigley - 05 budget&amp;calendar R1 050428-vl_Copy of DM Masterflow - Jun 15a_Wrigley - 05 budget&amp;calendar LE 050824 (25I)" xfId="4219"/>
    <cellStyle name="_Extra media plan 050329_Copy of Wrigley - 05 budget&amp;calendar R1 050428-vl_Copy of DM Masterflow - Jun 15a_Wrigley - 05 budget&amp;calendar LE 050824 (25I) 2" xfId="4220"/>
    <cellStyle name="_Extra media plan 050329_Copy of Wrigley - 05 budget&amp;calendar R1 050428-vl_Copy of DM Masterflow - Jun 15a_Wrigley - 05 budget&amp;calendar LE 050824 (25I)_Category Template AC'11 @Cst Fx 52W vs 53W" xfId="4221"/>
    <cellStyle name="_Extra media plan 050329_Copy of Wrigley - 05 budget&amp;calendar R1 050428-vl_Copy of DM Masterflow - Jun 15a_Wrigley - 05 budget&amp;calendar LE 050824 (25I)_Category Template AC'11 @Cst Fx 52W vs 53W 2" xfId="4222"/>
    <cellStyle name="_Extra media plan 050329_Copy of Wrigley - 05 budget&amp;calendar R1 050428-vl_Copy of DM Masterflow - Jun 15a_Wrigley - 05 budget&amp;calendar LE 050824 (25I)_Category Template AC'11 @Cst Fx 52W vs 53W_P&amp;L KFE" xfId="4223"/>
    <cellStyle name="_Extra media plan 050329_Copy of Wrigley - 05 budget&amp;calendar R1 050428-vl_Copy of DM Masterflow - Jun 15a_Wrigley - 05 budget&amp;calendar LE 050824 (25I)_Category Template AC'11 @Cst Fx 52W vs 53W_Sheet3" xfId="4224"/>
    <cellStyle name="_Extra media plan 050329_Copy of Wrigley - 05 budget&amp;calendar R1 050428-vl_Copy of DM Masterflow - Jun 15a_Wrigley - 05 budget&amp;calendar LE 050824 (25I)_P&amp;L KFE" xfId="4225"/>
    <cellStyle name="_Extra media plan 050329_Copy of Wrigley - 05 budget&amp;calendar R1 050428-vl_Copy of DM Masterflow - Jun 15a_Wrigley - 05 budget&amp;calendar LE 050824 (25I)_Sheet3" xfId="4226"/>
    <cellStyle name="_Extra media plan 050329_Copy of Wrigley - 05 budget&amp;calendar R1 050428-vl_Copy of DM Masterflow - Jun 15a_Wrigley - 05 budget&amp;calendar LE 050824 (25I)_Wrigley - 06 simple chart Sep 14" xfId="4227"/>
    <cellStyle name="_Extra media plan 050329_Copy of Wrigley - 05 budget&amp;calendar R1 050428-vl_Copy of DM Masterflow - Jun 15a_Wrigley - 05 budget&amp;calendar LE 050824 (25I)_Wrigley - 06 simple chart Sep 14 2" xfId="4228"/>
    <cellStyle name="_Extra media plan 050329_Copy of Wrigley - 05 budget&amp;calendar R1 050428-vl_Copy of DM Masterflow - Jun 15a_Wrigley - 05 budget&amp;calendar LE 050824 (25I)_Wrigley - 06 simple chart Sep 14_Category Template AC'11 @Cst Fx 52W vs 53W" xfId="4229"/>
    <cellStyle name="_Extra media plan 050329_Copy of Wrigley - 05 budget&amp;calendar R1 050428-vl_Copy of DM Masterflow - Jun 15a_Wrigley - 05 budget&amp;calendar LE 050824 (25I)_Wrigley - 06 simple chart Sep 14_Category Template AC'11 @Cst Fx 52W vs 53W 2" xfId="4230"/>
    <cellStyle name="_Extra media plan 050329_Copy of Wrigley - 05 budget&amp;calendar R1 050428-vl_Copy of DM Masterflow - Jun 15a_Wrigley - 05 budget&amp;calendar LE 050824 (25I)_Wrigley - 06 simple chart Sep 14_Category Template AC'11 @Cst Fx 52W vs 53W_P&amp;L KFE" xfId="4231"/>
    <cellStyle name="_Extra media plan 050329_Copy of Wrigley - 05 budget&amp;calendar R1 050428-vl_Copy of DM Masterflow - Jun 15a_Wrigley - 05 budget&amp;calendar LE 050824 (25I)_Wrigley - 06 simple chart Sep 14_Category Template AC'11 @Cst Fx 52W vs 53W_Sheet3" xfId="4232"/>
    <cellStyle name="_Extra media plan 050329_Copy of Wrigley - 05 budget&amp;calendar R1 050428-vl_Copy of DM Masterflow - Jun 15a_Wrigley - 05 budget&amp;calendar LE 050824 (25I)_Wrigley - 06 simple chart Sep 14_P&amp;L KFE" xfId="4233"/>
    <cellStyle name="_Extra media plan 050329_Copy of Wrigley - 05 budget&amp;calendar R1 050428-vl_Copy of DM Masterflow - Jun 15a_Wrigley - 05 budget&amp;calendar LE 050824 (25I)_Wrigley - 06 simple chart Sep 14_Sheet3" xfId="4234"/>
    <cellStyle name="_Extra media plan 050329_Copy of Wrigley - 05 budget&amp;calendar R1 050428-vl_Copy of DM Masterflow - Jun 15a_Wrigley - 06 simple chart Sep 14" xfId="4235"/>
    <cellStyle name="_Extra media plan 050329_Copy of Wrigley - 05 budget&amp;calendar R1 050428-vl_Copy of DM Masterflow - Jun 15a_Wrigley - 06 simple chart Sep 14 2" xfId="4236"/>
    <cellStyle name="_Extra media plan 050329_Copy of Wrigley - 05 budget&amp;calendar R1 050428-vl_Copy of DM Masterflow - Jun 15a_Wrigley - 06 simple chart Sep 14_Category Template AC'11 @Cst Fx 52W vs 53W" xfId="4237"/>
    <cellStyle name="_Extra media plan 050329_Copy of Wrigley - 05 budget&amp;calendar R1 050428-vl_Copy of DM Masterflow - Jun 15a_Wrigley - 06 simple chart Sep 14_Category Template AC'11 @Cst Fx 52W vs 53W 2" xfId="4238"/>
    <cellStyle name="_Extra media plan 050329_Copy of Wrigley - 05 budget&amp;calendar R1 050428-vl_Copy of DM Masterflow - Jun 15a_Wrigley - 06 simple chart Sep 14_Category Template AC'11 @Cst Fx 52W vs 53W_P&amp;L KFE" xfId="4239"/>
    <cellStyle name="_Extra media plan 050329_Copy of Wrigley - 05 budget&amp;calendar R1 050428-vl_Copy of DM Masterflow - Jun 15a_Wrigley - 06 simple chart Sep 14_Category Template AC'11 @Cst Fx 52W vs 53W_Sheet3" xfId="4240"/>
    <cellStyle name="_Extra media plan 050329_Copy of Wrigley - 05 budget&amp;calendar R1 050428-vl_Copy of DM Masterflow - Jun 15a_Wrigley - 06 simple chart Sep 14_P&amp;L KFE" xfId="4241"/>
    <cellStyle name="_Extra media plan 050329_Copy of Wrigley - 05 budget&amp;calendar R1 050428-vl_Copy of DM Masterflow - Jun 15a_Wrigley - 06 simple chart Sep 14_Sheet3" xfId="4242"/>
    <cellStyle name="_Extra media plan 050329_Copy of Wrigley - 05 budget&amp;calendar R1 050428-vl_Copy of TR Masterflow June 15-a" xfId="4243"/>
    <cellStyle name="_Extra media plan 050329_Copy of Wrigley - 05 budget&amp;calendar R1 050428-vl_Copy of TR Masterflow June 15-a 2" xfId="4244"/>
    <cellStyle name="_Extra media plan 050329_Copy of Wrigley - 05 budget&amp;calendar R1 050428-vl_Copy of TR Masterflow June 15-a_Book5" xfId="4245"/>
    <cellStyle name="_Extra media plan 050329_Copy of Wrigley - 05 budget&amp;calendar R1 050428-vl_Copy of TR Masterflow June 15-a_Book5 2" xfId="4246"/>
    <cellStyle name="_Extra media plan 050329_Copy of Wrigley - 05 budget&amp;calendar R1 050428-vl_Copy of TR Masterflow June 15-a_Book5_Category Template AC'11 @Cst Fx 52W vs 53W" xfId="4247"/>
    <cellStyle name="_Extra media plan 050329_Copy of Wrigley - 05 budget&amp;calendar R1 050428-vl_Copy of TR Masterflow June 15-a_Book5_Category Template AC'11 @Cst Fx 52W vs 53W 2" xfId="4248"/>
    <cellStyle name="_Extra media plan 050329_Copy of Wrigley - 05 budget&amp;calendar R1 050428-vl_Copy of TR Masterflow June 15-a_Book5_Category Template AC'11 @Cst Fx 52W vs 53W_P&amp;L KFE" xfId="4249"/>
    <cellStyle name="_Extra media plan 050329_Copy of Wrigley - 05 budget&amp;calendar R1 050428-vl_Copy of TR Masterflow June 15-a_Book5_Category Template AC'11 @Cst Fx 52W vs 53W_Sheet3" xfId="4250"/>
    <cellStyle name="_Extra media plan 050329_Copy of Wrigley - 05 budget&amp;calendar R1 050428-vl_Copy of TR Masterflow June 15-a_Book5_P&amp;L KFE" xfId="4251"/>
    <cellStyle name="_Extra media plan 050329_Copy of Wrigley - 05 budget&amp;calendar R1 050428-vl_Copy of TR Masterflow June 15-a_Book5_Sheet3" xfId="4252"/>
    <cellStyle name="_Extra media plan 050329_Copy of Wrigley - 05 budget&amp;calendar R1 050428-vl_Copy of TR Masterflow June 15-a_Category Template AC'11 @Cst Fx 52W vs 53W" xfId="4253"/>
    <cellStyle name="_Extra media plan 050329_Copy of Wrigley - 05 budget&amp;calendar R1 050428-vl_Copy of TR Masterflow June 15-a_Category Template AC'11 @Cst Fx 52W vs 53W 2" xfId="4254"/>
    <cellStyle name="_Extra media plan 050329_Copy of Wrigley - 05 budget&amp;calendar R1 050428-vl_Copy of TR Masterflow June 15-a_Category Template AC'11 @Cst Fx 52W vs 53W_P&amp;L KFE" xfId="4255"/>
    <cellStyle name="_Extra media plan 050329_Copy of Wrigley - 05 budget&amp;calendar R1 050428-vl_Copy of TR Masterflow June 15-a_Category Template AC'11 @Cst Fx 52W vs 53W_Sheet3" xfId="4256"/>
    <cellStyle name="_Extra media plan 050329_Copy of Wrigley - 05 budget&amp;calendar R1 050428-vl_Copy of TR Masterflow June 15-a_P&amp;L KFE" xfId="4257"/>
    <cellStyle name="_Extra media plan 050329_Copy of Wrigley - 05 budget&amp;calendar R1 050428-vl_Copy of TR Masterflow June 15-a_Sheet3" xfId="4258"/>
    <cellStyle name="_Extra media plan 050329_Copy of Wrigley - 05 budget&amp;calendar R1 050428-vl_Copy of TR Masterflow June 15-a_Wrigley - 05 budget&amp;calendar LE 050728 (25I)" xfId="4259"/>
    <cellStyle name="_Extra media plan 050329_Copy of Wrigley - 05 budget&amp;calendar R1 050428-vl_Copy of TR Masterflow June 15-a_Wrigley - 05 budget&amp;calendar LE 050728 (25I) 2" xfId="4260"/>
    <cellStyle name="_Extra media plan 050329_Copy of Wrigley - 05 budget&amp;calendar R1 050428-vl_Copy of TR Masterflow June 15-a_Wrigley - 05 budget&amp;calendar LE 050728 (25I)_Category Template AC'11 @Cst Fx 52W vs 53W" xfId="4261"/>
    <cellStyle name="_Extra media plan 050329_Copy of Wrigley - 05 budget&amp;calendar R1 050428-vl_Copy of TR Masterflow June 15-a_Wrigley - 05 budget&amp;calendar LE 050728 (25I)_Category Template AC'11 @Cst Fx 52W vs 53W 2" xfId="4262"/>
    <cellStyle name="_Extra media plan 050329_Copy of Wrigley - 05 budget&amp;calendar R1 050428-vl_Copy of TR Masterflow June 15-a_Wrigley - 05 budget&amp;calendar LE 050728 (25I)_Category Template AC'11 @Cst Fx 52W vs 53W_P&amp;L KFE" xfId="4263"/>
    <cellStyle name="_Extra media plan 050329_Copy of Wrigley - 05 budget&amp;calendar R1 050428-vl_Copy of TR Masterflow June 15-a_Wrigley - 05 budget&amp;calendar LE 050728 (25I)_Category Template AC'11 @Cst Fx 52W vs 53W_Sheet3" xfId="4264"/>
    <cellStyle name="_Extra media plan 050329_Copy of Wrigley - 05 budget&amp;calendar R1 050428-vl_Copy of TR Masterflow June 15-a_Wrigley - 05 budget&amp;calendar LE 050728 (25I)_P&amp;L KFE" xfId="4265"/>
    <cellStyle name="_Extra media plan 050329_Copy of Wrigley - 05 budget&amp;calendar R1 050428-vl_Copy of TR Masterflow June 15-a_Wrigley - 05 budget&amp;calendar LE 050728 (25I)_Sheet3" xfId="4266"/>
    <cellStyle name="_Extra media plan 050329_Copy of Wrigley - 05 budget&amp;calendar R1 050428-vl_Copy of TR Masterflow June 15-a_Wrigley - 05 budget&amp;calendar LE 050728 (25I)_Wrigley - 06 simple chart Sep 14" xfId="4267"/>
    <cellStyle name="_Extra media plan 050329_Copy of Wrigley - 05 budget&amp;calendar R1 050428-vl_Copy of TR Masterflow June 15-a_Wrigley - 05 budget&amp;calendar LE 050728 (25I)_Wrigley - 06 simple chart Sep 14 2" xfId="4268"/>
    <cellStyle name="_Extra media plan 050329_Copy of Wrigley - 05 budget&amp;calendar R1 050428-vl_Copy of TR Masterflow June 15-a_Wrigley - 05 budget&amp;calendar LE 050728 (25I)_Wrigley - 06 simple chart Sep 14_Category Template AC'11 @Cst Fx 52W vs 53W" xfId="4269"/>
    <cellStyle name="_Extra media plan 050329_Copy of Wrigley - 05 budget&amp;calendar R1 050428-vl_Copy of TR Masterflow June 15-a_Wrigley - 05 budget&amp;calendar LE 050728 (25I)_Wrigley - 06 simple chart Sep 14_Category Template AC'11 @Cst Fx 52W vs 53W 2" xfId="4270"/>
    <cellStyle name="_Extra media plan 050329_Copy of Wrigley - 05 budget&amp;calendar R1 050428-vl_Copy of TR Masterflow June 15-a_Wrigley - 05 budget&amp;calendar LE 050728 (25I)_Wrigley - 06 simple chart Sep 14_Category Template AC'11 @Cst Fx 52W vs 53W_P&amp;L KFE" xfId="4271"/>
    <cellStyle name="_Extra media plan 050329_Copy of Wrigley - 05 budget&amp;calendar R1 050428-vl_Copy of TR Masterflow June 15-a_Wrigley - 05 budget&amp;calendar LE 050728 (25I)_Wrigley - 06 simple chart Sep 14_Category Template AC'11 @Cst Fx 52W vs 53W_Sheet3" xfId="4272"/>
    <cellStyle name="_Extra media plan 050329_Copy of Wrigley - 05 budget&amp;calendar R1 050428-vl_Copy of TR Masterflow June 15-a_Wrigley - 05 budget&amp;calendar LE 050728 (25I)_Wrigley - 06 simple chart Sep 14_P&amp;L KFE" xfId="4273"/>
    <cellStyle name="_Extra media plan 050329_Copy of Wrigley - 05 budget&amp;calendar R1 050428-vl_Copy of TR Masterflow June 15-a_Wrigley - 05 budget&amp;calendar LE 050728 (25I)_Wrigley - 06 simple chart Sep 14_Sheet3" xfId="4274"/>
    <cellStyle name="_Extra media plan 050329_Copy of Wrigley - 05 budget&amp;calendar R1 050428-vl_Copy of TR Masterflow June 15-a_Wrigley - 05 budget&amp;calendar LE 050824 (25F)" xfId="4275"/>
    <cellStyle name="_Extra media plan 050329_Copy of Wrigley - 05 budget&amp;calendar R1 050428-vl_Copy of TR Masterflow June 15-a_Wrigley - 05 budget&amp;calendar LE 050824 (25F) 2" xfId="4276"/>
    <cellStyle name="_Extra media plan 050329_Copy of Wrigley - 05 budget&amp;calendar R1 050428-vl_Copy of TR Masterflow June 15-a_Wrigley - 05 budget&amp;calendar LE 050824 (25F)_Category Template AC'11 @Cst Fx 52W vs 53W" xfId="4277"/>
    <cellStyle name="_Extra media plan 050329_Copy of Wrigley - 05 budget&amp;calendar R1 050428-vl_Copy of TR Masterflow June 15-a_Wrigley - 05 budget&amp;calendar LE 050824 (25F)_Category Template AC'11 @Cst Fx 52W vs 53W 2" xfId="4278"/>
    <cellStyle name="_Extra media plan 050329_Copy of Wrigley - 05 budget&amp;calendar R1 050428-vl_Copy of TR Masterflow June 15-a_Wrigley - 05 budget&amp;calendar LE 050824 (25F)_Category Template AC'11 @Cst Fx 52W vs 53W_P&amp;L KFE" xfId="4279"/>
    <cellStyle name="_Extra media plan 050329_Copy of Wrigley - 05 budget&amp;calendar R1 050428-vl_Copy of TR Masterflow June 15-a_Wrigley - 05 budget&amp;calendar LE 050824 (25F)_Category Template AC'11 @Cst Fx 52W vs 53W_Sheet3" xfId="4280"/>
    <cellStyle name="_Extra media plan 050329_Copy of Wrigley - 05 budget&amp;calendar R1 050428-vl_Copy of TR Masterflow June 15-a_Wrigley - 05 budget&amp;calendar LE 050824 (25F)_P&amp;L KFE" xfId="4281"/>
    <cellStyle name="_Extra media plan 050329_Copy of Wrigley - 05 budget&amp;calendar R1 050428-vl_Copy of TR Masterflow June 15-a_Wrigley - 05 budget&amp;calendar LE 050824 (25F)_Sheet3" xfId="4282"/>
    <cellStyle name="_Extra media plan 050329_Copy of Wrigley - 05 budget&amp;calendar R1 050428-vl_Copy of TR Masterflow June 15-a_Wrigley - 05 budget&amp;calendar LE 050824 (25F)_Wrigley - 06 simple chart Sep 14" xfId="4283"/>
    <cellStyle name="_Extra media plan 050329_Copy of Wrigley - 05 budget&amp;calendar R1 050428-vl_Copy of TR Masterflow June 15-a_Wrigley - 05 budget&amp;calendar LE 050824 (25F)_Wrigley - 06 simple chart Sep 14 2" xfId="4284"/>
    <cellStyle name="_Extra media plan 050329_Copy of Wrigley - 05 budget&amp;calendar R1 050428-vl_Copy of TR Masterflow June 15-a_Wrigley - 05 budget&amp;calendar LE 050824 (25F)_Wrigley - 06 simple chart Sep 14_Category Template AC'11 @Cst Fx 52W vs 53W" xfId="4285"/>
    <cellStyle name="_Extra media plan 050329_Copy of Wrigley - 05 budget&amp;calendar R1 050428-vl_Copy of TR Masterflow June 15-a_Wrigley - 05 budget&amp;calendar LE 050824 (25F)_Wrigley - 06 simple chart Sep 14_Category Template AC'11 @Cst Fx 52W vs 53W 2" xfId="4286"/>
    <cellStyle name="_Extra media plan 050329_Copy of Wrigley - 05 budget&amp;calendar R1 050428-vl_Copy of TR Masterflow June 15-a_Wrigley - 05 budget&amp;calendar LE 050824 (25F)_Wrigley - 06 simple chart Sep 14_Category Template AC'11 @Cst Fx 52W vs 53W_P&amp;L KFE" xfId="4287"/>
    <cellStyle name="_Extra media plan 050329_Copy of Wrigley - 05 budget&amp;calendar R1 050428-vl_Copy of TR Masterflow June 15-a_Wrigley - 05 budget&amp;calendar LE 050824 (25F)_Wrigley - 06 simple chart Sep 14_Category Template AC'11 @Cst Fx 52W vs 53W_Sheet3" xfId="4288"/>
    <cellStyle name="_Extra media plan 050329_Copy of Wrigley - 05 budget&amp;calendar R1 050428-vl_Copy of TR Masterflow June 15-a_Wrigley - 05 budget&amp;calendar LE 050824 (25F)_Wrigley - 06 simple chart Sep 14_P&amp;L KFE" xfId="4289"/>
    <cellStyle name="_Extra media plan 050329_Copy of Wrigley - 05 budget&amp;calendar R1 050428-vl_Copy of TR Masterflow June 15-a_Wrigley - 05 budget&amp;calendar LE 050824 (25F)_Wrigley - 06 simple chart Sep 14_Sheet3" xfId="4290"/>
    <cellStyle name="_Extra media plan 050329_Copy of Wrigley - 05 budget&amp;calendar R1 050428-vl_Copy of TR Masterflow June 15-a_Wrigley - 05 budget&amp;calendar LE 050824 (25I)" xfId="4291"/>
    <cellStyle name="_Extra media plan 050329_Copy of Wrigley - 05 budget&amp;calendar R1 050428-vl_Copy of TR Masterflow June 15-a_Wrigley - 05 budget&amp;calendar LE 050824 (25I) 2" xfId="4292"/>
    <cellStyle name="_Extra media plan 050329_Copy of Wrigley - 05 budget&amp;calendar R1 050428-vl_Copy of TR Masterflow June 15-a_Wrigley - 05 budget&amp;calendar LE 050824 (25I)_Category Template AC'11 @Cst Fx 52W vs 53W" xfId="4293"/>
    <cellStyle name="_Extra media plan 050329_Copy of Wrigley - 05 budget&amp;calendar R1 050428-vl_Copy of TR Masterflow June 15-a_Wrigley - 05 budget&amp;calendar LE 050824 (25I)_Category Template AC'11 @Cst Fx 52W vs 53W 2" xfId="4294"/>
    <cellStyle name="_Extra media plan 050329_Copy of Wrigley - 05 budget&amp;calendar R1 050428-vl_Copy of TR Masterflow June 15-a_Wrigley - 05 budget&amp;calendar LE 050824 (25I)_Category Template AC'11 @Cst Fx 52W vs 53W_P&amp;L KFE" xfId="4295"/>
    <cellStyle name="_Extra media plan 050329_Copy of Wrigley - 05 budget&amp;calendar R1 050428-vl_Copy of TR Masterflow June 15-a_Wrigley - 05 budget&amp;calendar LE 050824 (25I)_Category Template AC'11 @Cst Fx 52W vs 53W_Sheet3" xfId="4296"/>
    <cellStyle name="_Extra media plan 050329_Copy of Wrigley - 05 budget&amp;calendar R1 050428-vl_Copy of TR Masterflow June 15-a_Wrigley - 05 budget&amp;calendar LE 050824 (25I)_P&amp;L KFE" xfId="4297"/>
    <cellStyle name="_Extra media plan 050329_Copy of Wrigley - 05 budget&amp;calendar R1 050428-vl_Copy of TR Masterflow June 15-a_Wrigley - 05 budget&amp;calendar LE 050824 (25I)_Sheet3" xfId="4298"/>
    <cellStyle name="_Extra media plan 050329_Copy of Wrigley - 05 budget&amp;calendar R1 050428-vl_Copy of TR Masterflow June 15-a_Wrigley - 05 budget&amp;calendar LE 050824 (25I)_Wrigley - 06 simple chart Sep 14" xfId="4299"/>
    <cellStyle name="_Extra media plan 050329_Copy of Wrigley - 05 budget&amp;calendar R1 050428-vl_Copy of TR Masterflow June 15-a_Wrigley - 05 budget&amp;calendar LE 050824 (25I)_Wrigley - 06 simple chart Sep 14 2" xfId="4300"/>
    <cellStyle name="_Extra media plan 050329_Copy of Wrigley - 05 budget&amp;calendar R1 050428-vl_Copy of TR Masterflow June 15-a_Wrigley - 05 budget&amp;calendar LE 050824 (25I)_Wrigley - 06 simple chart Sep 14_Category Template AC'11 @Cst Fx 52W vs 53W" xfId="4301"/>
    <cellStyle name="_Extra media plan 050329_Copy of Wrigley - 05 budget&amp;calendar R1 050428-vl_Copy of TR Masterflow June 15-a_Wrigley - 05 budget&amp;calendar LE 050824 (25I)_Wrigley - 06 simple chart Sep 14_Category Template AC'11 @Cst Fx 52W vs 53W 2" xfId="4302"/>
    <cellStyle name="_Extra media plan 050329_Copy of Wrigley - 05 budget&amp;calendar R1 050428-vl_Copy of TR Masterflow June 15-a_Wrigley - 05 budget&amp;calendar LE 050824 (25I)_Wrigley - 06 simple chart Sep 14_Category Template AC'11 @Cst Fx 52W vs 53W_P&amp;L KFE" xfId="4303"/>
    <cellStyle name="_Extra media plan 050329_Copy of Wrigley - 05 budget&amp;calendar R1 050428-vl_Copy of TR Masterflow June 15-a_Wrigley - 05 budget&amp;calendar LE 050824 (25I)_Wrigley - 06 simple chart Sep 14_Category Template AC'11 @Cst Fx 52W vs 53W_Sheet3" xfId="4304"/>
    <cellStyle name="_Extra media plan 050329_Copy of Wrigley - 05 budget&amp;calendar R1 050428-vl_Copy of TR Masterflow June 15-a_Wrigley - 05 budget&amp;calendar LE 050824 (25I)_Wrigley - 06 simple chart Sep 14_P&amp;L KFE" xfId="4305"/>
    <cellStyle name="_Extra media plan 050329_Copy of Wrigley - 05 budget&amp;calendar R1 050428-vl_Copy of TR Masterflow June 15-a_Wrigley - 05 budget&amp;calendar LE 050824 (25I)_Wrigley - 06 simple chart Sep 14_Sheet3" xfId="4306"/>
    <cellStyle name="_Extra media plan 050329_Copy of Wrigley - 05 budget&amp;calendar R1 050428-vl_Copy of TR Masterflow June 15-a_Wrigley - 06 simple chart Sep 14" xfId="4307"/>
    <cellStyle name="_Extra media plan 050329_Copy of Wrigley - 05 budget&amp;calendar R1 050428-vl_Copy of TR Masterflow June 15-a_Wrigley - 06 simple chart Sep 14 2" xfId="4308"/>
    <cellStyle name="_Extra media plan 050329_Copy of Wrigley - 05 budget&amp;calendar R1 050428-vl_Copy of TR Masterflow June 15-a_Wrigley - 06 simple chart Sep 14_Category Template AC'11 @Cst Fx 52W vs 53W" xfId="4309"/>
    <cellStyle name="_Extra media plan 050329_Copy of Wrigley - 05 budget&amp;calendar R1 050428-vl_Copy of TR Masterflow June 15-a_Wrigley - 06 simple chart Sep 14_Category Template AC'11 @Cst Fx 52W vs 53W 2" xfId="4310"/>
    <cellStyle name="_Extra media plan 050329_Copy of Wrigley - 05 budget&amp;calendar R1 050428-vl_Copy of TR Masterflow June 15-a_Wrigley - 06 simple chart Sep 14_Category Template AC'11 @Cst Fx 52W vs 53W_P&amp;L KFE" xfId="4311"/>
    <cellStyle name="_Extra media plan 050329_Copy of Wrigley - 05 budget&amp;calendar R1 050428-vl_Copy of TR Masterflow June 15-a_Wrigley - 06 simple chart Sep 14_Category Template AC'11 @Cst Fx 52W vs 53W_Sheet3" xfId="4312"/>
    <cellStyle name="_Extra media plan 050329_Copy of Wrigley - 05 budget&amp;calendar R1 050428-vl_Copy of TR Masterflow June 15-a_Wrigley - 06 simple chart Sep 14_P&amp;L KFE" xfId="4313"/>
    <cellStyle name="_Extra media plan 050329_Copy of Wrigley - 05 budget&amp;calendar R1 050428-vl_Copy of TR Masterflow June 15-a_Wrigley - 06 simple chart Sep 14_Sheet3" xfId="4314"/>
    <cellStyle name="_Extra media plan 050329_Copy of Wrigley - 05 budget&amp;calendar R1 050428-vl_EX Master Flowchart June 15a" xfId="4315"/>
    <cellStyle name="_Extra media plan 050329_Copy of Wrigley - 05 budget&amp;calendar R1 050428-vl_EX Master Flowchart June 15a 2" xfId="4316"/>
    <cellStyle name="_Extra media plan 050329_Copy of Wrigley - 05 budget&amp;calendar R1 050428-vl_EX Master Flowchart June 15a_Book5" xfId="4317"/>
    <cellStyle name="_Extra media plan 050329_Copy of Wrigley - 05 budget&amp;calendar R1 050428-vl_EX Master Flowchart June 15a_Book5 2" xfId="4318"/>
    <cellStyle name="_Extra media plan 050329_Copy of Wrigley - 05 budget&amp;calendar R1 050428-vl_EX Master Flowchart June 15a_Book5_Category Template AC'11 @Cst Fx 52W vs 53W" xfId="4319"/>
    <cellStyle name="_Extra media plan 050329_Copy of Wrigley - 05 budget&amp;calendar R1 050428-vl_EX Master Flowchart June 15a_Book5_Category Template AC'11 @Cst Fx 52W vs 53W 2" xfId="4320"/>
    <cellStyle name="_Extra media plan 050329_Copy of Wrigley - 05 budget&amp;calendar R1 050428-vl_EX Master Flowchart June 15a_Book5_Category Template AC'11 @Cst Fx 52W vs 53W_P&amp;L KFE" xfId="4321"/>
    <cellStyle name="_Extra media plan 050329_Copy of Wrigley - 05 budget&amp;calendar R1 050428-vl_EX Master Flowchart June 15a_Book5_Category Template AC'11 @Cst Fx 52W vs 53W_Sheet3" xfId="4322"/>
    <cellStyle name="_Extra media plan 050329_Copy of Wrigley - 05 budget&amp;calendar R1 050428-vl_EX Master Flowchart June 15a_Book5_P&amp;L KFE" xfId="4323"/>
    <cellStyle name="_Extra media plan 050329_Copy of Wrigley - 05 budget&amp;calendar R1 050428-vl_EX Master Flowchart June 15a_Book5_Sheet3" xfId="4324"/>
    <cellStyle name="_Extra media plan 050329_Copy of Wrigley - 05 budget&amp;calendar R1 050428-vl_EX Master Flowchart June 15a_Category Template AC'11 @Cst Fx 52W vs 53W" xfId="4325"/>
    <cellStyle name="_Extra media plan 050329_Copy of Wrigley - 05 budget&amp;calendar R1 050428-vl_EX Master Flowchart June 15a_Category Template AC'11 @Cst Fx 52W vs 53W 2" xfId="4326"/>
    <cellStyle name="_Extra media plan 050329_Copy of Wrigley - 05 budget&amp;calendar R1 050428-vl_EX Master Flowchart June 15a_Category Template AC'11 @Cst Fx 52W vs 53W_P&amp;L KFE" xfId="4327"/>
    <cellStyle name="_Extra media plan 050329_Copy of Wrigley - 05 budget&amp;calendar R1 050428-vl_EX Master Flowchart June 15a_Category Template AC'11 @Cst Fx 52W vs 53W_Sheet3" xfId="4328"/>
    <cellStyle name="_Extra media plan 050329_Copy of Wrigley - 05 budget&amp;calendar R1 050428-vl_EX Master Flowchart June 15a_P&amp;L KFE" xfId="4329"/>
    <cellStyle name="_Extra media plan 050329_Copy of Wrigley - 05 budget&amp;calendar R1 050428-vl_EX Master Flowchart June 15a_Sheet3" xfId="4330"/>
    <cellStyle name="_Extra media plan 050329_Copy of Wrigley - 05 budget&amp;calendar R1 050428-vl_EX Master Flowchart June 15a_Wrigley - 05 budget&amp;calendar LE 050728 (25I)" xfId="4331"/>
    <cellStyle name="_Extra media plan 050329_Copy of Wrigley - 05 budget&amp;calendar R1 050428-vl_EX Master Flowchart June 15a_Wrigley - 05 budget&amp;calendar LE 050728 (25I) 2" xfId="4332"/>
    <cellStyle name="_Extra media plan 050329_Copy of Wrigley - 05 budget&amp;calendar R1 050428-vl_EX Master Flowchart June 15a_Wrigley - 05 budget&amp;calendar LE 050728 (25I)_Category Template AC'11 @Cst Fx 52W vs 53W" xfId="4333"/>
    <cellStyle name="_Extra media plan 050329_Copy of Wrigley - 05 budget&amp;calendar R1 050428-vl_EX Master Flowchart June 15a_Wrigley - 05 budget&amp;calendar LE 050728 (25I)_Category Template AC'11 @Cst Fx 52W vs 53W 2" xfId="4334"/>
    <cellStyle name="_Extra media plan 050329_Copy of Wrigley - 05 budget&amp;calendar R1 050428-vl_EX Master Flowchart June 15a_Wrigley - 05 budget&amp;calendar LE 050728 (25I)_Category Template AC'11 @Cst Fx 52W vs 53W_P&amp;L KFE" xfId="4335"/>
    <cellStyle name="_Extra media plan 050329_Copy of Wrigley - 05 budget&amp;calendar R1 050428-vl_EX Master Flowchart June 15a_Wrigley - 05 budget&amp;calendar LE 050728 (25I)_Category Template AC'11 @Cst Fx 52W vs 53W_Sheet3" xfId="4336"/>
    <cellStyle name="_Extra media plan 050329_Copy of Wrigley - 05 budget&amp;calendar R1 050428-vl_EX Master Flowchart June 15a_Wrigley - 05 budget&amp;calendar LE 050728 (25I)_P&amp;L KFE" xfId="4337"/>
    <cellStyle name="_Extra media plan 050329_Copy of Wrigley - 05 budget&amp;calendar R1 050428-vl_EX Master Flowchart June 15a_Wrigley - 05 budget&amp;calendar LE 050728 (25I)_Sheet3" xfId="4338"/>
    <cellStyle name="_Extra media plan 050329_Copy of Wrigley - 05 budget&amp;calendar R1 050428-vl_EX Master Flowchart June 15a_Wrigley - 05 budget&amp;calendar LE 050728 (25I)_Wrigley - 06 simple chart Sep 14" xfId="4339"/>
    <cellStyle name="_Extra media plan 050329_Copy of Wrigley - 05 budget&amp;calendar R1 050428-vl_EX Master Flowchart June 15a_Wrigley - 05 budget&amp;calendar LE 050728 (25I)_Wrigley - 06 simple chart Sep 14 2" xfId="4340"/>
    <cellStyle name="_Extra media plan 050329_Copy of Wrigley - 05 budget&amp;calendar R1 050428-vl_EX Master Flowchart June 15a_Wrigley - 05 budget&amp;calendar LE 050728 (25I)_Wrigley - 06 simple chart Sep 14_Category Template AC'11 @Cst Fx 52W vs 53W" xfId="4341"/>
    <cellStyle name="_Extra media plan 050329_Copy of Wrigley - 05 budget&amp;calendar R1 050428-vl_EX Master Flowchart June 15a_Wrigley - 05 budget&amp;calendar LE 050728 (25I)_Wrigley - 06 simple chart Sep 14_Category Template AC'11 @Cst Fx 52W vs 53W 2" xfId="4342"/>
    <cellStyle name="_Extra media plan 050329_Copy of Wrigley - 05 budget&amp;calendar R1 050428-vl_EX Master Flowchart June 15a_Wrigley - 05 budget&amp;calendar LE 050728 (25I)_Wrigley - 06 simple chart Sep 14_Category Template AC'11 @Cst Fx 52W vs 53W_P&amp;L KFE" xfId="4343"/>
    <cellStyle name="_Extra media plan 050329_Copy of Wrigley - 05 budget&amp;calendar R1 050428-vl_EX Master Flowchart June 15a_Wrigley - 05 budget&amp;calendar LE 050728 (25I)_Wrigley - 06 simple chart Sep 14_Category Template AC'11 @Cst Fx 52W vs 53W_Sheet3" xfId="4344"/>
    <cellStyle name="_Extra media plan 050329_Copy of Wrigley - 05 budget&amp;calendar R1 050428-vl_EX Master Flowchart June 15a_Wrigley - 05 budget&amp;calendar LE 050728 (25I)_Wrigley - 06 simple chart Sep 14_P&amp;L KFE" xfId="4345"/>
    <cellStyle name="_Extra media plan 050329_Copy of Wrigley - 05 budget&amp;calendar R1 050428-vl_EX Master Flowchart June 15a_Wrigley - 05 budget&amp;calendar LE 050728 (25I)_Wrigley - 06 simple chart Sep 14_Sheet3" xfId="4346"/>
    <cellStyle name="_Extra media plan 050329_Copy of Wrigley - 05 budget&amp;calendar R1 050428-vl_EX Master Flowchart June 15a_Wrigley - 05 budget&amp;calendar LE 050824 (25F)" xfId="4347"/>
    <cellStyle name="_Extra media plan 050329_Copy of Wrigley - 05 budget&amp;calendar R1 050428-vl_EX Master Flowchart June 15a_Wrigley - 05 budget&amp;calendar LE 050824 (25F) 2" xfId="4348"/>
    <cellStyle name="_Extra media plan 050329_Copy of Wrigley - 05 budget&amp;calendar R1 050428-vl_EX Master Flowchart June 15a_Wrigley - 05 budget&amp;calendar LE 050824 (25F)_Category Template AC'11 @Cst Fx 52W vs 53W" xfId="4349"/>
    <cellStyle name="_Extra media plan 050329_Copy of Wrigley - 05 budget&amp;calendar R1 050428-vl_EX Master Flowchart June 15a_Wrigley - 05 budget&amp;calendar LE 050824 (25F)_Category Template AC'11 @Cst Fx 52W vs 53W 2" xfId="4350"/>
    <cellStyle name="_Extra media plan 050329_Copy of Wrigley - 05 budget&amp;calendar R1 050428-vl_EX Master Flowchart June 15a_Wrigley - 05 budget&amp;calendar LE 050824 (25F)_Category Template AC'11 @Cst Fx 52W vs 53W_P&amp;L KFE" xfId="4351"/>
    <cellStyle name="_Extra media plan 050329_Copy of Wrigley - 05 budget&amp;calendar R1 050428-vl_EX Master Flowchart June 15a_Wrigley - 05 budget&amp;calendar LE 050824 (25F)_Category Template AC'11 @Cst Fx 52W vs 53W_Sheet3" xfId="4352"/>
    <cellStyle name="_Extra media plan 050329_Copy of Wrigley - 05 budget&amp;calendar R1 050428-vl_EX Master Flowchart June 15a_Wrigley - 05 budget&amp;calendar LE 050824 (25F)_P&amp;L KFE" xfId="4353"/>
    <cellStyle name="_Extra media plan 050329_Copy of Wrigley - 05 budget&amp;calendar R1 050428-vl_EX Master Flowchart June 15a_Wrigley - 05 budget&amp;calendar LE 050824 (25F)_Sheet3" xfId="4354"/>
    <cellStyle name="_Extra media plan 050329_Copy of Wrigley - 05 budget&amp;calendar R1 050428-vl_EX Master Flowchart June 15a_Wrigley - 05 budget&amp;calendar LE 050824 (25F)_Wrigley - 06 simple chart Sep 14" xfId="4355"/>
    <cellStyle name="_Extra media plan 050329_Copy of Wrigley - 05 budget&amp;calendar R1 050428-vl_EX Master Flowchart June 15a_Wrigley - 05 budget&amp;calendar LE 050824 (25F)_Wrigley - 06 simple chart Sep 14 2" xfId="4356"/>
    <cellStyle name="_Extra media plan 050329_Copy of Wrigley - 05 budget&amp;calendar R1 050428-vl_EX Master Flowchart June 15a_Wrigley - 05 budget&amp;calendar LE 050824 (25F)_Wrigley - 06 simple chart Sep 14_Category Template AC'11 @Cst Fx 52W vs 53W" xfId="4357"/>
    <cellStyle name="_Extra media plan 050329_Copy of Wrigley - 05 budget&amp;calendar R1 050428-vl_EX Master Flowchart June 15a_Wrigley - 05 budget&amp;calendar LE 050824 (25F)_Wrigley - 06 simple chart Sep 14_Category Template AC'11 @Cst Fx 52W vs 53W 2" xfId="4358"/>
    <cellStyle name="_Extra media plan 050329_Copy of Wrigley - 05 budget&amp;calendar R1 050428-vl_EX Master Flowchart June 15a_Wrigley - 05 budget&amp;calendar LE 050824 (25F)_Wrigley - 06 simple chart Sep 14_Category Template AC'11 @Cst Fx 52W vs 53W_P&amp;L KFE" xfId="4359"/>
    <cellStyle name="_Extra media plan 050329_Copy of Wrigley - 05 budget&amp;calendar R1 050428-vl_EX Master Flowchart June 15a_Wrigley - 05 budget&amp;calendar LE 050824 (25F)_Wrigley - 06 simple chart Sep 14_Category Template AC'11 @Cst Fx 52W vs 53W_Sheet3" xfId="4360"/>
    <cellStyle name="_Extra media plan 050329_Copy of Wrigley - 05 budget&amp;calendar R1 050428-vl_EX Master Flowchart June 15a_Wrigley - 05 budget&amp;calendar LE 050824 (25F)_Wrigley - 06 simple chart Sep 14_P&amp;L KFE" xfId="4361"/>
    <cellStyle name="_Extra media plan 050329_Copy of Wrigley - 05 budget&amp;calendar R1 050428-vl_EX Master Flowchart June 15a_Wrigley - 05 budget&amp;calendar LE 050824 (25F)_Wrigley - 06 simple chart Sep 14_Sheet3" xfId="4362"/>
    <cellStyle name="_Extra media plan 050329_Copy of Wrigley - 05 budget&amp;calendar R1 050428-vl_EX Master Flowchart June 15a_Wrigley - 05 budget&amp;calendar LE 050824 (25I)" xfId="4363"/>
    <cellStyle name="_Extra media plan 050329_Copy of Wrigley - 05 budget&amp;calendar R1 050428-vl_EX Master Flowchart June 15a_Wrigley - 05 budget&amp;calendar LE 050824 (25I) 2" xfId="4364"/>
    <cellStyle name="_Extra media plan 050329_Copy of Wrigley - 05 budget&amp;calendar R1 050428-vl_EX Master Flowchart June 15a_Wrigley - 05 budget&amp;calendar LE 050824 (25I)_Category Template AC'11 @Cst Fx 52W vs 53W" xfId="4365"/>
    <cellStyle name="_Extra media plan 050329_Copy of Wrigley - 05 budget&amp;calendar R1 050428-vl_EX Master Flowchart June 15a_Wrigley - 05 budget&amp;calendar LE 050824 (25I)_Category Template AC'11 @Cst Fx 52W vs 53W 2" xfId="4366"/>
    <cellStyle name="_Extra media plan 050329_Copy of Wrigley - 05 budget&amp;calendar R1 050428-vl_EX Master Flowchart June 15a_Wrigley - 05 budget&amp;calendar LE 050824 (25I)_Category Template AC'11 @Cst Fx 52W vs 53W_P&amp;L KFE" xfId="4367"/>
    <cellStyle name="_Extra media plan 050329_Copy of Wrigley - 05 budget&amp;calendar R1 050428-vl_EX Master Flowchart June 15a_Wrigley - 05 budget&amp;calendar LE 050824 (25I)_Category Template AC'11 @Cst Fx 52W vs 53W_Sheet3" xfId="4368"/>
    <cellStyle name="_Extra media plan 050329_Copy of Wrigley - 05 budget&amp;calendar R1 050428-vl_EX Master Flowchart June 15a_Wrigley - 05 budget&amp;calendar LE 050824 (25I)_P&amp;L KFE" xfId="4369"/>
    <cellStyle name="_Extra media plan 050329_Copy of Wrigley - 05 budget&amp;calendar R1 050428-vl_EX Master Flowchart June 15a_Wrigley - 05 budget&amp;calendar LE 050824 (25I)_Sheet3" xfId="4370"/>
    <cellStyle name="_Extra media plan 050329_Copy of Wrigley - 05 budget&amp;calendar R1 050428-vl_EX Master Flowchart June 15a_Wrigley - 05 budget&amp;calendar LE 050824 (25I)_Wrigley - 06 simple chart Sep 14" xfId="4371"/>
    <cellStyle name="_Extra media plan 050329_Copy of Wrigley - 05 budget&amp;calendar R1 050428-vl_EX Master Flowchart June 15a_Wrigley - 05 budget&amp;calendar LE 050824 (25I)_Wrigley - 06 simple chart Sep 14 2" xfId="4372"/>
    <cellStyle name="_Extra media plan 050329_Copy of Wrigley - 05 budget&amp;calendar R1 050428-vl_EX Master Flowchart June 15a_Wrigley - 05 budget&amp;calendar LE 050824 (25I)_Wrigley - 06 simple chart Sep 14_Category Template AC'11 @Cst Fx 52W vs 53W" xfId="4373"/>
    <cellStyle name="_Extra media plan 050329_Copy of Wrigley - 05 budget&amp;calendar R1 050428-vl_EX Master Flowchart June 15a_Wrigley - 05 budget&amp;calendar LE 050824 (25I)_Wrigley - 06 simple chart Sep 14_Category Template AC'11 @Cst Fx 52W vs 53W 2" xfId="4374"/>
    <cellStyle name="_Extra media plan 050329_Copy of Wrigley - 05 budget&amp;calendar R1 050428-vl_EX Master Flowchart June 15a_Wrigley - 05 budget&amp;calendar LE 050824 (25I)_Wrigley - 06 simple chart Sep 14_Category Template AC'11 @Cst Fx 52W vs 53W_P&amp;L KFE" xfId="4375"/>
    <cellStyle name="_Extra media plan 050329_Copy of Wrigley - 05 budget&amp;calendar R1 050428-vl_EX Master Flowchart June 15a_Wrigley - 05 budget&amp;calendar LE 050824 (25I)_Wrigley - 06 simple chart Sep 14_Category Template AC'11 @Cst Fx 52W vs 53W_Sheet3" xfId="4376"/>
    <cellStyle name="_Extra media plan 050329_Copy of Wrigley - 05 budget&amp;calendar R1 050428-vl_EX Master Flowchart June 15a_Wrigley - 05 budget&amp;calendar LE 050824 (25I)_Wrigley - 06 simple chart Sep 14_P&amp;L KFE" xfId="4377"/>
    <cellStyle name="_Extra media plan 050329_Copy of Wrigley - 05 budget&amp;calendar R1 050428-vl_EX Master Flowchart June 15a_Wrigley - 05 budget&amp;calendar LE 050824 (25I)_Wrigley - 06 simple chart Sep 14_Sheet3" xfId="4378"/>
    <cellStyle name="_Extra media plan 050329_Copy of Wrigley - 05 budget&amp;calendar R1 050428-vl_EX Master Flowchart June 15a_Wrigley - 06 simple chart Sep 14" xfId="4379"/>
    <cellStyle name="_Extra media plan 050329_Copy of Wrigley - 05 budget&amp;calendar R1 050428-vl_EX Master Flowchart June 15a_Wrigley - 06 simple chart Sep 14 2" xfId="4380"/>
    <cellStyle name="_Extra media plan 050329_Copy of Wrigley - 05 budget&amp;calendar R1 050428-vl_EX Master Flowchart June 15a_Wrigley - 06 simple chart Sep 14_Category Template AC'11 @Cst Fx 52W vs 53W" xfId="4381"/>
    <cellStyle name="_Extra media plan 050329_Copy of Wrigley - 05 budget&amp;calendar R1 050428-vl_EX Master Flowchart June 15a_Wrigley - 06 simple chart Sep 14_Category Template AC'11 @Cst Fx 52W vs 53W 2" xfId="4382"/>
    <cellStyle name="_Extra media plan 050329_Copy of Wrigley - 05 budget&amp;calendar R1 050428-vl_EX Master Flowchart June 15a_Wrigley - 06 simple chart Sep 14_Category Template AC'11 @Cst Fx 52W vs 53W_P&amp;L KFE" xfId="4383"/>
    <cellStyle name="_Extra media plan 050329_Copy of Wrigley - 05 budget&amp;calendar R1 050428-vl_EX Master Flowchart June 15a_Wrigley - 06 simple chart Sep 14_Category Template AC'11 @Cst Fx 52W vs 53W_Sheet3" xfId="4384"/>
    <cellStyle name="_Extra media plan 050329_Copy of Wrigley - 05 budget&amp;calendar R1 050428-vl_EX Master Flowchart June 15a_Wrigley - 06 simple chart Sep 14_P&amp;L KFE" xfId="4385"/>
    <cellStyle name="_Extra media plan 050329_Copy of Wrigley - 05 budget&amp;calendar R1 050428-vl_EX Master Flowchart June 15a_Wrigley - 06 simple chart Sep 14_Sheet3" xfId="4386"/>
    <cellStyle name="_Extra media plan 050329_Copy of Wrigley - 05 budget&amp;calendar R1 050428-vl_JF Masterflow June 15a" xfId="4387"/>
    <cellStyle name="_Extra media plan 050329_Copy of Wrigley - 05 budget&amp;calendar R1 050428-vl_JF Masterflow June 15a 2" xfId="4388"/>
    <cellStyle name="_Extra media plan 050329_Copy of Wrigley - 05 budget&amp;calendar R1 050428-vl_JF Masterflow June 15a_Book5" xfId="4389"/>
    <cellStyle name="_Extra media plan 050329_Copy of Wrigley - 05 budget&amp;calendar R1 050428-vl_JF Masterflow June 15a_Book5 2" xfId="4390"/>
    <cellStyle name="_Extra media plan 050329_Copy of Wrigley - 05 budget&amp;calendar R1 050428-vl_JF Masterflow June 15a_Book5_Category Template AC'11 @Cst Fx 52W vs 53W" xfId="4391"/>
    <cellStyle name="_Extra media plan 050329_Copy of Wrigley - 05 budget&amp;calendar R1 050428-vl_JF Masterflow June 15a_Book5_Category Template AC'11 @Cst Fx 52W vs 53W 2" xfId="4392"/>
    <cellStyle name="_Extra media plan 050329_Copy of Wrigley - 05 budget&amp;calendar R1 050428-vl_JF Masterflow June 15a_Book5_Category Template AC'11 @Cst Fx 52W vs 53W_P&amp;L KFE" xfId="4393"/>
    <cellStyle name="_Extra media plan 050329_Copy of Wrigley - 05 budget&amp;calendar R1 050428-vl_JF Masterflow June 15a_Book5_Category Template AC'11 @Cst Fx 52W vs 53W_Sheet3" xfId="4394"/>
    <cellStyle name="_Extra media plan 050329_Copy of Wrigley - 05 budget&amp;calendar R1 050428-vl_JF Masterflow June 15a_Book5_P&amp;L KFE" xfId="4395"/>
    <cellStyle name="_Extra media plan 050329_Copy of Wrigley - 05 budget&amp;calendar R1 050428-vl_JF Masterflow June 15a_Book5_Sheet3" xfId="4396"/>
    <cellStyle name="_Extra media plan 050329_Copy of Wrigley - 05 budget&amp;calendar R1 050428-vl_JF Masterflow June 15a_Category Template AC'11 @Cst Fx 52W vs 53W" xfId="4397"/>
    <cellStyle name="_Extra media plan 050329_Copy of Wrigley - 05 budget&amp;calendar R1 050428-vl_JF Masterflow June 15a_Category Template AC'11 @Cst Fx 52W vs 53W 2" xfId="4398"/>
    <cellStyle name="_Extra media plan 050329_Copy of Wrigley - 05 budget&amp;calendar R1 050428-vl_JF Masterflow June 15a_Category Template AC'11 @Cst Fx 52W vs 53W_P&amp;L KFE" xfId="4399"/>
    <cellStyle name="_Extra media plan 050329_Copy of Wrigley - 05 budget&amp;calendar R1 050428-vl_JF Masterflow June 15a_Category Template AC'11 @Cst Fx 52W vs 53W_Sheet3" xfId="4400"/>
    <cellStyle name="_Extra media plan 050329_Copy of Wrigley - 05 budget&amp;calendar R1 050428-vl_JF Masterflow June 15a_P&amp;L KFE" xfId="4401"/>
    <cellStyle name="_Extra media plan 050329_Copy of Wrigley - 05 budget&amp;calendar R1 050428-vl_JF Masterflow June 15a_Sheet3" xfId="4402"/>
    <cellStyle name="_Extra media plan 050329_Copy of Wrigley - 05 budget&amp;calendar R1 050428-vl_JF Masterflow June 15a_Wrigley - 05 budget&amp;calendar LE 050728 (25I)" xfId="4403"/>
    <cellStyle name="_Extra media plan 050329_Copy of Wrigley - 05 budget&amp;calendar R1 050428-vl_JF Masterflow June 15a_Wrigley - 05 budget&amp;calendar LE 050728 (25I) 2" xfId="4404"/>
    <cellStyle name="_Extra media plan 050329_Copy of Wrigley - 05 budget&amp;calendar R1 050428-vl_JF Masterflow June 15a_Wrigley - 05 budget&amp;calendar LE 050728 (25I)_Category Template AC'11 @Cst Fx 52W vs 53W" xfId="4405"/>
    <cellStyle name="_Extra media plan 050329_Copy of Wrigley - 05 budget&amp;calendar R1 050428-vl_JF Masterflow June 15a_Wrigley - 05 budget&amp;calendar LE 050728 (25I)_Category Template AC'11 @Cst Fx 52W vs 53W 2" xfId="4406"/>
    <cellStyle name="_Extra media plan 050329_Copy of Wrigley - 05 budget&amp;calendar R1 050428-vl_JF Masterflow June 15a_Wrigley - 05 budget&amp;calendar LE 050728 (25I)_Category Template AC'11 @Cst Fx 52W vs 53W_P&amp;L KFE" xfId="4407"/>
    <cellStyle name="_Extra media plan 050329_Copy of Wrigley - 05 budget&amp;calendar R1 050428-vl_JF Masterflow June 15a_Wrigley - 05 budget&amp;calendar LE 050728 (25I)_Category Template AC'11 @Cst Fx 52W vs 53W_Sheet3" xfId="4408"/>
    <cellStyle name="_Extra media plan 050329_Copy of Wrigley - 05 budget&amp;calendar R1 050428-vl_JF Masterflow June 15a_Wrigley - 05 budget&amp;calendar LE 050728 (25I)_P&amp;L KFE" xfId="4409"/>
    <cellStyle name="_Extra media plan 050329_Copy of Wrigley - 05 budget&amp;calendar R1 050428-vl_JF Masterflow June 15a_Wrigley - 05 budget&amp;calendar LE 050728 (25I)_Sheet3" xfId="4410"/>
    <cellStyle name="_Extra media plan 050329_Copy of Wrigley - 05 budget&amp;calendar R1 050428-vl_JF Masterflow June 15a_Wrigley - 05 budget&amp;calendar LE 050728 (25I)_Wrigley - 06 simple chart Sep 14" xfId="4411"/>
    <cellStyle name="_Extra media plan 050329_Copy of Wrigley - 05 budget&amp;calendar R1 050428-vl_JF Masterflow June 15a_Wrigley - 05 budget&amp;calendar LE 050728 (25I)_Wrigley - 06 simple chart Sep 14 2" xfId="4412"/>
    <cellStyle name="_Extra media plan 050329_Copy of Wrigley - 05 budget&amp;calendar R1 050428-vl_JF Masterflow June 15a_Wrigley - 05 budget&amp;calendar LE 050728 (25I)_Wrigley - 06 simple chart Sep 14_Category Template AC'11 @Cst Fx 52W vs 53W" xfId="4413"/>
    <cellStyle name="_Extra media plan 050329_Copy of Wrigley - 05 budget&amp;calendar R1 050428-vl_JF Masterflow June 15a_Wrigley - 05 budget&amp;calendar LE 050728 (25I)_Wrigley - 06 simple chart Sep 14_Category Template AC'11 @Cst Fx 52W vs 53W 2" xfId="4414"/>
    <cellStyle name="_Extra media plan 050329_Copy of Wrigley - 05 budget&amp;calendar R1 050428-vl_JF Masterflow June 15a_Wrigley - 05 budget&amp;calendar LE 050728 (25I)_Wrigley - 06 simple chart Sep 14_Category Template AC'11 @Cst Fx 52W vs 53W_P&amp;L KFE" xfId="4415"/>
    <cellStyle name="_Extra media plan 050329_Copy of Wrigley - 05 budget&amp;calendar R1 050428-vl_JF Masterflow June 15a_Wrigley - 05 budget&amp;calendar LE 050728 (25I)_Wrigley - 06 simple chart Sep 14_Category Template AC'11 @Cst Fx 52W vs 53W_Sheet3" xfId="4416"/>
    <cellStyle name="_Extra media plan 050329_Copy of Wrigley - 05 budget&amp;calendar R1 050428-vl_JF Masterflow June 15a_Wrigley - 05 budget&amp;calendar LE 050728 (25I)_Wrigley - 06 simple chart Sep 14_P&amp;L KFE" xfId="4417"/>
    <cellStyle name="_Extra media plan 050329_Copy of Wrigley - 05 budget&amp;calendar R1 050428-vl_JF Masterflow June 15a_Wrigley - 05 budget&amp;calendar LE 050728 (25I)_Wrigley - 06 simple chart Sep 14_Sheet3" xfId="4418"/>
    <cellStyle name="_Extra media plan 050329_Copy of Wrigley - 05 budget&amp;calendar R1 050428-vl_JF Masterflow June 15a_Wrigley - 05 budget&amp;calendar LE 050824 (25F)" xfId="4419"/>
    <cellStyle name="_Extra media plan 050329_Copy of Wrigley - 05 budget&amp;calendar R1 050428-vl_JF Masterflow June 15a_Wrigley - 05 budget&amp;calendar LE 050824 (25F) 2" xfId="4420"/>
    <cellStyle name="_Extra media plan 050329_Copy of Wrigley - 05 budget&amp;calendar R1 050428-vl_JF Masterflow June 15a_Wrigley - 05 budget&amp;calendar LE 050824 (25F)_Category Template AC'11 @Cst Fx 52W vs 53W" xfId="4421"/>
    <cellStyle name="_Extra media plan 050329_Copy of Wrigley - 05 budget&amp;calendar R1 050428-vl_JF Masterflow June 15a_Wrigley - 05 budget&amp;calendar LE 050824 (25F)_Category Template AC'11 @Cst Fx 52W vs 53W 2" xfId="4422"/>
    <cellStyle name="_Extra media plan 050329_Copy of Wrigley - 05 budget&amp;calendar R1 050428-vl_JF Masterflow June 15a_Wrigley - 05 budget&amp;calendar LE 050824 (25F)_Category Template AC'11 @Cst Fx 52W vs 53W_P&amp;L KFE" xfId="4423"/>
    <cellStyle name="_Extra media plan 050329_Copy of Wrigley - 05 budget&amp;calendar R1 050428-vl_JF Masterflow June 15a_Wrigley - 05 budget&amp;calendar LE 050824 (25F)_Category Template AC'11 @Cst Fx 52W vs 53W_Sheet3" xfId="4424"/>
    <cellStyle name="_Extra media plan 050329_Copy of Wrigley - 05 budget&amp;calendar R1 050428-vl_JF Masterflow June 15a_Wrigley - 05 budget&amp;calendar LE 050824 (25F)_P&amp;L KFE" xfId="4425"/>
    <cellStyle name="_Extra media plan 050329_Copy of Wrigley - 05 budget&amp;calendar R1 050428-vl_JF Masterflow June 15a_Wrigley - 05 budget&amp;calendar LE 050824 (25F)_Sheet3" xfId="4426"/>
    <cellStyle name="_Extra media plan 050329_Copy of Wrigley - 05 budget&amp;calendar R1 050428-vl_JF Masterflow June 15a_Wrigley - 05 budget&amp;calendar LE 050824 (25F)_Wrigley - 06 simple chart Sep 14" xfId="4427"/>
    <cellStyle name="_Extra media plan 050329_Copy of Wrigley - 05 budget&amp;calendar R1 050428-vl_JF Masterflow June 15a_Wrigley - 05 budget&amp;calendar LE 050824 (25F)_Wrigley - 06 simple chart Sep 14 2" xfId="4428"/>
    <cellStyle name="_Extra media plan 050329_Copy of Wrigley - 05 budget&amp;calendar R1 050428-vl_JF Masterflow June 15a_Wrigley - 05 budget&amp;calendar LE 050824 (25F)_Wrigley - 06 simple chart Sep 14_Category Template AC'11 @Cst Fx 52W vs 53W" xfId="4429"/>
    <cellStyle name="_Extra media plan 050329_Copy of Wrigley - 05 budget&amp;calendar R1 050428-vl_JF Masterflow June 15a_Wrigley - 05 budget&amp;calendar LE 050824 (25F)_Wrigley - 06 simple chart Sep 14_Category Template AC'11 @Cst Fx 52W vs 53W 2" xfId="4430"/>
    <cellStyle name="_Extra media plan 050329_Copy of Wrigley - 05 budget&amp;calendar R1 050428-vl_JF Masterflow June 15a_Wrigley - 05 budget&amp;calendar LE 050824 (25F)_Wrigley - 06 simple chart Sep 14_Category Template AC'11 @Cst Fx 52W vs 53W_P&amp;L KFE" xfId="4431"/>
    <cellStyle name="_Extra media plan 050329_Copy of Wrigley - 05 budget&amp;calendar R1 050428-vl_JF Masterflow June 15a_Wrigley - 05 budget&amp;calendar LE 050824 (25F)_Wrigley - 06 simple chart Sep 14_Category Template AC'11 @Cst Fx 52W vs 53W_Sheet3" xfId="4432"/>
    <cellStyle name="_Extra media plan 050329_Copy of Wrigley - 05 budget&amp;calendar R1 050428-vl_JF Masterflow June 15a_Wrigley - 05 budget&amp;calendar LE 050824 (25F)_Wrigley - 06 simple chart Sep 14_P&amp;L KFE" xfId="4433"/>
    <cellStyle name="_Extra media plan 050329_Copy of Wrigley - 05 budget&amp;calendar R1 050428-vl_JF Masterflow June 15a_Wrigley - 05 budget&amp;calendar LE 050824 (25F)_Wrigley - 06 simple chart Sep 14_Sheet3" xfId="4434"/>
    <cellStyle name="_Extra media plan 050329_Copy of Wrigley - 05 budget&amp;calendar R1 050428-vl_JF Masterflow June 15a_Wrigley - 05 budget&amp;calendar LE 050824 (25I)" xfId="4435"/>
    <cellStyle name="_Extra media plan 050329_Copy of Wrigley - 05 budget&amp;calendar R1 050428-vl_JF Masterflow June 15a_Wrigley - 05 budget&amp;calendar LE 050824 (25I) 2" xfId="4436"/>
    <cellStyle name="_Extra media plan 050329_Copy of Wrigley - 05 budget&amp;calendar R1 050428-vl_JF Masterflow June 15a_Wrigley - 05 budget&amp;calendar LE 050824 (25I)_Category Template AC'11 @Cst Fx 52W vs 53W" xfId="4437"/>
    <cellStyle name="_Extra media plan 050329_Copy of Wrigley - 05 budget&amp;calendar R1 050428-vl_JF Masterflow June 15a_Wrigley - 05 budget&amp;calendar LE 050824 (25I)_Category Template AC'11 @Cst Fx 52W vs 53W 2" xfId="4438"/>
    <cellStyle name="_Extra media plan 050329_Copy of Wrigley - 05 budget&amp;calendar R1 050428-vl_JF Masterflow June 15a_Wrigley - 05 budget&amp;calendar LE 050824 (25I)_Category Template AC'11 @Cst Fx 52W vs 53W_P&amp;L KFE" xfId="4439"/>
    <cellStyle name="_Extra media plan 050329_Copy of Wrigley - 05 budget&amp;calendar R1 050428-vl_JF Masterflow June 15a_Wrigley - 05 budget&amp;calendar LE 050824 (25I)_Category Template AC'11 @Cst Fx 52W vs 53W_Sheet3" xfId="4440"/>
    <cellStyle name="_Extra media plan 050329_Copy of Wrigley - 05 budget&amp;calendar R1 050428-vl_JF Masterflow June 15a_Wrigley - 05 budget&amp;calendar LE 050824 (25I)_P&amp;L KFE" xfId="4441"/>
    <cellStyle name="_Extra media plan 050329_Copy of Wrigley - 05 budget&amp;calendar R1 050428-vl_JF Masterflow June 15a_Wrigley - 05 budget&amp;calendar LE 050824 (25I)_Sheet3" xfId="4442"/>
    <cellStyle name="_Extra media plan 050329_Copy of Wrigley - 05 budget&amp;calendar R1 050428-vl_JF Masterflow June 15a_Wrigley - 05 budget&amp;calendar LE 050824 (25I)_Wrigley - 06 simple chart Sep 14" xfId="4443"/>
    <cellStyle name="_Extra media plan 050329_Copy of Wrigley - 05 budget&amp;calendar R1 050428-vl_JF Masterflow June 15a_Wrigley - 05 budget&amp;calendar LE 050824 (25I)_Wrigley - 06 simple chart Sep 14 2" xfId="4444"/>
    <cellStyle name="_Extra media plan 050329_Copy of Wrigley - 05 budget&amp;calendar R1 050428-vl_JF Masterflow June 15a_Wrigley - 05 budget&amp;calendar LE 050824 (25I)_Wrigley - 06 simple chart Sep 14_Category Template AC'11 @Cst Fx 52W vs 53W" xfId="4445"/>
    <cellStyle name="_Extra media plan 050329_Copy of Wrigley - 05 budget&amp;calendar R1 050428-vl_JF Masterflow June 15a_Wrigley - 05 budget&amp;calendar LE 050824 (25I)_Wrigley - 06 simple chart Sep 14_Category Template AC'11 @Cst Fx 52W vs 53W 2" xfId="4446"/>
    <cellStyle name="_Extra media plan 050329_Copy of Wrigley - 05 budget&amp;calendar R1 050428-vl_JF Masterflow June 15a_Wrigley - 05 budget&amp;calendar LE 050824 (25I)_Wrigley - 06 simple chart Sep 14_Category Template AC'11 @Cst Fx 52W vs 53W_P&amp;L KFE" xfId="4447"/>
    <cellStyle name="_Extra media plan 050329_Copy of Wrigley - 05 budget&amp;calendar R1 050428-vl_JF Masterflow June 15a_Wrigley - 05 budget&amp;calendar LE 050824 (25I)_Wrigley - 06 simple chart Sep 14_Category Template AC'11 @Cst Fx 52W vs 53W_Sheet3" xfId="4448"/>
    <cellStyle name="_Extra media plan 050329_Copy of Wrigley - 05 budget&amp;calendar R1 050428-vl_JF Masterflow June 15a_Wrigley - 05 budget&amp;calendar LE 050824 (25I)_Wrigley - 06 simple chart Sep 14_P&amp;L KFE" xfId="4449"/>
    <cellStyle name="_Extra media plan 050329_Copy of Wrigley - 05 budget&amp;calendar R1 050428-vl_JF Masterflow June 15a_Wrigley - 05 budget&amp;calendar LE 050824 (25I)_Wrigley - 06 simple chart Sep 14_Sheet3" xfId="4450"/>
    <cellStyle name="_Extra media plan 050329_Copy of Wrigley - 05 budget&amp;calendar R1 050428-vl_JF Masterflow June 15a_Wrigley - 06 simple chart Sep 14" xfId="4451"/>
    <cellStyle name="_Extra media plan 050329_Copy of Wrigley - 05 budget&amp;calendar R1 050428-vl_JF Masterflow June 15a_Wrigley - 06 simple chart Sep 14 2" xfId="4452"/>
    <cellStyle name="_Extra media plan 050329_Copy of Wrigley - 05 budget&amp;calendar R1 050428-vl_JF Masterflow June 15a_Wrigley - 06 simple chart Sep 14_Category Template AC'11 @Cst Fx 52W vs 53W" xfId="4453"/>
    <cellStyle name="_Extra media plan 050329_Copy of Wrigley - 05 budget&amp;calendar R1 050428-vl_JF Masterflow June 15a_Wrigley - 06 simple chart Sep 14_Category Template AC'11 @Cst Fx 52W vs 53W 2" xfId="4454"/>
    <cellStyle name="_Extra media plan 050329_Copy of Wrigley - 05 budget&amp;calendar R1 050428-vl_JF Masterflow June 15a_Wrigley - 06 simple chart Sep 14_Category Template AC'11 @Cst Fx 52W vs 53W_P&amp;L KFE" xfId="4455"/>
    <cellStyle name="_Extra media plan 050329_Copy of Wrigley - 05 budget&amp;calendar R1 050428-vl_JF Masterflow June 15a_Wrigley - 06 simple chart Sep 14_Category Template AC'11 @Cst Fx 52W vs 53W_Sheet3" xfId="4456"/>
    <cellStyle name="_Extra media plan 050329_Copy of Wrigley - 05 budget&amp;calendar R1 050428-vl_JF Masterflow June 15a_Wrigley - 06 simple chart Sep 14_P&amp;L KFE" xfId="4457"/>
    <cellStyle name="_Extra media plan 050329_Copy of Wrigley - 05 budget&amp;calendar R1 050428-vl_JF Masterflow June 15a_Wrigley - 06 simple chart Sep 14_Sheet3" xfId="4458"/>
    <cellStyle name="_Extra media plan 050329_Copy of Wrigley - 05 budget&amp;calendar R1 050428-vl_P&amp;L KFE" xfId="4459"/>
    <cellStyle name="_Extra media plan 050329_Copy of Wrigley - 05 budget&amp;calendar R1 050428-vl_PP Masterflow June 15a" xfId="4460"/>
    <cellStyle name="_Extra media plan 050329_Copy of Wrigley - 05 budget&amp;calendar R1 050428-vl_PP Masterflow June 15a 2" xfId="4461"/>
    <cellStyle name="_Extra media plan 050329_Copy of Wrigley - 05 budget&amp;calendar R1 050428-vl_PP Masterflow June 15a_Book5" xfId="4462"/>
    <cellStyle name="_Extra media plan 050329_Copy of Wrigley - 05 budget&amp;calendar R1 050428-vl_PP Masterflow June 15a_Book5 2" xfId="4463"/>
    <cellStyle name="_Extra media plan 050329_Copy of Wrigley - 05 budget&amp;calendar R1 050428-vl_PP Masterflow June 15a_Book5_Category Template AC'11 @Cst Fx 52W vs 53W" xfId="4464"/>
    <cellStyle name="_Extra media plan 050329_Copy of Wrigley - 05 budget&amp;calendar R1 050428-vl_PP Masterflow June 15a_Book5_Category Template AC'11 @Cst Fx 52W vs 53W 2" xfId="4465"/>
    <cellStyle name="_Extra media plan 050329_Copy of Wrigley - 05 budget&amp;calendar R1 050428-vl_PP Masterflow June 15a_Book5_Category Template AC'11 @Cst Fx 52W vs 53W_P&amp;L KFE" xfId="4466"/>
    <cellStyle name="_Extra media plan 050329_Copy of Wrigley - 05 budget&amp;calendar R1 050428-vl_PP Masterflow June 15a_Book5_Category Template AC'11 @Cst Fx 52W vs 53W_Sheet3" xfId="4467"/>
    <cellStyle name="_Extra media plan 050329_Copy of Wrigley - 05 budget&amp;calendar R1 050428-vl_PP Masterflow June 15a_Book5_P&amp;L KFE" xfId="4468"/>
    <cellStyle name="_Extra media plan 050329_Copy of Wrigley - 05 budget&amp;calendar R1 050428-vl_PP Masterflow June 15a_Book5_Sheet3" xfId="4469"/>
    <cellStyle name="_Extra media plan 050329_Copy of Wrigley - 05 budget&amp;calendar R1 050428-vl_PP Masterflow June 15a_Category Template AC'11 @Cst Fx 52W vs 53W" xfId="4470"/>
    <cellStyle name="_Extra media plan 050329_Copy of Wrigley - 05 budget&amp;calendar R1 050428-vl_PP Masterflow June 15a_Category Template AC'11 @Cst Fx 52W vs 53W 2" xfId="4471"/>
    <cellStyle name="_Extra media plan 050329_Copy of Wrigley - 05 budget&amp;calendar R1 050428-vl_PP Masterflow June 15a_Category Template AC'11 @Cst Fx 52W vs 53W_P&amp;L KFE" xfId="4472"/>
    <cellStyle name="_Extra media plan 050329_Copy of Wrigley - 05 budget&amp;calendar R1 050428-vl_PP Masterflow June 15a_Category Template AC'11 @Cst Fx 52W vs 53W_Sheet3" xfId="4473"/>
    <cellStyle name="_Extra media plan 050329_Copy of Wrigley - 05 budget&amp;calendar R1 050428-vl_PP Masterflow June 15a_P&amp;L KFE" xfId="4474"/>
    <cellStyle name="_Extra media plan 050329_Copy of Wrigley - 05 budget&amp;calendar R1 050428-vl_PP Masterflow June 15a_Sheet3" xfId="4475"/>
    <cellStyle name="_Extra media plan 050329_Copy of Wrigley - 05 budget&amp;calendar R1 050428-vl_PP Masterflow June 15a_Wrigley - 05 budget&amp;calendar LE 050728 (25I)" xfId="4476"/>
    <cellStyle name="_Extra media plan 050329_Copy of Wrigley - 05 budget&amp;calendar R1 050428-vl_PP Masterflow June 15a_Wrigley - 05 budget&amp;calendar LE 050728 (25I) 2" xfId="4477"/>
    <cellStyle name="_Extra media plan 050329_Copy of Wrigley - 05 budget&amp;calendar R1 050428-vl_PP Masterflow June 15a_Wrigley - 05 budget&amp;calendar LE 050728 (25I)_Category Template AC'11 @Cst Fx 52W vs 53W" xfId="4478"/>
    <cellStyle name="_Extra media plan 050329_Copy of Wrigley - 05 budget&amp;calendar R1 050428-vl_PP Masterflow June 15a_Wrigley - 05 budget&amp;calendar LE 050728 (25I)_Category Template AC'11 @Cst Fx 52W vs 53W 2" xfId="4479"/>
    <cellStyle name="_Extra media plan 050329_Copy of Wrigley - 05 budget&amp;calendar R1 050428-vl_PP Masterflow June 15a_Wrigley - 05 budget&amp;calendar LE 050728 (25I)_Category Template AC'11 @Cst Fx 52W vs 53W_P&amp;L KFE" xfId="4480"/>
    <cellStyle name="_Extra media plan 050329_Copy of Wrigley - 05 budget&amp;calendar R1 050428-vl_PP Masterflow June 15a_Wrigley - 05 budget&amp;calendar LE 050728 (25I)_Category Template AC'11 @Cst Fx 52W vs 53W_Sheet3" xfId="4481"/>
    <cellStyle name="_Extra media plan 050329_Copy of Wrigley - 05 budget&amp;calendar R1 050428-vl_PP Masterflow June 15a_Wrigley - 05 budget&amp;calendar LE 050728 (25I)_P&amp;L KFE" xfId="4482"/>
    <cellStyle name="_Extra media plan 050329_Copy of Wrigley - 05 budget&amp;calendar R1 050428-vl_PP Masterflow June 15a_Wrigley - 05 budget&amp;calendar LE 050728 (25I)_Sheet3" xfId="4483"/>
    <cellStyle name="_Extra media plan 050329_Copy of Wrigley - 05 budget&amp;calendar R1 050428-vl_PP Masterflow June 15a_Wrigley - 05 budget&amp;calendar LE 050728 (25I)_Wrigley - 06 simple chart Sep 14" xfId="4484"/>
    <cellStyle name="_Extra media plan 050329_Copy of Wrigley - 05 budget&amp;calendar R1 050428-vl_PP Masterflow June 15a_Wrigley - 05 budget&amp;calendar LE 050728 (25I)_Wrigley - 06 simple chart Sep 14 2" xfId="4485"/>
    <cellStyle name="_Extra media plan 050329_Copy of Wrigley - 05 budget&amp;calendar R1 050428-vl_PP Masterflow June 15a_Wrigley - 05 budget&amp;calendar LE 050728 (25I)_Wrigley - 06 simple chart Sep 14_Category Template AC'11 @Cst Fx 52W vs 53W" xfId="4486"/>
    <cellStyle name="_Extra media plan 050329_Copy of Wrigley - 05 budget&amp;calendar R1 050428-vl_PP Masterflow June 15a_Wrigley - 05 budget&amp;calendar LE 050728 (25I)_Wrigley - 06 simple chart Sep 14_Category Template AC'11 @Cst Fx 52W vs 53W 2" xfId="4487"/>
    <cellStyle name="_Extra media plan 050329_Copy of Wrigley - 05 budget&amp;calendar R1 050428-vl_PP Masterflow June 15a_Wrigley - 05 budget&amp;calendar LE 050728 (25I)_Wrigley - 06 simple chart Sep 14_Category Template AC'11 @Cst Fx 52W vs 53W_P&amp;L KFE" xfId="4488"/>
    <cellStyle name="_Extra media plan 050329_Copy of Wrigley - 05 budget&amp;calendar R1 050428-vl_PP Masterflow June 15a_Wrigley - 05 budget&amp;calendar LE 050728 (25I)_Wrigley - 06 simple chart Sep 14_Category Template AC'11 @Cst Fx 52W vs 53W_Sheet3" xfId="4489"/>
    <cellStyle name="_Extra media plan 050329_Copy of Wrigley - 05 budget&amp;calendar R1 050428-vl_PP Masterflow June 15a_Wrigley - 05 budget&amp;calendar LE 050728 (25I)_Wrigley - 06 simple chart Sep 14_P&amp;L KFE" xfId="4490"/>
    <cellStyle name="_Extra media plan 050329_Copy of Wrigley - 05 budget&amp;calendar R1 050428-vl_PP Masterflow June 15a_Wrigley - 05 budget&amp;calendar LE 050728 (25I)_Wrigley - 06 simple chart Sep 14_Sheet3" xfId="4491"/>
    <cellStyle name="_Extra media plan 050329_Copy of Wrigley - 05 budget&amp;calendar R1 050428-vl_PP Masterflow June 15a_Wrigley - 05 budget&amp;calendar LE 050824 (25F)" xfId="4492"/>
    <cellStyle name="_Extra media plan 050329_Copy of Wrigley - 05 budget&amp;calendar R1 050428-vl_PP Masterflow June 15a_Wrigley - 05 budget&amp;calendar LE 050824 (25F) 2" xfId="4493"/>
    <cellStyle name="_Extra media plan 050329_Copy of Wrigley - 05 budget&amp;calendar R1 050428-vl_PP Masterflow June 15a_Wrigley - 05 budget&amp;calendar LE 050824 (25F)_Category Template AC'11 @Cst Fx 52W vs 53W" xfId="4494"/>
    <cellStyle name="_Extra media plan 050329_Copy of Wrigley - 05 budget&amp;calendar R1 050428-vl_PP Masterflow June 15a_Wrigley - 05 budget&amp;calendar LE 050824 (25F)_Category Template AC'11 @Cst Fx 52W vs 53W 2" xfId="4495"/>
    <cellStyle name="_Extra media plan 050329_Copy of Wrigley - 05 budget&amp;calendar R1 050428-vl_PP Masterflow June 15a_Wrigley - 05 budget&amp;calendar LE 050824 (25F)_Category Template AC'11 @Cst Fx 52W vs 53W_P&amp;L KFE" xfId="4496"/>
    <cellStyle name="_Extra media plan 050329_Copy of Wrigley - 05 budget&amp;calendar R1 050428-vl_PP Masterflow June 15a_Wrigley - 05 budget&amp;calendar LE 050824 (25F)_Category Template AC'11 @Cst Fx 52W vs 53W_Sheet3" xfId="4497"/>
    <cellStyle name="_Extra media plan 050329_Copy of Wrigley - 05 budget&amp;calendar R1 050428-vl_PP Masterflow June 15a_Wrigley - 05 budget&amp;calendar LE 050824 (25F)_P&amp;L KFE" xfId="4498"/>
    <cellStyle name="_Extra media plan 050329_Copy of Wrigley - 05 budget&amp;calendar R1 050428-vl_PP Masterflow June 15a_Wrigley - 05 budget&amp;calendar LE 050824 (25F)_Sheet3" xfId="4499"/>
    <cellStyle name="_Extra media plan 050329_Copy of Wrigley - 05 budget&amp;calendar R1 050428-vl_PP Masterflow June 15a_Wrigley - 05 budget&amp;calendar LE 050824 (25F)_Wrigley - 06 simple chart Sep 14" xfId="4500"/>
    <cellStyle name="_Extra media plan 050329_Copy of Wrigley - 05 budget&amp;calendar R1 050428-vl_PP Masterflow June 15a_Wrigley - 05 budget&amp;calendar LE 050824 (25F)_Wrigley - 06 simple chart Sep 14 2" xfId="4501"/>
    <cellStyle name="_Extra media plan 050329_Copy of Wrigley - 05 budget&amp;calendar R1 050428-vl_PP Masterflow June 15a_Wrigley - 05 budget&amp;calendar LE 050824 (25F)_Wrigley - 06 simple chart Sep 14_Category Template AC'11 @Cst Fx 52W vs 53W" xfId="4502"/>
    <cellStyle name="_Extra media plan 050329_Copy of Wrigley - 05 budget&amp;calendar R1 050428-vl_PP Masterflow June 15a_Wrigley - 05 budget&amp;calendar LE 050824 (25F)_Wrigley - 06 simple chart Sep 14_Category Template AC'11 @Cst Fx 52W vs 53W 2" xfId="4503"/>
    <cellStyle name="_Extra media plan 050329_Copy of Wrigley - 05 budget&amp;calendar R1 050428-vl_PP Masterflow June 15a_Wrigley - 05 budget&amp;calendar LE 050824 (25F)_Wrigley - 06 simple chart Sep 14_Category Template AC'11 @Cst Fx 52W vs 53W_P&amp;L KFE" xfId="4504"/>
    <cellStyle name="_Extra media plan 050329_Copy of Wrigley - 05 budget&amp;calendar R1 050428-vl_PP Masterflow June 15a_Wrigley - 05 budget&amp;calendar LE 050824 (25F)_Wrigley - 06 simple chart Sep 14_Category Template AC'11 @Cst Fx 52W vs 53W_Sheet3" xfId="4505"/>
    <cellStyle name="_Extra media plan 050329_Copy of Wrigley - 05 budget&amp;calendar R1 050428-vl_PP Masterflow June 15a_Wrigley - 05 budget&amp;calendar LE 050824 (25F)_Wrigley - 06 simple chart Sep 14_P&amp;L KFE" xfId="4506"/>
    <cellStyle name="_Extra media plan 050329_Copy of Wrigley - 05 budget&amp;calendar R1 050428-vl_PP Masterflow June 15a_Wrigley - 05 budget&amp;calendar LE 050824 (25F)_Wrigley - 06 simple chart Sep 14_Sheet3" xfId="4507"/>
    <cellStyle name="_Extra media plan 050329_Copy of Wrigley - 05 budget&amp;calendar R1 050428-vl_PP Masterflow June 15a_Wrigley - 05 budget&amp;calendar LE 050824 (25I)" xfId="4508"/>
    <cellStyle name="_Extra media plan 050329_Copy of Wrigley - 05 budget&amp;calendar R1 050428-vl_PP Masterflow June 15a_Wrigley - 05 budget&amp;calendar LE 050824 (25I) 2" xfId="4509"/>
    <cellStyle name="_Extra media plan 050329_Copy of Wrigley - 05 budget&amp;calendar R1 050428-vl_PP Masterflow June 15a_Wrigley - 05 budget&amp;calendar LE 050824 (25I)_Category Template AC'11 @Cst Fx 52W vs 53W" xfId="4510"/>
    <cellStyle name="_Extra media plan 050329_Copy of Wrigley - 05 budget&amp;calendar R1 050428-vl_PP Masterflow June 15a_Wrigley - 05 budget&amp;calendar LE 050824 (25I)_Category Template AC'11 @Cst Fx 52W vs 53W 2" xfId="4511"/>
    <cellStyle name="_Extra media plan 050329_Copy of Wrigley - 05 budget&amp;calendar R1 050428-vl_PP Masterflow June 15a_Wrigley - 05 budget&amp;calendar LE 050824 (25I)_Category Template AC'11 @Cst Fx 52W vs 53W_P&amp;L KFE" xfId="4512"/>
    <cellStyle name="_Extra media plan 050329_Copy of Wrigley - 05 budget&amp;calendar R1 050428-vl_PP Masterflow June 15a_Wrigley - 05 budget&amp;calendar LE 050824 (25I)_Category Template AC'11 @Cst Fx 52W vs 53W_Sheet3" xfId="4513"/>
    <cellStyle name="_Extra media plan 050329_Copy of Wrigley - 05 budget&amp;calendar R1 050428-vl_PP Masterflow June 15a_Wrigley - 05 budget&amp;calendar LE 050824 (25I)_P&amp;L KFE" xfId="4514"/>
    <cellStyle name="_Extra media plan 050329_Copy of Wrigley - 05 budget&amp;calendar R1 050428-vl_PP Masterflow June 15a_Wrigley - 05 budget&amp;calendar LE 050824 (25I)_Sheet3" xfId="4515"/>
    <cellStyle name="_Extra media plan 050329_Copy of Wrigley - 05 budget&amp;calendar R1 050428-vl_PP Masterflow June 15a_Wrigley - 05 budget&amp;calendar LE 050824 (25I)_Wrigley - 06 simple chart Sep 14" xfId="4516"/>
    <cellStyle name="_Extra media plan 050329_Copy of Wrigley - 05 budget&amp;calendar R1 050428-vl_PP Masterflow June 15a_Wrigley - 05 budget&amp;calendar LE 050824 (25I)_Wrigley - 06 simple chart Sep 14 2" xfId="4517"/>
    <cellStyle name="_Extra media plan 050329_Copy of Wrigley - 05 budget&amp;calendar R1 050428-vl_PP Masterflow June 15a_Wrigley - 05 budget&amp;calendar LE 050824 (25I)_Wrigley - 06 simple chart Sep 14_Category Template AC'11 @Cst Fx 52W vs 53W" xfId="4518"/>
    <cellStyle name="_Extra media plan 050329_Copy of Wrigley - 05 budget&amp;calendar R1 050428-vl_PP Masterflow June 15a_Wrigley - 05 budget&amp;calendar LE 050824 (25I)_Wrigley - 06 simple chart Sep 14_Category Template AC'11 @Cst Fx 52W vs 53W 2" xfId="4519"/>
    <cellStyle name="_Extra media plan 050329_Copy of Wrigley - 05 budget&amp;calendar R1 050428-vl_PP Masterflow June 15a_Wrigley - 05 budget&amp;calendar LE 050824 (25I)_Wrigley - 06 simple chart Sep 14_Category Template AC'11 @Cst Fx 52W vs 53W_P&amp;L KFE" xfId="4520"/>
    <cellStyle name="_Extra media plan 050329_Copy of Wrigley - 05 budget&amp;calendar R1 050428-vl_PP Masterflow June 15a_Wrigley - 05 budget&amp;calendar LE 050824 (25I)_Wrigley - 06 simple chart Sep 14_Category Template AC'11 @Cst Fx 52W vs 53W_Sheet3" xfId="4521"/>
    <cellStyle name="_Extra media plan 050329_Copy of Wrigley - 05 budget&amp;calendar R1 050428-vl_PP Masterflow June 15a_Wrigley - 05 budget&amp;calendar LE 050824 (25I)_Wrigley - 06 simple chart Sep 14_P&amp;L KFE" xfId="4522"/>
    <cellStyle name="_Extra media plan 050329_Copy of Wrigley - 05 budget&amp;calendar R1 050428-vl_PP Masterflow June 15a_Wrigley - 05 budget&amp;calendar LE 050824 (25I)_Wrigley - 06 simple chart Sep 14_Sheet3" xfId="4523"/>
    <cellStyle name="_Extra media plan 050329_Copy of Wrigley - 05 budget&amp;calendar R1 050428-vl_PP Masterflow June 15a_Wrigley - 06 simple chart Sep 14" xfId="4524"/>
    <cellStyle name="_Extra media plan 050329_Copy of Wrigley - 05 budget&amp;calendar R1 050428-vl_PP Masterflow June 15a_Wrigley - 06 simple chart Sep 14 2" xfId="4525"/>
    <cellStyle name="_Extra media plan 050329_Copy of Wrigley - 05 budget&amp;calendar R1 050428-vl_PP Masterflow June 15a_Wrigley - 06 simple chart Sep 14_Category Template AC'11 @Cst Fx 52W vs 53W" xfId="4526"/>
    <cellStyle name="_Extra media plan 050329_Copy of Wrigley - 05 budget&amp;calendar R1 050428-vl_PP Masterflow June 15a_Wrigley - 06 simple chart Sep 14_Category Template AC'11 @Cst Fx 52W vs 53W 2" xfId="4527"/>
    <cellStyle name="_Extra media plan 050329_Copy of Wrigley - 05 budget&amp;calendar R1 050428-vl_PP Masterflow June 15a_Wrigley - 06 simple chart Sep 14_Category Template AC'11 @Cst Fx 52W vs 53W_P&amp;L KFE" xfId="4528"/>
    <cellStyle name="_Extra media plan 050329_Copy of Wrigley - 05 budget&amp;calendar R1 050428-vl_PP Masterflow June 15a_Wrigley - 06 simple chart Sep 14_Category Template AC'11 @Cst Fx 52W vs 53W_Sheet3" xfId="4529"/>
    <cellStyle name="_Extra media plan 050329_Copy of Wrigley - 05 budget&amp;calendar R1 050428-vl_PP Masterflow June 15a_Wrigley - 06 simple chart Sep 14_P&amp;L KFE" xfId="4530"/>
    <cellStyle name="_Extra media plan 050329_Copy of Wrigley - 05 budget&amp;calendar R1 050428-vl_PP Masterflow June 15a_Wrigley - 06 simple chart Sep 14_Sheet3" xfId="4531"/>
    <cellStyle name="_Extra media plan 050329_Copy of Wrigley - 05 budget&amp;calendar R1 050428-vl_Sheet3" xfId="4532"/>
    <cellStyle name="_Extra media plan 050329_Copy of Wrigley - 05 budget&amp;calendar R1 050428-vl_TJ Masterflow June 15" xfId="4533"/>
    <cellStyle name="_Extra media plan 050329_Copy of Wrigley - 05 budget&amp;calendar R1 050428-vl_TJ Masterflow June 15 2" xfId="4534"/>
    <cellStyle name="_Extra media plan 050329_Copy of Wrigley - 05 budget&amp;calendar R1 050428-vl_TJ Masterflow June 15_Book5" xfId="4535"/>
    <cellStyle name="_Extra media plan 050329_Copy of Wrigley - 05 budget&amp;calendar R1 050428-vl_TJ Masterflow June 15_Book5 2" xfId="4536"/>
    <cellStyle name="_Extra media plan 050329_Copy of Wrigley - 05 budget&amp;calendar R1 050428-vl_TJ Masterflow June 15_Book5_Category Template AC'11 @Cst Fx 52W vs 53W" xfId="4537"/>
    <cellStyle name="_Extra media plan 050329_Copy of Wrigley - 05 budget&amp;calendar R1 050428-vl_TJ Masterflow June 15_Book5_Category Template AC'11 @Cst Fx 52W vs 53W 2" xfId="4538"/>
    <cellStyle name="_Extra media plan 050329_Copy of Wrigley - 05 budget&amp;calendar R1 050428-vl_TJ Masterflow June 15_Book5_Category Template AC'11 @Cst Fx 52W vs 53W_P&amp;L KFE" xfId="4539"/>
    <cellStyle name="_Extra media plan 050329_Copy of Wrigley - 05 budget&amp;calendar R1 050428-vl_TJ Masterflow June 15_Book5_Category Template AC'11 @Cst Fx 52W vs 53W_Sheet3" xfId="4540"/>
    <cellStyle name="_Extra media plan 050329_Copy of Wrigley - 05 budget&amp;calendar R1 050428-vl_TJ Masterflow June 15_Book5_P&amp;L KFE" xfId="4541"/>
    <cellStyle name="_Extra media plan 050329_Copy of Wrigley - 05 budget&amp;calendar R1 050428-vl_TJ Masterflow June 15_Book5_Sheet3" xfId="4542"/>
    <cellStyle name="_Extra media plan 050329_Copy of Wrigley - 05 budget&amp;calendar R1 050428-vl_TJ Masterflow June 15_Category Template AC'11 @Cst Fx 52W vs 53W" xfId="4543"/>
    <cellStyle name="_Extra media plan 050329_Copy of Wrigley - 05 budget&amp;calendar R1 050428-vl_TJ Masterflow June 15_Category Template AC'11 @Cst Fx 52W vs 53W 2" xfId="4544"/>
    <cellStyle name="_Extra media plan 050329_Copy of Wrigley - 05 budget&amp;calendar R1 050428-vl_TJ Masterflow June 15_Category Template AC'11 @Cst Fx 52W vs 53W_P&amp;L KFE" xfId="4545"/>
    <cellStyle name="_Extra media plan 050329_Copy of Wrigley - 05 budget&amp;calendar R1 050428-vl_TJ Masterflow June 15_Category Template AC'11 @Cst Fx 52W vs 53W_Sheet3" xfId="4546"/>
    <cellStyle name="_Extra media plan 050329_Copy of Wrigley - 05 budget&amp;calendar R1 050428-vl_TJ Masterflow June 15_P&amp;L KFE" xfId="4547"/>
    <cellStyle name="_Extra media plan 050329_Copy of Wrigley - 05 budget&amp;calendar R1 050428-vl_TJ Masterflow June 15_Sheet3" xfId="4548"/>
    <cellStyle name="_Extra media plan 050329_Copy of Wrigley - 05 budget&amp;calendar R1 050428-vl_TJ Masterflow June 15_Wrigley - 05 budget&amp;calendar LE 050728 (25I)" xfId="4549"/>
    <cellStyle name="_Extra media plan 050329_Copy of Wrigley - 05 budget&amp;calendar R1 050428-vl_TJ Masterflow June 15_Wrigley - 05 budget&amp;calendar LE 050728 (25I) 2" xfId="4550"/>
    <cellStyle name="_Extra media plan 050329_Copy of Wrigley - 05 budget&amp;calendar R1 050428-vl_TJ Masterflow June 15_Wrigley - 05 budget&amp;calendar LE 050728 (25I)_Category Template AC'11 @Cst Fx 52W vs 53W" xfId="4551"/>
    <cellStyle name="_Extra media plan 050329_Copy of Wrigley - 05 budget&amp;calendar R1 050428-vl_TJ Masterflow June 15_Wrigley - 05 budget&amp;calendar LE 050728 (25I)_Category Template AC'11 @Cst Fx 52W vs 53W 2" xfId="4552"/>
    <cellStyle name="_Extra media plan 050329_Copy of Wrigley - 05 budget&amp;calendar R1 050428-vl_TJ Masterflow June 15_Wrigley - 05 budget&amp;calendar LE 050728 (25I)_Category Template AC'11 @Cst Fx 52W vs 53W_P&amp;L KFE" xfId="4553"/>
    <cellStyle name="_Extra media plan 050329_Copy of Wrigley - 05 budget&amp;calendar R1 050428-vl_TJ Masterflow June 15_Wrigley - 05 budget&amp;calendar LE 050728 (25I)_Category Template AC'11 @Cst Fx 52W vs 53W_Sheet3" xfId="4554"/>
    <cellStyle name="_Extra media plan 050329_Copy of Wrigley - 05 budget&amp;calendar R1 050428-vl_TJ Masterflow June 15_Wrigley - 05 budget&amp;calendar LE 050728 (25I)_P&amp;L KFE" xfId="4555"/>
    <cellStyle name="_Extra media plan 050329_Copy of Wrigley - 05 budget&amp;calendar R1 050428-vl_TJ Masterflow June 15_Wrigley - 05 budget&amp;calendar LE 050728 (25I)_Sheet3" xfId="4556"/>
    <cellStyle name="_Extra media plan 050329_Copy of Wrigley - 05 budget&amp;calendar R1 050428-vl_TJ Masterflow June 15_Wrigley - 05 budget&amp;calendar LE 050728 (25I)_Wrigley - 06 simple chart Sep 14" xfId="4557"/>
    <cellStyle name="_Extra media plan 050329_Copy of Wrigley - 05 budget&amp;calendar R1 050428-vl_TJ Masterflow June 15_Wrigley - 05 budget&amp;calendar LE 050728 (25I)_Wrigley - 06 simple chart Sep 14 2" xfId="4558"/>
    <cellStyle name="_Extra media plan 050329_Copy of Wrigley - 05 budget&amp;calendar R1 050428-vl_TJ Masterflow June 15_Wrigley - 05 budget&amp;calendar LE 050728 (25I)_Wrigley - 06 simple chart Sep 14_Category Template AC'11 @Cst Fx 52W vs 53W" xfId="4559"/>
    <cellStyle name="_Extra media plan 050329_Copy of Wrigley - 05 budget&amp;calendar R1 050428-vl_TJ Masterflow June 15_Wrigley - 05 budget&amp;calendar LE 050728 (25I)_Wrigley - 06 simple chart Sep 14_Category Template AC'11 @Cst Fx 52W vs 53W 2" xfId="4560"/>
    <cellStyle name="_Extra media plan 050329_Copy of Wrigley - 05 budget&amp;calendar R1 050428-vl_TJ Masterflow June 15_Wrigley - 05 budget&amp;calendar LE 050728 (25I)_Wrigley - 06 simple chart Sep 14_Category Template AC'11 @Cst Fx 52W vs 53W_P&amp;L KFE" xfId="4561"/>
    <cellStyle name="_Extra media plan 050329_Copy of Wrigley - 05 budget&amp;calendar R1 050428-vl_TJ Masterflow June 15_Wrigley - 05 budget&amp;calendar LE 050728 (25I)_Wrigley - 06 simple chart Sep 14_Category Template AC'11 @Cst Fx 52W vs 53W_Sheet3" xfId="4562"/>
    <cellStyle name="_Extra media plan 050329_Copy of Wrigley - 05 budget&amp;calendar R1 050428-vl_TJ Masterflow June 15_Wrigley - 05 budget&amp;calendar LE 050728 (25I)_Wrigley - 06 simple chart Sep 14_P&amp;L KFE" xfId="4563"/>
    <cellStyle name="_Extra media plan 050329_Copy of Wrigley - 05 budget&amp;calendar R1 050428-vl_TJ Masterflow June 15_Wrigley - 05 budget&amp;calendar LE 050728 (25I)_Wrigley - 06 simple chart Sep 14_Sheet3" xfId="4564"/>
    <cellStyle name="_Extra media plan 050329_Copy of Wrigley - 05 budget&amp;calendar R1 050428-vl_TJ Masterflow June 15_Wrigley - 05 budget&amp;calendar LE 050824 (25F)" xfId="4565"/>
    <cellStyle name="_Extra media plan 050329_Copy of Wrigley - 05 budget&amp;calendar R1 050428-vl_TJ Masterflow June 15_Wrigley - 05 budget&amp;calendar LE 050824 (25F) 2" xfId="4566"/>
    <cellStyle name="_Extra media plan 050329_Copy of Wrigley - 05 budget&amp;calendar R1 050428-vl_TJ Masterflow June 15_Wrigley - 05 budget&amp;calendar LE 050824 (25F)_Category Template AC'11 @Cst Fx 52W vs 53W" xfId="4567"/>
    <cellStyle name="_Extra media plan 050329_Copy of Wrigley - 05 budget&amp;calendar R1 050428-vl_TJ Masterflow June 15_Wrigley - 05 budget&amp;calendar LE 050824 (25F)_Category Template AC'11 @Cst Fx 52W vs 53W 2" xfId="4568"/>
    <cellStyle name="_Extra media plan 050329_Copy of Wrigley - 05 budget&amp;calendar R1 050428-vl_TJ Masterflow June 15_Wrigley - 05 budget&amp;calendar LE 050824 (25F)_Category Template AC'11 @Cst Fx 52W vs 53W_P&amp;L KFE" xfId="4569"/>
    <cellStyle name="_Extra media plan 050329_Copy of Wrigley - 05 budget&amp;calendar R1 050428-vl_TJ Masterflow June 15_Wrigley - 05 budget&amp;calendar LE 050824 (25F)_Category Template AC'11 @Cst Fx 52W vs 53W_Sheet3" xfId="4570"/>
    <cellStyle name="_Extra media plan 050329_Copy of Wrigley - 05 budget&amp;calendar R1 050428-vl_TJ Masterflow June 15_Wrigley - 05 budget&amp;calendar LE 050824 (25F)_P&amp;L KFE" xfId="4571"/>
    <cellStyle name="_Extra media plan 050329_Copy of Wrigley - 05 budget&amp;calendar R1 050428-vl_TJ Masterflow June 15_Wrigley - 05 budget&amp;calendar LE 050824 (25F)_Sheet3" xfId="4572"/>
    <cellStyle name="_Extra media plan 050329_Copy of Wrigley - 05 budget&amp;calendar R1 050428-vl_TJ Masterflow June 15_Wrigley - 05 budget&amp;calendar LE 050824 (25F)_Wrigley - 06 simple chart Sep 14" xfId="4573"/>
    <cellStyle name="_Extra media plan 050329_Copy of Wrigley - 05 budget&amp;calendar R1 050428-vl_TJ Masterflow June 15_Wrigley - 05 budget&amp;calendar LE 050824 (25F)_Wrigley - 06 simple chart Sep 14 2" xfId="4574"/>
    <cellStyle name="_Extra media plan 050329_Copy of Wrigley - 05 budget&amp;calendar R1 050428-vl_TJ Masterflow June 15_Wrigley - 05 budget&amp;calendar LE 050824 (25F)_Wrigley - 06 simple chart Sep 14_Category Template AC'11 @Cst Fx 52W vs 53W" xfId="4575"/>
    <cellStyle name="_Extra media plan 050329_Copy of Wrigley - 05 budget&amp;calendar R1 050428-vl_TJ Masterflow June 15_Wrigley - 05 budget&amp;calendar LE 050824 (25F)_Wrigley - 06 simple chart Sep 14_Category Template AC'11 @Cst Fx 52W vs 53W 2" xfId="4576"/>
    <cellStyle name="_Extra media plan 050329_Copy of Wrigley - 05 budget&amp;calendar R1 050428-vl_TJ Masterflow June 15_Wrigley - 05 budget&amp;calendar LE 050824 (25F)_Wrigley - 06 simple chart Sep 14_Category Template AC'11 @Cst Fx 52W vs 53W_P&amp;L KFE" xfId="4577"/>
    <cellStyle name="_Extra media plan 050329_Copy of Wrigley - 05 budget&amp;calendar R1 050428-vl_TJ Masterflow June 15_Wrigley - 05 budget&amp;calendar LE 050824 (25F)_Wrigley - 06 simple chart Sep 14_Category Template AC'11 @Cst Fx 52W vs 53W_Sheet3" xfId="4578"/>
    <cellStyle name="_Extra media plan 050329_Copy of Wrigley - 05 budget&amp;calendar R1 050428-vl_TJ Masterflow June 15_Wrigley - 05 budget&amp;calendar LE 050824 (25F)_Wrigley - 06 simple chart Sep 14_P&amp;L KFE" xfId="4579"/>
    <cellStyle name="_Extra media plan 050329_Copy of Wrigley - 05 budget&amp;calendar R1 050428-vl_TJ Masterflow June 15_Wrigley - 05 budget&amp;calendar LE 050824 (25F)_Wrigley - 06 simple chart Sep 14_Sheet3" xfId="4580"/>
    <cellStyle name="_Extra media plan 050329_Copy of Wrigley - 05 budget&amp;calendar R1 050428-vl_TJ Masterflow June 15_Wrigley - 05 budget&amp;calendar LE 050824 (25I)" xfId="4581"/>
    <cellStyle name="_Extra media plan 050329_Copy of Wrigley - 05 budget&amp;calendar R1 050428-vl_TJ Masterflow June 15_Wrigley - 05 budget&amp;calendar LE 050824 (25I) 2" xfId="4582"/>
    <cellStyle name="_Extra media plan 050329_Copy of Wrigley - 05 budget&amp;calendar R1 050428-vl_TJ Masterflow June 15_Wrigley - 05 budget&amp;calendar LE 050824 (25I)_Category Template AC'11 @Cst Fx 52W vs 53W" xfId="4583"/>
    <cellStyle name="_Extra media plan 050329_Copy of Wrigley - 05 budget&amp;calendar R1 050428-vl_TJ Masterflow June 15_Wrigley - 05 budget&amp;calendar LE 050824 (25I)_Category Template AC'11 @Cst Fx 52W vs 53W 2" xfId="4584"/>
    <cellStyle name="_Extra media plan 050329_Copy of Wrigley - 05 budget&amp;calendar R1 050428-vl_TJ Masterflow June 15_Wrigley - 05 budget&amp;calendar LE 050824 (25I)_Category Template AC'11 @Cst Fx 52W vs 53W_P&amp;L KFE" xfId="4585"/>
    <cellStyle name="_Extra media plan 050329_Copy of Wrigley - 05 budget&amp;calendar R1 050428-vl_TJ Masterflow June 15_Wrigley - 05 budget&amp;calendar LE 050824 (25I)_Category Template AC'11 @Cst Fx 52W vs 53W_Sheet3" xfId="4586"/>
    <cellStyle name="_Extra media plan 050329_Copy of Wrigley - 05 budget&amp;calendar R1 050428-vl_TJ Masterflow June 15_Wrigley - 05 budget&amp;calendar LE 050824 (25I)_P&amp;L KFE" xfId="4587"/>
    <cellStyle name="_Extra media plan 050329_Copy of Wrigley - 05 budget&amp;calendar R1 050428-vl_TJ Masterflow June 15_Wrigley - 05 budget&amp;calendar LE 050824 (25I)_Sheet3" xfId="4588"/>
    <cellStyle name="_Extra media plan 050329_Copy of Wrigley - 05 budget&amp;calendar R1 050428-vl_TJ Masterflow June 15_Wrigley - 05 budget&amp;calendar LE 050824 (25I)_Wrigley - 06 simple chart Sep 14" xfId="4589"/>
    <cellStyle name="_Extra media plan 050329_Copy of Wrigley - 05 budget&amp;calendar R1 050428-vl_TJ Masterflow June 15_Wrigley - 05 budget&amp;calendar LE 050824 (25I)_Wrigley - 06 simple chart Sep 14 2" xfId="4590"/>
    <cellStyle name="_Extra media plan 050329_Copy of Wrigley - 05 budget&amp;calendar R1 050428-vl_TJ Masterflow June 15_Wrigley - 05 budget&amp;calendar LE 050824 (25I)_Wrigley - 06 simple chart Sep 14_Category Template AC'11 @Cst Fx 52W vs 53W" xfId="4591"/>
    <cellStyle name="_Extra media plan 050329_Copy of Wrigley - 05 budget&amp;calendar R1 050428-vl_TJ Masterflow June 15_Wrigley - 05 budget&amp;calendar LE 050824 (25I)_Wrigley - 06 simple chart Sep 14_Category Template AC'11 @Cst Fx 52W vs 53W 2" xfId="4592"/>
    <cellStyle name="_Extra media plan 050329_Copy of Wrigley - 05 budget&amp;calendar R1 050428-vl_TJ Masterflow June 15_Wrigley - 05 budget&amp;calendar LE 050824 (25I)_Wrigley - 06 simple chart Sep 14_Category Template AC'11 @Cst Fx 52W vs 53W_P&amp;L KFE" xfId="4593"/>
    <cellStyle name="_Extra media plan 050329_Copy of Wrigley - 05 budget&amp;calendar R1 050428-vl_TJ Masterflow June 15_Wrigley - 05 budget&amp;calendar LE 050824 (25I)_Wrigley - 06 simple chart Sep 14_Category Template AC'11 @Cst Fx 52W vs 53W_Sheet3" xfId="4594"/>
    <cellStyle name="_Extra media plan 050329_Copy of Wrigley - 05 budget&amp;calendar R1 050428-vl_TJ Masterflow June 15_Wrigley - 05 budget&amp;calendar LE 050824 (25I)_Wrigley - 06 simple chart Sep 14_P&amp;L KFE" xfId="4595"/>
    <cellStyle name="_Extra media plan 050329_Copy of Wrigley - 05 budget&amp;calendar R1 050428-vl_TJ Masterflow June 15_Wrigley - 05 budget&amp;calendar LE 050824 (25I)_Wrigley - 06 simple chart Sep 14_Sheet3" xfId="4596"/>
    <cellStyle name="_Extra media plan 050329_Copy of Wrigley - 05 budget&amp;calendar R1 050428-vl_TJ Masterflow June 15_Wrigley - 06 simple chart Sep 14" xfId="4597"/>
    <cellStyle name="_Extra media plan 050329_Copy of Wrigley - 05 budget&amp;calendar R1 050428-vl_TJ Masterflow June 15_Wrigley - 06 simple chart Sep 14 2" xfId="4598"/>
    <cellStyle name="_Extra media plan 050329_Copy of Wrigley - 05 budget&amp;calendar R1 050428-vl_TJ Masterflow June 15_Wrigley - 06 simple chart Sep 14_Category Template AC'11 @Cst Fx 52W vs 53W" xfId="4599"/>
    <cellStyle name="_Extra media plan 050329_Copy of Wrigley - 05 budget&amp;calendar R1 050428-vl_TJ Masterflow June 15_Wrigley - 06 simple chart Sep 14_Category Template AC'11 @Cst Fx 52W vs 53W 2" xfId="4600"/>
    <cellStyle name="_Extra media plan 050329_Copy of Wrigley - 05 budget&amp;calendar R1 050428-vl_TJ Masterflow June 15_Wrigley - 06 simple chart Sep 14_Category Template AC'11 @Cst Fx 52W vs 53W_P&amp;L KFE" xfId="4601"/>
    <cellStyle name="_Extra media plan 050329_Copy of Wrigley - 05 budget&amp;calendar R1 050428-vl_TJ Masterflow June 15_Wrigley - 06 simple chart Sep 14_Category Template AC'11 @Cst Fx 52W vs 53W_Sheet3" xfId="4602"/>
    <cellStyle name="_Extra media plan 050329_Copy of Wrigley - 05 budget&amp;calendar R1 050428-vl_TJ Masterflow June 15_Wrigley - 06 simple chart Sep 14_P&amp;L KFE" xfId="4603"/>
    <cellStyle name="_Extra media plan 050329_Copy of Wrigley - 05 budget&amp;calendar R1 050428-vl_TJ Masterflow June 15_Wrigley - 06 simple chart Sep 14_Sheet3" xfId="4604"/>
    <cellStyle name="_Extra media plan 050329_Copy of Wrigley - 05 budget&amp;calendar R1 050428-vl_TP Masterflow June 15a" xfId="4605"/>
    <cellStyle name="_Extra media plan 050329_Copy of Wrigley - 05 budget&amp;calendar R1 050428-vl_TP Masterflow June 15a 2" xfId="4606"/>
    <cellStyle name="_Extra media plan 050329_Copy of Wrigley - 05 budget&amp;calendar R1 050428-vl_TP Masterflow June 15a_Book5" xfId="4607"/>
    <cellStyle name="_Extra media plan 050329_Copy of Wrigley - 05 budget&amp;calendar R1 050428-vl_TP Masterflow June 15a_Book5 2" xfId="4608"/>
    <cellStyle name="_Extra media plan 050329_Copy of Wrigley - 05 budget&amp;calendar R1 050428-vl_TP Masterflow June 15a_Book5_Category Template AC'11 @Cst Fx 52W vs 53W" xfId="4609"/>
    <cellStyle name="_Extra media plan 050329_Copy of Wrigley - 05 budget&amp;calendar R1 050428-vl_TP Masterflow June 15a_Book5_Category Template AC'11 @Cst Fx 52W vs 53W 2" xfId="4610"/>
    <cellStyle name="_Extra media plan 050329_Copy of Wrigley - 05 budget&amp;calendar R1 050428-vl_TP Masterflow June 15a_Book5_Category Template AC'11 @Cst Fx 52W vs 53W_P&amp;L KFE" xfId="4611"/>
    <cellStyle name="_Extra media plan 050329_Copy of Wrigley - 05 budget&amp;calendar R1 050428-vl_TP Masterflow June 15a_Book5_Category Template AC'11 @Cst Fx 52W vs 53W_Sheet3" xfId="4612"/>
    <cellStyle name="_Extra media plan 050329_Copy of Wrigley - 05 budget&amp;calendar R1 050428-vl_TP Masterflow June 15a_Book5_P&amp;L KFE" xfId="4613"/>
    <cellStyle name="_Extra media plan 050329_Copy of Wrigley - 05 budget&amp;calendar R1 050428-vl_TP Masterflow June 15a_Book5_Sheet3" xfId="4614"/>
    <cellStyle name="_Extra media plan 050329_Copy of Wrigley - 05 budget&amp;calendar R1 050428-vl_TP Masterflow June 15a_Category Template AC'11 @Cst Fx 52W vs 53W" xfId="4615"/>
    <cellStyle name="_Extra media plan 050329_Copy of Wrigley - 05 budget&amp;calendar R1 050428-vl_TP Masterflow June 15a_Category Template AC'11 @Cst Fx 52W vs 53W 2" xfId="4616"/>
    <cellStyle name="_Extra media plan 050329_Copy of Wrigley - 05 budget&amp;calendar R1 050428-vl_TP Masterflow June 15a_Category Template AC'11 @Cst Fx 52W vs 53W_P&amp;L KFE" xfId="4617"/>
    <cellStyle name="_Extra media plan 050329_Copy of Wrigley - 05 budget&amp;calendar R1 050428-vl_TP Masterflow June 15a_Category Template AC'11 @Cst Fx 52W vs 53W_Sheet3" xfId="4618"/>
    <cellStyle name="_Extra media plan 050329_Copy of Wrigley - 05 budget&amp;calendar R1 050428-vl_TP Masterflow June 15a_P&amp;L KFE" xfId="4619"/>
    <cellStyle name="_Extra media plan 050329_Copy of Wrigley - 05 budget&amp;calendar R1 050428-vl_TP Masterflow June 15a_Sheet3" xfId="4620"/>
    <cellStyle name="_Extra media plan 050329_Copy of Wrigley - 05 budget&amp;calendar R1 050428-vl_TP Masterflow June 15a_Wrigley - 05 budget&amp;calendar LE 050728 (25I)" xfId="4621"/>
    <cellStyle name="_Extra media plan 050329_Copy of Wrigley - 05 budget&amp;calendar R1 050428-vl_TP Masterflow June 15a_Wrigley - 05 budget&amp;calendar LE 050728 (25I) 2" xfId="4622"/>
    <cellStyle name="_Extra media plan 050329_Copy of Wrigley - 05 budget&amp;calendar R1 050428-vl_TP Masterflow June 15a_Wrigley - 05 budget&amp;calendar LE 050728 (25I)_Category Template AC'11 @Cst Fx 52W vs 53W" xfId="4623"/>
    <cellStyle name="_Extra media plan 050329_Copy of Wrigley - 05 budget&amp;calendar R1 050428-vl_TP Masterflow June 15a_Wrigley - 05 budget&amp;calendar LE 050728 (25I)_Category Template AC'11 @Cst Fx 52W vs 53W 2" xfId="4624"/>
    <cellStyle name="_Extra media plan 050329_Copy of Wrigley - 05 budget&amp;calendar R1 050428-vl_TP Masterflow June 15a_Wrigley - 05 budget&amp;calendar LE 050728 (25I)_Category Template AC'11 @Cst Fx 52W vs 53W_P&amp;L KFE" xfId="4625"/>
    <cellStyle name="_Extra media plan 050329_Copy of Wrigley - 05 budget&amp;calendar R1 050428-vl_TP Masterflow June 15a_Wrigley - 05 budget&amp;calendar LE 050728 (25I)_Category Template AC'11 @Cst Fx 52W vs 53W_Sheet3" xfId="4626"/>
    <cellStyle name="_Extra media plan 050329_Copy of Wrigley - 05 budget&amp;calendar R1 050428-vl_TP Masterflow June 15a_Wrigley - 05 budget&amp;calendar LE 050728 (25I)_P&amp;L KFE" xfId="4627"/>
    <cellStyle name="_Extra media plan 050329_Copy of Wrigley - 05 budget&amp;calendar R1 050428-vl_TP Masterflow June 15a_Wrigley - 05 budget&amp;calendar LE 050728 (25I)_Sheet3" xfId="4628"/>
    <cellStyle name="_Extra media plan 050329_Copy of Wrigley - 05 budget&amp;calendar R1 050428-vl_TP Masterflow June 15a_Wrigley - 05 budget&amp;calendar LE 050728 (25I)_Wrigley - 06 simple chart Sep 14" xfId="4629"/>
    <cellStyle name="_Extra media plan 050329_Copy of Wrigley - 05 budget&amp;calendar R1 050428-vl_TP Masterflow June 15a_Wrigley - 05 budget&amp;calendar LE 050728 (25I)_Wrigley - 06 simple chart Sep 14 2" xfId="4630"/>
    <cellStyle name="_Extra media plan 050329_Copy of Wrigley - 05 budget&amp;calendar R1 050428-vl_TP Masterflow June 15a_Wrigley - 05 budget&amp;calendar LE 050728 (25I)_Wrigley - 06 simple chart Sep 14_Category Template AC'11 @Cst Fx 52W vs 53W" xfId="4631"/>
    <cellStyle name="_Extra media plan 050329_Copy of Wrigley - 05 budget&amp;calendar R1 050428-vl_TP Masterflow June 15a_Wrigley - 05 budget&amp;calendar LE 050728 (25I)_Wrigley - 06 simple chart Sep 14_Category Template AC'11 @Cst Fx 52W vs 53W 2" xfId="4632"/>
    <cellStyle name="_Extra media plan 050329_Copy of Wrigley - 05 budget&amp;calendar R1 050428-vl_TP Masterflow June 15a_Wrigley - 05 budget&amp;calendar LE 050728 (25I)_Wrigley - 06 simple chart Sep 14_Category Template AC'11 @Cst Fx 52W vs 53W_P&amp;L KFE" xfId="4633"/>
    <cellStyle name="_Extra media plan 050329_Copy of Wrigley - 05 budget&amp;calendar R1 050428-vl_TP Masterflow June 15a_Wrigley - 05 budget&amp;calendar LE 050728 (25I)_Wrigley - 06 simple chart Sep 14_Category Template AC'11 @Cst Fx 52W vs 53W_Sheet3" xfId="4634"/>
    <cellStyle name="_Extra media plan 050329_Copy of Wrigley - 05 budget&amp;calendar R1 050428-vl_TP Masterflow June 15a_Wrigley - 05 budget&amp;calendar LE 050728 (25I)_Wrigley - 06 simple chart Sep 14_P&amp;L KFE" xfId="4635"/>
    <cellStyle name="_Extra media plan 050329_Copy of Wrigley - 05 budget&amp;calendar R1 050428-vl_TP Masterflow June 15a_Wrigley - 05 budget&amp;calendar LE 050728 (25I)_Wrigley - 06 simple chart Sep 14_Sheet3" xfId="4636"/>
    <cellStyle name="_Extra media plan 050329_Copy of Wrigley - 05 budget&amp;calendar R1 050428-vl_TP Masterflow June 15a_Wrigley - 05 budget&amp;calendar LE 050824 (25F)" xfId="4637"/>
    <cellStyle name="_Extra media plan 050329_Copy of Wrigley - 05 budget&amp;calendar R1 050428-vl_TP Masterflow June 15a_Wrigley - 05 budget&amp;calendar LE 050824 (25F) 2" xfId="4638"/>
    <cellStyle name="_Extra media plan 050329_Copy of Wrigley - 05 budget&amp;calendar R1 050428-vl_TP Masterflow June 15a_Wrigley - 05 budget&amp;calendar LE 050824 (25F)_Category Template AC'11 @Cst Fx 52W vs 53W" xfId="4639"/>
    <cellStyle name="_Extra media plan 050329_Copy of Wrigley - 05 budget&amp;calendar R1 050428-vl_TP Masterflow June 15a_Wrigley - 05 budget&amp;calendar LE 050824 (25F)_Category Template AC'11 @Cst Fx 52W vs 53W 2" xfId="4640"/>
    <cellStyle name="_Extra media plan 050329_Copy of Wrigley - 05 budget&amp;calendar R1 050428-vl_TP Masterflow June 15a_Wrigley - 05 budget&amp;calendar LE 050824 (25F)_Category Template AC'11 @Cst Fx 52W vs 53W_P&amp;L KFE" xfId="4641"/>
    <cellStyle name="_Extra media plan 050329_Copy of Wrigley - 05 budget&amp;calendar R1 050428-vl_TP Masterflow June 15a_Wrigley - 05 budget&amp;calendar LE 050824 (25F)_Category Template AC'11 @Cst Fx 52W vs 53W_Sheet3" xfId="4642"/>
    <cellStyle name="_Extra media plan 050329_Copy of Wrigley - 05 budget&amp;calendar R1 050428-vl_TP Masterflow June 15a_Wrigley - 05 budget&amp;calendar LE 050824 (25F)_P&amp;L KFE" xfId="4643"/>
    <cellStyle name="_Extra media plan 050329_Copy of Wrigley - 05 budget&amp;calendar R1 050428-vl_TP Masterflow June 15a_Wrigley - 05 budget&amp;calendar LE 050824 (25F)_Sheet3" xfId="4644"/>
    <cellStyle name="_Extra media plan 050329_Copy of Wrigley - 05 budget&amp;calendar R1 050428-vl_TP Masterflow June 15a_Wrigley - 05 budget&amp;calendar LE 050824 (25F)_Wrigley - 06 simple chart Sep 14" xfId="4645"/>
    <cellStyle name="_Extra media plan 050329_Copy of Wrigley - 05 budget&amp;calendar R1 050428-vl_TP Masterflow June 15a_Wrigley - 05 budget&amp;calendar LE 050824 (25F)_Wrigley - 06 simple chart Sep 14 2" xfId="4646"/>
    <cellStyle name="_Extra media plan 050329_Copy of Wrigley - 05 budget&amp;calendar R1 050428-vl_TP Masterflow June 15a_Wrigley - 05 budget&amp;calendar LE 050824 (25F)_Wrigley - 06 simple chart Sep 14_Category Template AC'11 @Cst Fx 52W vs 53W" xfId="4647"/>
    <cellStyle name="_Extra media plan 050329_Copy of Wrigley - 05 budget&amp;calendar R1 050428-vl_TP Masterflow June 15a_Wrigley - 05 budget&amp;calendar LE 050824 (25F)_Wrigley - 06 simple chart Sep 14_Category Template AC'11 @Cst Fx 52W vs 53W 2" xfId="4648"/>
    <cellStyle name="_Extra media plan 050329_Copy of Wrigley - 05 budget&amp;calendar R1 050428-vl_TP Masterflow June 15a_Wrigley - 05 budget&amp;calendar LE 050824 (25F)_Wrigley - 06 simple chart Sep 14_Category Template AC'11 @Cst Fx 52W vs 53W_P&amp;L KFE" xfId="4649"/>
    <cellStyle name="_Extra media plan 050329_Copy of Wrigley - 05 budget&amp;calendar R1 050428-vl_TP Masterflow June 15a_Wrigley - 05 budget&amp;calendar LE 050824 (25F)_Wrigley - 06 simple chart Sep 14_Category Template AC'11 @Cst Fx 52W vs 53W_Sheet3" xfId="4650"/>
    <cellStyle name="_Extra media plan 050329_Copy of Wrigley - 05 budget&amp;calendar R1 050428-vl_TP Masterflow June 15a_Wrigley - 05 budget&amp;calendar LE 050824 (25F)_Wrigley - 06 simple chart Sep 14_P&amp;L KFE" xfId="4651"/>
    <cellStyle name="_Extra media plan 050329_Copy of Wrigley - 05 budget&amp;calendar R1 050428-vl_TP Masterflow June 15a_Wrigley - 05 budget&amp;calendar LE 050824 (25F)_Wrigley - 06 simple chart Sep 14_Sheet3" xfId="4652"/>
    <cellStyle name="_Extra media plan 050329_Copy of Wrigley - 05 budget&amp;calendar R1 050428-vl_TP Masterflow June 15a_Wrigley - 05 budget&amp;calendar LE 050824 (25I)" xfId="4653"/>
    <cellStyle name="_Extra media plan 050329_Copy of Wrigley - 05 budget&amp;calendar R1 050428-vl_TP Masterflow June 15a_Wrigley - 05 budget&amp;calendar LE 050824 (25I) 2" xfId="4654"/>
    <cellStyle name="_Extra media plan 050329_Copy of Wrigley - 05 budget&amp;calendar R1 050428-vl_TP Masterflow June 15a_Wrigley - 05 budget&amp;calendar LE 050824 (25I)_Category Template AC'11 @Cst Fx 52W vs 53W" xfId="4655"/>
    <cellStyle name="_Extra media plan 050329_Copy of Wrigley - 05 budget&amp;calendar R1 050428-vl_TP Masterflow June 15a_Wrigley - 05 budget&amp;calendar LE 050824 (25I)_Category Template AC'11 @Cst Fx 52W vs 53W 2" xfId="4656"/>
    <cellStyle name="_Extra media plan 050329_Copy of Wrigley - 05 budget&amp;calendar R1 050428-vl_TP Masterflow June 15a_Wrigley - 05 budget&amp;calendar LE 050824 (25I)_Category Template AC'11 @Cst Fx 52W vs 53W_P&amp;L KFE" xfId="4657"/>
    <cellStyle name="_Extra media plan 050329_Copy of Wrigley - 05 budget&amp;calendar R1 050428-vl_TP Masterflow June 15a_Wrigley - 05 budget&amp;calendar LE 050824 (25I)_Category Template AC'11 @Cst Fx 52W vs 53W_Sheet3" xfId="4658"/>
    <cellStyle name="_Extra media plan 050329_Copy of Wrigley - 05 budget&amp;calendar R1 050428-vl_TP Masterflow June 15a_Wrigley - 05 budget&amp;calendar LE 050824 (25I)_P&amp;L KFE" xfId="4659"/>
    <cellStyle name="_Extra media plan 050329_Copy of Wrigley - 05 budget&amp;calendar R1 050428-vl_TP Masterflow June 15a_Wrigley - 05 budget&amp;calendar LE 050824 (25I)_Sheet3" xfId="4660"/>
    <cellStyle name="_Extra media plan 050329_Copy of Wrigley - 05 budget&amp;calendar R1 050428-vl_TP Masterflow June 15a_Wrigley - 05 budget&amp;calendar LE 050824 (25I)_Wrigley - 06 simple chart Sep 14" xfId="4661"/>
    <cellStyle name="_Extra media plan 050329_Copy of Wrigley - 05 budget&amp;calendar R1 050428-vl_TP Masterflow June 15a_Wrigley - 05 budget&amp;calendar LE 050824 (25I)_Wrigley - 06 simple chart Sep 14 2" xfId="4662"/>
    <cellStyle name="_Extra media plan 050329_Copy of Wrigley - 05 budget&amp;calendar R1 050428-vl_TP Masterflow June 15a_Wrigley - 05 budget&amp;calendar LE 050824 (25I)_Wrigley - 06 simple chart Sep 14_Category Template AC'11 @Cst Fx 52W vs 53W" xfId="4663"/>
    <cellStyle name="_Extra media plan 050329_Copy of Wrigley - 05 budget&amp;calendar R1 050428-vl_TP Masterflow June 15a_Wrigley - 05 budget&amp;calendar LE 050824 (25I)_Wrigley - 06 simple chart Sep 14_Category Template AC'11 @Cst Fx 52W vs 53W 2" xfId="4664"/>
    <cellStyle name="_Extra media plan 050329_Copy of Wrigley - 05 budget&amp;calendar R1 050428-vl_TP Masterflow June 15a_Wrigley - 05 budget&amp;calendar LE 050824 (25I)_Wrigley - 06 simple chart Sep 14_Category Template AC'11 @Cst Fx 52W vs 53W_P&amp;L KFE" xfId="4665"/>
    <cellStyle name="_Extra media plan 050329_Copy of Wrigley - 05 budget&amp;calendar R1 050428-vl_TP Masterflow June 15a_Wrigley - 05 budget&amp;calendar LE 050824 (25I)_Wrigley - 06 simple chart Sep 14_Category Template AC'11 @Cst Fx 52W vs 53W_Sheet3" xfId="4666"/>
    <cellStyle name="_Extra media plan 050329_Copy of Wrigley - 05 budget&amp;calendar R1 050428-vl_TP Masterflow June 15a_Wrigley - 05 budget&amp;calendar LE 050824 (25I)_Wrigley - 06 simple chart Sep 14_P&amp;L KFE" xfId="4667"/>
    <cellStyle name="_Extra media plan 050329_Copy of Wrigley - 05 budget&amp;calendar R1 050428-vl_TP Masterflow June 15a_Wrigley - 05 budget&amp;calendar LE 050824 (25I)_Wrigley - 06 simple chart Sep 14_Sheet3" xfId="4668"/>
    <cellStyle name="_Extra media plan 050329_Copy of Wrigley - 05 budget&amp;calendar R1 050428-vl_TP Masterflow June 15a_Wrigley - 06 simple chart Sep 14" xfId="4669"/>
    <cellStyle name="_Extra media plan 050329_Copy of Wrigley - 05 budget&amp;calendar R1 050428-vl_TP Masterflow June 15a_Wrigley - 06 simple chart Sep 14 2" xfId="4670"/>
    <cellStyle name="_Extra media plan 050329_Copy of Wrigley - 05 budget&amp;calendar R1 050428-vl_TP Masterflow June 15a_Wrigley - 06 simple chart Sep 14_Category Template AC'11 @Cst Fx 52W vs 53W" xfId="4671"/>
    <cellStyle name="_Extra media plan 050329_Copy of Wrigley - 05 budget&amp;calendar R1 050428-vl_TP Masterflow June 15a_Wrigley - 06 simple chart Sep 14_Category Template AC'11 @Cst Fx 52W vs 53W 2" xfId="4672"/>
    <cellStyle name="_Extra media plan 050329_Copy of Wrigley - 05 budget&amp;calendar R1 050428-vl_TP Masterflow June 15a_Wrigley - 06 simple chart Sep 14_Category Template AC'11 @Cst Fx 52W vs 53W_P&amp;L KFE" xfId="4673"/>
    <cellStyle name="_Extra media plan 050329_Copy of Wrigley - 05 budget&amp;calendar R1 050428-vl_TP Masterflow June 15a_Wrigley - 06 simple chart Sep 14_Category Template AC'11 @Cst Fx 52W vs 53W_Sheet3" xfId="4674"/>
    <cellStyle name="_Extra media plan 050329_Copy of Wrigley - 05 budget&amp;calendar R1 050428-vl_TP Masterflow June 15a_Wrigley - 06 simple chart Sep 14_P&amp;L KFE" xfId="4675"/>
    <cellStyle name="_Extra media plan 050329_Copy of Wrigley - 05 budget&amp;calendar R1 050428-vl_TP Masterflow June 15a_Wrigley - 06 simple chart Sep 14_Sheet3" xfId="4676"/>
    <cellStyle name="_Extra media plan 050329_Copy of Wrigley - 05 budget&amp;calendar R1 050428-vl_Wrigley - 05 budget&amp;calendar 1R 050609 (23I)_Jun 16b" xfId="4677"/>
    <cellStyle name="_Extra media plan 050329_Copy of Wrigley - 05 budget&amp;calendar R1 050428-vl_Wrigley - 05 budget&amp;calendar 1R 050609 (23I)_Jun 16b 2" xfId="4678"/>
    <cellStyle name="_Extra media plan 050329_Copy of Wrigley - 05 budget&amp;calendar R1 050428-vl_Wrigley - 05 budget&amp;calendar 1R 050609 (23I)_Jun 16b_Book5" xfId="4679"/>
    <cellStyle name="_Extra media plan 050329_Copy of Wrigley - 05 budget&amp;calendar R1 050428-vl_Wrigley - 05 budget&amp;calendar 1R 050609 (23I)_Jun 16b_Book5 2" xfId="4680"/>
    <cellStyle name="_Extra media plan 050329_Copy of Wrigley - 05 budget&amp;calendar R1 050428-vl_Wrigley - 05 budget&amp;calendar 1R 050609 (23I)_Jun 16b_Book5_Category Template AC'11 @Cst Fx 52W vs 53W" xfId="4681"/>
    <cellStyle name="_Extra media plan 050329_Copy of Wrigley - 05 budget&amp;calendar R1 050428-vl_Wrigley - 05 budget&amp;calendar 1R 050609 (23I)_Jun 16b_Book5_Category Template AC'11 @Cst Fx 52W vs 53W 2" xfId="4682"/>
    <cellStyle name="_Extra media plan 050329_Copy of Wrigley - 05 budget&amp;calendar R1 050428-vl_Wrigley - 05 budget&amp;calendar 1R 050609 (23I)_Jun 16b_Book5_Category Template AC'11 @Cst Fx 52W vs 53W_P&amp;L KFE" xfId="4683"/>
    <cellStyle name="_Extra media plan 050329_Copy of Wrigley - 05 budget&amp;calendar R1 050428-vl_Wrigley - 05 budget&amp;calendar 1R 050609 (23I)_Jun 16b_Book5_Category Template AC'11 @Cst Fx 52W vs 53W_Sheet3" xfId="4684"/>
    <cellStyle name="_Extra media plan 050329_Copy of Wrigley - 05 budget&amp;calendar R1 050428-vl_Wrigley - 05 budget&amp;calendar 1R 050609 (23I)_Jun 16b_Book5_P&amp;L KFE" xfId="4685"/>
    <cellStyle name="_Extra media plan 050329_Copy of Wrigley - 05 budget&amp;calendar R1 050428-vl_Wrigley - 05 budget&amp;calendar 1R 050609 (23I)_Jun 16b_Book5_Sheet3" xfId="4686"/>
    <cellStyle name="_Extra media plan 050329_Copy of Wrigley - 05 budget&amp;calendar R1 050428-vl_Wrigley - 05 budget&amp;calendar 1R 050609 (23I)_Jun 16b_Category Template AC'11 @Cst Fx 52W vs 53W" xfId="4687"/>
    <cellStyle name="_Extra media plan 050329_Copy of Wrigley - 05 budget&amp;calendar R1 050428-vl_Wrigley - 05 budget&amp;calendar 1R 050609 (23I)_Jun 16b_Category Template AC'11 @Cst Fx 52W vs 53W 2" xfId="4688"/>
    <cellStyle name="_Extra media plan 050329_Copy of Wrigley - 05 budget&amp;calendar R1 050428-vl_Wrigley - 05 budget&amp;calendar 1R 050609 (23I)_Jun 16b_Category Template AC'11 @Cst Fx 52W vs 53W_P&amp;L KFE" xfId="4689"/>
    <cellStyle name="_Extra media plan 050329_Copy of Wrigley - 05 budget&amp;calendar R1 050428-vl_Wrigley - 05 budget&amp;calendar 1R 050609 (23I)_Jun 16b_Category Template AC'11 @Cst Fx 52W vs 53W_Sheet3" xfId="4690"/>
    <cellStyle name="_Extra media plan 050329_Copy of Wrigley - 05 budget&amp;calendar R1 050428-vl_Wrigley - 05 budget&amp;calendar 1R 050609 (23I)_Jun 16b_P&amp;L KFE" xfId="4691"/>
    <cellStyle name="_Extra media plan 050329_Copy of Wrigley - 05 budget&amp;calendar R1 050428-vl_Wrigley - 05 budget&amp;calendar 1R 050609 (23I)_Jun 16b_Sheet3" xfId="4692"/>
    <cellStyle name="_Extra media plan 050329_Copy of Wrigley - 05 budget&amp;calendar R1 050428-vl_Wrigley - 05 budget&amp;calendar 1R 050609 (23I)_Jun 16b_Wrigley - 05 budget&amp;calendar LE 050728 (25I)" xfId="4693"/>
    <cellStyle name="_Extra media plan 050329_Copy of Wrigley - 05 budget&amp;calendar R1 050428-vl_Wrigley - 05 budget&amp;calendar 1R 050609 (23I)_Jun 16b_Wrigley - 05 budget&amp;calendar LE 050728 (25I) 2" xfId="4694"/>
    <cellStyle name="_Extra media plan 050329_Copy of Wrigley - 05 budget&amp;calendar R1 050428-vl_Wrigley - 05 budget&amp;calendar 1R 050609 (23I)_Jun 16b_Wrigley - 05 budget&amp;calendar LE 050728 (25I)_Category Template AC'11 @Cst Fx 52W vs 53W" xfId="4695"/>
    <cellStyle name="_Extra media plan 050329_Copy of Wrigley - 05 budget&amp;calendar R1 050428-vl_Wrigley - 05 budget&amp;calendar 1R 050609 (23I)_Jun 16b_Wrigley - 05 budget&amp;calendar LE 050728 (25I)_Category Template AC'11 @Cst Fx 52W vs 53W 2" xfId="4696"/>
    <cellStyle name="_Extra media plan 050329_Copy of Wrigley - 05 budget&amp;calendar R1 050428-vl_Wrigley - 05 budget&amp;calendar 1R 050609 (23I)_Jun 16b_Wrigley - 05 budget&amp;calendar LE 050728 (25I)_Category Template AC'11 @Cst Fx 52W vs 53W_P&amp;L KFE" xfId="4697"/>
    <cellStyle name="_Extra media plan 050329_Copy of Wrigley - 05 budget&amp;calendar R1 050428-vl_Wrigley - 05 budget&amp;calendar 1R 050609 (23I)_Jun 16b_Wrigley - 05 budget&amp;calendar LE 050728 (25I)_Category Template AC'11 @Cst Fx 52W vs 53W_Sheet3" xfId="4698"/>
    <cellStyle name="_Extra media plan 050329_Copy of Wrigley - 05 budget&amp;calendar R1 050428-vl_Wrigley - 05 budget&amp;calendar 1R 050609 (23I)_Jun 16b_Wrigley - 05 budget&amp;calendar LE 050728 (25I)_P&amp;L KFE" xfId="4699"/>
    <cellStyle name="_Extra media plan 050329_Copy of Wrigley - 05 budget&amp;calendar R1 050428-vl_Wrigley - 05 budget&amp;calendar 1R 050609 (23I)_Jun 16b_Wrigley - 05 budget&amp;calendar LE 050728 (25I)_Sheet3" xfId="4700"/>
    <cellStyle name="_Extra media plan 050329_Copy of Wrigley - 05 budget&amp;calendar R1 050428-vl_Wrigley - 05 budget&amp;calendar 1R 050609 (23I)_Jun 16b_Wrigley - 05 budget&amp;calendar LE 050728 (25I)_Wrigley - 06 simple chart Sep 14" xfId="4701"/>
    <cellStyle name="_Extra media plan 050329_Copy of Wrigley - 05 budget&amp;calendar R1 050428-vl_Wrigley - 05 budget&amp;calendar 1R 050609 (23I)_Jun 16b_Wrigley - 05 budget&amp;calendar LE 050728 (25I)_Wrigley - 06 simple chart Sep 14 2" xfId="4702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" xfId="4703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 2" xfId="4704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_P&amp;L KF" xfId="4705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_Sheet3" xfId="4706"/>
    <cellStyle name="_Extra media plan 050329_Copy of Wrigley - 05 budget&amp;calendar R1 050428-vl_Wrigley - 05 budget&amp;calendar 1R 050609 (23I)_Jun 16b_Wrigley - 05 budget&amp;calendar LE 050728 (25I)_Wrigley - 06 simple chart Sep 14_P&amp;L KFE" xfId="4707"/>
    <cellStyle name="_Extra media plan 050329_Copy of Wrigley - 05 budget&amp;calendar R1 050428-vl_Wrigley - 05 budget&amp;calendar 1R 050609 (23I)_Jun 16b_Wrigley - 05 budget&amp;calendar LE 050728 (25I)_Wrigley - 06 simple chart Sep 14_Sheet3" xfId="4708"/>
    <cellStyle name="_Extra media plan 050329_Copy of Wrigley - 05 budget&amp;calendar R1 050428-vl_Wrigley - 05 budget&amp;calendar 1R 050609 (23I)_Jun 16b_Wrigley - 05 budget&amp;calendar LE 050824 (25F)" xfId="4709"/>
    <cellStyle name="_Extra media plan 050329_Copy of Wrigley - 05 budget&amp;calendar R1 050428-vl_Wrigley - 05 budget&amp;calendar 1R 050609 (23I)_Jun 16b_Wrigley - 05 budget&amp;calendar LE 050824 (25F) 2" xfId="4710"/>
    <cellStyle name="_Extra media plan 050329_Copy of Wrigley - 05 budget&amp;calendar R1 050428-vl_Wrigley - 05 budget&amp;calendar 1R 050609 (23I)_Jun 16b_Wrigley - 05 budget&amp;calendar LE 050824 (25F)_Category Template AC'11 @Cst Fx 52W vs 53W" xfId="4711"/>
    <cellStyle name="_Extra media plan 050329_Copy of Wrigley - 05 budget&amp;calendar R1 050428-vl_Wrigley - 05 budget&amp;calendar 1R 050609 (23I)_Jun 16b_Wrigley - 05 budget&amp;calendar LE 050824 (25F)_Category Template AC'11 @Cst Fx 52W vs 53W 2" xfId="4712"/>
    <cellStyle name="_Extra media plan 050329_Copy of Wrigley - 05 budget&amp;calendar R1 050428-vl_Wrigley - 05 budget&amp;calendar 1R 050609 (23I)_Jun 16b_Wrigley - 05 budget&amp;calendar LE 050824 (25F)_Category Template AC'11 @Cst Fx 52W vs 53W_P&amp;L KFE" xfId="4713"/>
    <cellStyle name="_Extra media plan 050329_Copy of Wrigley - 05 budget&amp;calendar R1 050428-vl_Wrigley - 05 budget&amp;calendar 1R 050609 (23I)_Jun 16b_Wrigley - 05 budget&amp;calendar LE 050824 (25F)_Category Template AC'11 @Cst Fx 52W vs 53W_Sheet3" xfId="4714"/>
    <cellStyle name="_Extra media plan 050329_Copy of Wrigley - 05 budget&amp;calendar R1 050428-vl_Wrigley - 05 budget&amp;calendar 1R 050609 (23I)_Jun 16b_Wrigley - 05 budget&amp;calendar LE 050824 (25F)_P&amp;L KFE" xfId="4715"/>
    <cellStyle name="_Extra media plan 050329_Copy of Wrigley - 05 budget&amp;calendar R1 050428-vl_Wrigley - 05 budget&amp;calendar 1R 050609 (23I)_Jun 16b_Wrigley - 05 budget&amp;calendar LE 050824 (25F)_Sheet3" xfId="4716"/>
    <cellStyle name="_Extra media plan 050329_Copy of Wrigley - 05 budget&amp;calendar R1 050428-vl_Wrigley - 05 budget&amp;calendar 1R 050609 (23I)_Jun 16b_Wrigley - 05 budget&amp;calendar LE 050824 (25F)_Wrigley - 06 simple chart Sep 14" xfId="4717"/>
    <cellStyle name="_Extra media plan 050329_Copy of Wrigley - 05 budget&amp;calendar R1 050428-vl_Wrigley - 05 budget&amp;calendar 1R 050609 (23I)_Jun 16b_Wrigley - 05 budget&amp;calendar LE 050824 (25F)_Wrigley - 06 simple chart Sep 14 2" xfId="4718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" xfId="4719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 2" xfId="4720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_P&amp;L KF" xfId="4721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_Sheet3" xfId="4722"/>
    <cellStyle name="_Extra media plan 050329_Copy of Wrigley - 05 budget&amp;calendar R1 050428-vl_Wrigley - 05 budget&amp;calendar 1R 050609 (23I)_Jun 16b_Wrigley - 05 budget&amp;calendar LE 050824 (25F)_Wrigley - 06 simple chart Sep 14_P&amp;L KFE" xfId="4723"/>
    <cellStyle name="_Extra media plan 050329_Copy of Wrigley - 05 budget&amp;calendar R1 050428-vl_Wrigley - 05 budget&amp;calendar 1R 050609 (23I)_Jun 16b_Wrigley - 05 budget&amp;calendar LE 050824 (25F)_Wrigley - 06 simple chart Sep 14_Sheet3" xfId="4724"/>
    <cellStyle name="_Extra media plan 050329_Copy of Wrigley - 05 budget&amp;calendar R1 050428-vl_Wrigley - 05 budget&amp;calendar 1R 050609 (23I)_Jun 16b_Wrigley - 05 budget&amp;calendar LE 050824 (25I)" xfId="4725"/>
    <cellStyle name="_Extra media plan 050329_Copy of Wrigley - 05 budget&amp;calendar R1 050428-vl_Wrigley - 05 budget&amp;calendar 1R 050609 (23I)_Jun 16b_Wrigley - 05 budget&amp;calendar LE 050824 (25I) 2" xfId="4726"/>
    <cellStyle name="_Extra media plan 050329_Copy of Wrigley - 05 budget&amp;calendar R1 050428-vl_Wrigley - 05 budget&amp;calendar 1R 050609 (23I)_Jun 16b_Wrigley - 05 budget&amp;calendar LE 050824 (25I)_Category Template AC'11 @Cst Fx 52W vs 53W" xfId="4727"/>
    <cellStyle name="_Extra media plan 050329_Copy of Wrigley - 05 budget&amp;calendar R1 050428-vl_Wrigley - 05 budget&amp;calendar 1R 050609 (23I)_Jun 16b_Wrigley - 05 budget&amp;calendar LE 050824 (25I)_Category Template AC'11 @Cst Fx 52W vs 53W 2" xfId="4728"/>
    <cellStyle name="_Extra media plan 050329_Copy of Wrigley - 05 budget&amp;calendar R1 050428-vl_Wrigley - 05 budget&amp;calendar 1R 050609 (23I)_Jun 16b_Wrigley - 05 budget&amp;calendar LE 050824 (25I)_Category Template AC'11 @Cst Fx 52W vs 53W_P&amp;L KFE" xfId="4729"/>
    <cellStyle name="_Extra media plan 050329_Copy of Wrigley - 05 budget&amp;calendar R1 050428-vl_Wrigley - 05 budget&amp;calendar 1R 050609 (23I)_Jun 16b_Wrigley - 05 budget&amp;calendar LE 050824 (25I)_Category Template AC'11 @Cst Fx 52W vs 53W_Sheet3" xfId="4730"/>
    <cellStyle name="_Extra media plan 050329_Copy of Wrigley - 05 budget&amp;calendar R1 050428-vl_Wrigley - 05 budget&amp;calendar 1R 050609 (23I)_Jun 16b_Wrigley - 05 budget&amp;calendar LE 050824 (25I)_P&amp;L KFE" xfId="4731"/>
    <cellStyle name="_Extra media plan 050329_Copy of Wrigley - 05 budget&amp;calendar R1 050428-vl_Wrigley - 05 budget&amp;calendar 1R 050609 (23I)_Jun 16b_Wrigley - 05 budget&amp;calendar LE 050824 (25I)_Sheet3" xfId="4732"/>
    <cellStyle name="_Extra media plan 050329_Copy of Wrigley - 05 budget&amp;calendar R1 050428-vl_Wrigley - 05 budget&amp;calendar 1R 050609 (23I)_Jun 16b_Wrigley - 05 budget&amp;calendar LE 050824 (25I)_Wrigley - 06 simple chart Sep 14" xfId="4733"/>
    <cellStyle name="_Extra media plan 050329_Copy of Wrigley - 05 budget&amp;calendar R1 050428-vl_Wrigley - 05 budget&amp;calendar 1R 050609 (23I)_Jun 16b_Wrigley - 05 budget&amp;calendar LE 050824 (25I)_Wrigley - 06 simple chart Sep 14 2" xfId="4734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" xfId="4735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 2" xfId="4736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_P&amp;L KF" xfId="4737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_Sheet3" xfId="4738"/>
    <cellStyle name="_Extra media plan 050329_Copy of Wrigley - 05 budget&amp;calendar R1 050428-vl_Wrigley - 05 budget&amp;calendar 1R 050609 (23I)_Jun 16b_Wrigley - 05 budget&amp;calendar LE 050824 (25I)_Wrigley - 06 simple chart Sep 14_P&amp;L KFE" xfId="4739"/>
    <cellStyle name="_Extra media plan 050329_Copy of Wrigley - 05 budget&amp;calendar R1 050428-vl_Wrigley - 05 budget&amp;calendar 1R 050609 (23I)_Jun 16b_Wrigley - 05 budget&amp;calendar LE 050824 (25I)_Wrigley - 06 simple chart Sep 14_Sheet3" xfId="4740"/>
    <cellStyle name="_Extra media plan 050329_Copy of Wrigley - 05 budget&amp;calendar R1 050428-vl_Wrigley - 05 budget&amp;calendar 1R 050609 (23I)_Jun 16b_Wrigley - 06 simple chart Sep 14" xfId="4741"/>
    <cellStyle name="_Extra media plan 050329_Copy of Wrigley - 05 budget&amp;calendar R1 050428-vl_Wrigley - 05 budget&amp;calendar 1R 050609 (23I)_Jun 16b_Wrigley - 06 simple chart Sep 14 2" xfId="4742"/>
    <cellStyle name="_Extra media plan 050329_Copy of Wrigley - 05 budget&amp;calendar R1 050428-vl_Wrigley - 05 budget&amp;calendar 1R 050609 (23I)_Jun 16b_Wrigley - 06 simple chart Sep 14_Category Template AC'11 @Cst Fx 52W vs 53W" xfId="4743"/>
    <cellStyle name="_Extra media plan 050329_Copy of Wrigley - 05 budget&amp;calendar R1 050428-vl_Wrigley - 05 budget&amp;calendar 1R 050609 (23I)_Jun 16b_Wrigley - 06 simple chart Sep 14_Category Template AC'11 @Cst Fx 52W vs 53W 2" xfId="4744"/>
    <cellStyle name="_Extra media plan 050329_Copy of Wrigley - 05 budget&amp;calendar R1 050428-vl_Wrigley - 05 budget&amp;calendar 1R 050609 (23I)_Jun 16b_Wrigley - 06 simple chart Sep 14_Category Template AC'11 @Cst Fx 52W vs 53W_P&amp;L KFE" xfId="4745"/>
    <cellStyle name="_Extra media plan 050329_Copy of Wrigley - 05 budget&amp;calendar R1 050428-vl_Wrigley - 05 budget&amp;calendar 1R 050609 (23I)_Jun 16b_Wrigley - 06 simple chart Sep 14_Category Template AC'11 @Cst Fx 52W vs 53W_Sheet3" xfId="4746"/>
    <cellStyle name="_Extra media plan 050329_Copy of Wrigley - 05 budget&amp;calendar R1 050428-vl_Wrigley - 05 budget&amp;calendar 1R 050609 (23I)_Jun 16b_Wrigley - 06 simple chart Sep 14_P&amp;L KFE" xfId="4747"/>
    <cellStyle name="_Extra media plan 050329_Copy of Wrigley - 05 budget&amp;calendar R1 050428-vl_Wrigley - 05 budget&amp;calendar 1R 050609 (23I)_Jun 16b_Wrigley - 06 simple chart Sep 14_Sheet3" xfId="4748"/>
    <cellStyle name="_Extra media plan 050329_Copy of Wrigley - 05 budget&amp;calendar R1 050428-vl_Wrigley - 05 budget&amp;calendar LE 050824 (25I)" xfId="4749"/>
    <cellStyle name="_Extra media plan 050329_Copy of Wrigley - 05 budget&amp;calendar R1 050428-vl_Wrigley - 05 budget&amp;calendar LE 050824 (25I) 2" xfId="4750"/>
    <cellStyle name="_Extra media plan 050329_Copy of Wrigley - 05 budget&amp;calendar R1 050428-vl_Wrigley - 05 budget&amp;calendar LE 050824 (25I)_Category Template AC'11 @Cst Fx 52W vs 53W" xfId="4751"/>
    <cellStyle name="_Extra media plan 050329_Copy of Wrigley - 05 budget&amp;calendar R1 050428-vl_Wrigley - 05 budget&amp;calendar LE 050824 (25I)_Category Template AC'11 @Cst Fx 52W vs 53W 2" xfId="4752"/>
    <cellStyle name="_Extra media plan 050329_Copy of Wrigley - 05 budget&amp;calendar R1 050428-vl_Wrigley - 05 budget&amp;calendar LE 050824 (25I)_Category Template AC'11 @Cst Fx 52W vs 53W_P&amp;L KFE" xfId="4753"/>
    <cellStyle name="_Extra media plan 050329_Copy of Wrigley - 05 budget&amp;calendar R1 050428-vl_Wrigley - 05 budget&amp;calendar LE 050824 (25I)_Category Template AC'11 @Cst Fx 52W vs 53W_Sheet3" xfId="4754"/>
    <cellStyle name="_Extra media plan 050329_Copy of Wrigley - 05 budget&amp;calendar R1 050428-vl_Wrigley - 05 budget&amp;calendar LE 050824 (25I)_P&amp;L KFE" xfId="4755"/>
    <cellStyle name="_Extra media plan 050329_Copy of Wrigley - 05 budget&amp;calendar R1 050428-vl_Wrigley - 05 budget&amp;calendar LE 050824 (25I)_Sheet3" xfId="4756"/>
    <cellStyle name="_Extra media plan 050329_Copy of Wrigley - 05 budget&amp;calendar R1 050428-vl_Wrigley - 05 budget&amp;calendar LE 050824 (25I)_Wrigley - 06 simple chart Sep 14" xfId="4757"/>
    <cellStyle name="_Extra media plan 050329_Copy of Wrigley - 05 budget&amp;calendar R1 050428-vl_Wrigley - 05 budget&amp;calendar LE 050824 (25I)_Wrigley - 06 simple chart Sep 14 2" xfId="4758"/>
    <cellStyle name="_Extra media plan 050329_Copy of Wrigley - 05 budget&amp;calendar R1 050428-vl_Wrigley - 05 budget&amp;calendar LE 050824 (25I)_Wrigley - 06 simple chart Sep 14_Category Template AC'11 @Cst Fx 52W vs 53W" xfId="4759"/>
    <cellStyle name="_Extra media plan 050329_Copy of Wrigley - 05 budget&amp;calendar R1 050428-vl_Wrigley - 05 budget&amp;calendar LE 050824 (25I)_Wrigley - 06 simple chart Sep 14_Category Template AC'11 @Cst Fx 52W vs 53W 2" xfId="4760"/>
    <cellStyle name="_Extra media plan 050329_Copy of Wrigley - 05 budget&amp;calendar R1 050428-vl_Wrigley - 05 budget&amp;calendar LE 050824 (25I)_Wrigley - 06 simple chart Sep 14_Category Template AC'11 @Cst Fx 52W vs 53W_P&amp;L KFE" xfId="4761"/>
    <cellStyle name="_Extra media plan 050329_Copy of Wrigley - 05 budget&amp;calendar R1 050428-vl_Wrigley - 05 budget&amp;calendar LE 050824 (25I)_Wrigley - 06 simple chart Sep 14_Category Template AC'11 @Cst Fx 52W vs 53W_Sheet3" xfId="4762"/>
    <cellStyle name="_Extra media plan 050329_Copy of Wrigley - 05 budget&amp;calendar R1 050428-vl_Wrigley - 05 budget&amp;calendar LE 050824 (25I)_Wrigley - 06 simple chart Sep 14_P&amp;L KFE" xfId="4763"/>
    <cellStyle name="_Extra media plan 050329_Copy of Wrigley - 05 budget&amp;calendar R1 050428-vl_Wrigley - 05 budget&amp;calendar LE 050824 (25I)_Wrigley - 06 simple chart Sep 14_Sheet3" xfId="4764"/>
    <cellStyle name="_Extra media plan 050329_Copy of Wrigley - 05 budget&amp;calendar R1 050428-vl_Wrigley - 05 budget&amp;calendar R1 050525 (21I) internal formate June 15" xfId="4765"/>
    <cellStyle name="_Extra media plan 050329_Copy of Wrigley - 05 budget&amp;calendar R1 050428-vl_Wrigley - 05 budget&amp;calendar R1 050525 (21I) internal formate June 15 2" xfId="4766"/>
    <cellStyle name="_Extra media plan 050329_Copy of Wrigley - 05 budget&amp;calendar R1 050428-vl_Wrigley - 05 budget&amp;calendar R1 050525 (21I) internal formate June 15_Book5" xfId="4767"/>
    <cellStyle name="_Extra media plan 050329_Copy of Wrigley - 05 budget&amp;calendar R1 050428-vl_Wrigley - 05 budget&amp;calendar R1 050525 (21I) internal formate June 15_Book5 2" xfId="4768"/>
    <cellStyle name="_Extra media plan 050329_Copy of Wrigley - 05 budget&amp;calendar R1 050428-vl_Wrigley - 05 budget&amp;calendar R1 050525 (21I) internal formate June 15_Book5_Category Template AC'11 @Cst Fx 52W vs 53W" xfId="4769"/>
    <cellStyle name="_Extra media plan 050329_Copy of Wrigley - 05 budget&amp;calendar R1 050428-vl_Wrigley - 05 budget&amp;calendar R1 050525 (21I) internal formate June 15_Book5_Category Template AC'11 @Cst Fx 52W vs 53W 2" xfId="4770"/>
    <cellStyle name="_Extra media plan 050329_Copy of Wrigley - 05 budget&amp;calendar R1 050428-vl_Wrigley - 05 budget&amp;calendar R1 050525 (21I) internal formate June 15_Book5_Category Template AC'11 @Cst Fx 52W vs 53W_P&amp;L KFE" xfId="4771"/>
    <cellStyle name="_Extra media plan 050329_Copy of Wrigley - 05 budget&amp;calendar R1 050428-vl_Wrigley - 05 budget&amp;calendar R1 050525 (21I) internal formate June 15_Book5_Category Template AC'11 @Cst Fx 52W vs 53W_Sheet3" xfId="4772"/>
    <cellStyle name="_Extra media plan 050329_Copy of Wrigley - 05 budget&amp;calendar R1 050428-vl_Wrigley - 05 budget&amp;calendar R1 050525 (21I) internal formate June 15_Book5_P&amp;L KFE" xfId="4773"/>
    <cellStyle name="_Extra media plan 050329_Copy of Wrigley - 05 budget&amp;calendar R1 050428-vl_Wrigley - 05 budget&amp;calendar R1 050525 (21I) internal formate June 15_Book5_Sheet3" xfId="4774"/>
    <cellStyle name="_Extra media plan 050329_Copy of Wrigley - 05 budget&amp;calendar R1 050428-vl_Wrigley - 05 budget&amp;calendar R1 050525 (21I) internal formate June 15_Category Template AC'11 @Cst Fx 52W vs 53W" xfId="4775"/>
    <cellStyle name="_Extra media plan 050329_Copy of Wrigley - 05 budget&amp;calendar R1 050428-vl_Wrigley - 05 budget&amp;calendar R1 050525 (21I) internal formate June 15_Category Template AC'11 @Cst Fx 52W vs 53W 2" xfId="4776"/>
    <cellStyle name="_Extra media plan 050329_Copy of Wrigley - 05 budget&amp;calendar R1 050428-vl_Wrigley - 05 budget&amp;calendar R1 050525 (21I) internal formate June 15_Category Template AC'11 @Cst Fx 52W vs 53W_P&amp;L KFE" xfId="4777"/>
    <cellStyle name="_Extra media plan 050329_Copy of Wrigley - 05 budget&amp;calendar R1 050428-vl_Wrigley - 05 budget&amp;calendar R1 050525 (21I) internal formate June 15_Category Template AC'11 @Cst Fx 52W vs 53W_Sheet3" xfId="4778"/>
    <cellStyle name="_Extra media plan 050329_Copy of Wrigley - 05 budget&amp;calendar R1 050428-vl_Wrigley - 05 budget&amp;calendar R1 050525 (21I) internal formate June 15_P&amp;L KFE" xfId="4779"/>
    <cellStyle name="_Extra media plan 050329_Copy of Wrigley - 05 budget&amp;calendar R1 050428-vl_Wrigley - 05 budget&amp;calendar R1 050525 (21I) internal formate June 15_Sheet3" xfId="4780"/>
    <cellStyle name="_Extra media plan 050329_Copy of Wrigley - 05 budget&amp;calendar R1 050428-vl_Wrigley - 05 budget&amp;calendar R1 050525 (21I) internal formate June 15_Wrigley - 05 budget&amp;calendar LE 050728 (25I)" xfId="4781"/>
    <cellStyle name="_Extra media plan 050329_Copy of Wrigley - 05 budget&amp;calendar R1 050428-vl_Wrigley - 05 budget&amp;calendar R1 050525 (21I) internal formate June 15_Wrigley - 05 budget&amp;calendar LE 050728 (25I) 2" xfId="4782"/>
    <cellStyle name="_Extra media plan 050329_Copy of Wrigley - 05 budget&amp;calendar R1 050428-vl_Wrigley - 05 budget&amp;calendar R1 050525 (21I) internal formate June 15_Wrigley - 05 budget&amp;calendar LE 050728 (25I)_Category Template AC'11 @Cst Fx 52W vs 53W" xfId="4783"/>
    <cellStyle name="_Extra media plan 050329_Copy of Wrigley - 05 budget&amp;calendar R1 050428-vl_Wrigley - 05 budget&amp;calendar R1 050525 (21I) internal formate June 15_Wrigley - 05 budget&amp;calendar LE 050728 (25I)_Category Template AC'11 @Cst Fx 52W vs 53W 2" xfId="4784"/>
    <cellStyle name="_Extra media plan 050329_Copy of Wrigley - 05 budget&amp;calendar R1 050428-vl_Wrigley - 05 budget&amp;calendar R1 050525 (21I) internal formate June 15_Wrigley - 05 budget&amp;calendar LE 050728 (25I)_Category Template AC'11 @Cst Fx 52W vs 53W_P&amp;L KFE" xfId="4785"/>
    <cellStyle name="_Extra media plan 050329_Copy of Wrigley - 05 budget&amp;calendar R1 050428-vl_Wrigley - 05 budget&amp;calendar R1 050525 (21I) internal formate June 15_Wrigley - 05 budget&amp;calendar LE 050728 (25I)_Category Template AC'11 @Cst Fx 52W vs 53W_Sheet3" xfId="4786"/>
    <cellStyle name="_Extra media plan 050329_Copy of Wrigley - 05 budget&amp;calendar R1 050428-vl_Wrigley - 05 budget&amp;calendar R1 050525 (21I) internal formate June 15_Wrigley - 05 budget&amp;calendar LE 050728 (25I)_P&amp;L KFE" xfId="4787"/>
    <cellStyle name="_Extra media plan 050329_Copy of Wrigley - 05 budget&amp;calendar R1 050428-vl_Wrigley - 05 budget&amp;calendar R1 050525 (21I) internal formate June 15_Wrigley - 05 budget&amp;calendar LE 050728 (25I)_Sheet3" xfId="4788"/>
    <cellStyle name="_Extra media plan 050329_Copy of Wrigley - 05 budget&amp;calendar R1 050428-vl_Wrigley - 05 budget&amp;calendar R1 050525 (21I) internal formate June 15_Wrigley - 05 budget&amp;calendar LE 050728 (25I)_Wrigley - 06 simple chart Sep 14" xfId="4789"/>
    <cellStyle name="_Extra media plan 050329_Copy of Wrigley - 05 budget&amp;calendar R1 050428-vl_Wrigley - 05 budget&amp;calendar R1 050525 (21I) internal formate June 15_Wrigley - 05 budget&amp;calendar LE 050728 (25I)_Wrigley - 06 simple chart Sep 14 2" xfId="4790"/>
    <cellStyle name="_Extra media plan 050329_Copy of Wrigley - 05 budget&amp;calendar R1 050428-vl_Wrigley - 05 budget&amp;calendar R1 050525 (21I) internal formate June 15_Wrigley - 05 budget&amp;calendar LE 050728 (25I)_Wrigley - 06 simple chart Sep 14_P&amp;L KFE" xfId="4791"/>
    <cellStyle name="_Extra media plan 050329_Copy of Wrigley - 05 budget&amp;calendar R1 050428-vl_Wrigley - 05 budget&amp;calendar R1 050525 (21I) internal formate June 15_Wrigley - 05 budget&amp;calendar LE 050728 (25I)_Wrigley - 06 simple chart Sep 14_Sheet3" xfId="4792"/>
    <cellStyle name="_Extra media plan 050329_Copy of Wrigley - 05 budget&amp;calendar R1 050428-vl_Wrigley - 05 budget&amp;calendar R1 050525 (21I) internal formate June 15_Wrigley - 05 budget&amp;calendar LE 050824 (25F)" xfId="4793"/>
    <cellStyle name="_Extra media plan 050329_Copy of Wrigley - 05 budget&amp;calendar R1 050428-vl_Wrigley - 05 budget&amp;calendar R1 050525 (21I) internal formate June 15_Wrigley - 05 budget&amp;calendar LE 050824 (25F) 2" xfId="4794"/>
    <cellStyle name="_Extra media plan 050329_Copy of Wrigley - 05 budget&amp;calendar R1 050428-vl_Wrigley - 05 budget&amp;calendar R1 050525 (21I) internal formate June 15_Wrigley - 05 budget&amp;calendar LE 050824 (25F)_Category Template AC'11 @Cst Fx 52W vs 53W" xfId="4795"/>
    <cellStyle name="_Extra media plan 050329_Copy of Wrigley - 05 budget&amp;calendar R1 050428-vl_Wrigley - 05 budget&amp;calendar R1 050525 (21I) internal formate June 15_Wrigley - 05 budget&amp;calendar LE 050824 (25F)_Category Template AC'11 @Cst Fx 52W vs 53W 2" xfId="4796"/>
    <cellStyle name="_Extra media plan 050329_Copy of Wrigley - 05 budget&amp;calendar R1 050428-vl_Wrigley - 05 budget&amp;calendar R1 050525 (21I) internal formate June 15_Wrigley - 05 budget&amp;calendar LE 050824 (25F)_Category Template AC'11 @Cst Fx 52W vs 53W_P&amp;L KFE" xfId="4797"/>
    <cellStyle name="_Extra media plan 050329_Copy of Wrigley - 05 budget&amp;calendar R1 050428-vl_Wrigley - 05 budget&amp;calendar R1 050525 (21I) internal formate June 15_Wrigley - 05 budget&amp;calendar LE 050824 (25F)_Category Template AC'11 @Cst Fx 52W vs 53W_Sheet3" xfId="4798"/>
    <cellStyle name="_Extra media plan 050329_Copy of Wrigley - 05 budget&amp;calendar R1 050428-vl_Wrigley - 05 budget&amp;calendar R1 050525 (21I) internal formate June 15_Wrigley - 05 budget&amp;calendar LE 050824 (25F)_P&amp;L KFE" xfId="4799"/>
    <cellStyle name="_Extra media plan 050329_Copy of Wrigley - 05 budget&amp;calendar R1 050428-vl_Wrigley - 05 budget&amp;calendar R1 050525 (21I) internal formate June 15_Wrigley - 05 budget&amp;calendar LE 050824 (25F)_Sheet3" xfId="4800"/>
    <cellStyle name="_Extra media plan 050329_Copy of Wrigley - 05 budget&amp;calendar R1 050428-vl_Wrigley - 05 budget&amp;calendar R1 050525 (21I) internal formate June 15_Wrigley - 05 budget&amp;calendar LE 050824 (25F)_Wrigley - 06 simple chart Sep 14" xfId="4801"/>
    <cellStyle name="_Extra media plan 050329_Copy of Wrigley - 05 budget&amp;calendar R1 050428-vl_Wrigley - 05 budget&amp;calendar R1 050525 (21I) internal formate June 15_Wrigley - 05 budget&amp;calendar LE 050824 (25F)_Wrigley - 06 simple chart Sep 14 2" xfId="4802"/>
    <cellStyle name="_Extra media plan 050329_Copy of Wrigley - 05 budget&amp;calendar R1 050428-vl_Wrigley - 05 budget&amp;calendar R1 050525 (21I) internal formate June 15_Wrigley - 05 budget&amp;calendar LE 050824 (25F)_Wrigley - 06 simple chart Sep 14_P&amp;L KFE" xfId="4803"/>
    <cellStyle name="_Extra media plan 050329_Copy of Wrigley - 05 budget&amp;calendar R1 050428-vl_Wrigley - 05 budget&amp;calendar R1 050525 (21I) internal formate June 15_Wrigley - 05 budget&amp;calendar LE 050824 (25F)_Wrigley - 06 simple chart Sep 14_Sheet3" xfId="4804"/>
    <cellStyle name="_Extra media plan 050329_Copy of Wrigley - 05 budget&amp;calendar R1 050428-vl_Wrigley - 05 budget&amp;calendar R1 050525 (21I) internal formate June 15_Wrigley - 05 budget&amp;calendar LE 050824 (25I)" xfId="4805"/>
    <cellStyle name="_Extra media plan 050329_Copy of Wrigley - 05 budget&amp;calendar R1 050428-vl_Wrigley - 05 budget&amp;calendar R1 050525 (21I) internal formate June 15_Wrigley - 05 budget&amp;calendar LE 050824 (25I) 2" xfId="4806"/>
    <cellStyle name="_Extra media plan 050329_Copy of Wrigley - 05 budget&amp;calendar R1 050428-vl_Wrigley - 05 budget&amp;calendar R1 050525 (21I) internal formate June 15_Wrigley - 05 budget&amp;calendar LE 050824 (25I)_Category Template AC'11 @Cst Fx 52W vs 53W" xfId="4807"/>
    <cellStyle name="_Extra media plan 050329_Copy of Wrigley - 05 budget&amp;calendar R1 050428-vl_Wrigley - 05 budget&amp;calendar R1 050525 (21I) internal formate June 15_Wrigley - 05 budget&amp;calendar LE 050824 (25I)_Category Template AC'11 @Cst Fx 52W vs 53W 2" xfId="4808"/>
    <cellStyle name="_Extra media plan 050329_Copy of Wrigley - 05 budget&amp;calendar R1 050428-vl_Wrigley - 05 budget&amp;calendar R1 050525 (21I) internal formate June 15_Wrigley - 05 budget&amp;calendar LE 050824 (25I)_Category Template AC'11 @Cst Fx 52W vs 53W_P&amp;L KFE" xfId="4809"/>
    <cellStyle name="_Extra media plan 050329_Copy of Wrigley - 05 budget&amp;calendar R1 050428-vl_Wrigley - 05 budget&amp;calendar R1 050525 (21I) internal formate June 15_Wrigley - 05 budget&amp;calendar LE 050824 (25I)_Category Template AC'11 @Cst Fx 52W vs 53W_Sheet3" xfId="4810"/>
    <cellStyle name="_Extra media plan 050329_Copy of Wrigley - 05 budget&amp;calendar R1 050428-vl_Wrigley - 05 budget&amp;calendar R1 050525 (21I) internal formate June 15_Wrigley - 05 budget&amp;calendar LE 050824 (25I)_P&amp;L KFE" xfId="4811"/>
    <cellStyle name="_Extra media plan 050329_Copy of Wrigley - 05 budget&amp;calendar R1 050428-vl_Wrigley - 05 budget&amp;calendar R1 050525 (21I) internal formate June 15_Wrigley - 05 budget&amp;calendar LE 050824 (25I)_Sheet3" xfId="4812"/>
    <cellStyle name="_Extra media plan 050329_Copy of Wrigley - 05 budget&amp;calendar R1 050428-vl_Wrigley - 05 budget&amp;calendar R1 050525 (21I) internal formate June 15_Wrigley - 05 budget&amp;calendar LE 050824 (25I)_Wrigley - 06 simple chart Sep 14" xfId="4813"/>
    <cellStyle name="_Extra media plan 050329_Copy of Wrigley - 05 budget&amp;calendar R1 050428-vl_Wrigley - 05 budget&amp;calendar R1 050525 (21I) internal formate June 15_Wrigley - 05 budget&amp;calendar LE 050824 (25I)_Wrigley - 06 simple chart Sep 14 2" xfId="4814"/>
    <cellStyle name="_Extra media plan 050329_Copy of Wrigley - 05 budget&amp;calendar R1 050428-vl_Wrigley - 05 budget&amp;calendar R1 050525 (21I) internal formate June 15_Wrigley - 05 budget&amp;calendar LE 050824 (25I)_Wrigley - 06 simple chart Sep 14_P&amp;L KFE" xfId="4815"/>
    <cellStyle name="_Extra media plan 050329_Copy of Wrigley - 05 budget&amp;calendar R1 050428-vl_Wrigley - 05 budget&amp;calendar R1 050525 (21I) internal formate June 15_Wrigley - 05 budget&amp;calendar LE 050824 (25I)_Wrigley - 06 simple chart Sep 14_Sheet3" xfId="4816"/>
    <cellStyle name="_Extra media plan 050329_Copy of Wrigley - 05 budget&amp;calendar R1 050428-vl_Wrigley - 05 budget&amp;calendar R1 050525 (21I) internal formate June 15_Wrigley - 06 simple chart Sep 14" xfId="4817"/>
    <cellStyle name="_Extra media plan 050329_Copy of Wrigley - 05 budget&amp;calendar R1 050428-vl_Wrigley - 05 budget&amp;calendar R1 050525 (21I) internal formate June 15_Wrigley - 06 simple chart Sep 14 2" xfId="4818"/>
    <cellStyle name="_Extra media plan 050329_Copy of Wrigley - 05 budget&amp;calendar R1 050428-vl_Wrigley - 05 budget&amp;calendar R1 050525 (21I) internal formate June 15_Wrigley - 06 simple chart Sep 14_Category Template AC'11 @Cst Fx 52W vs 53W" xfId="4819"/>
    <cellStyle name="_Extra media plan 050329_Copy of Wrigley - 05 budget&amp;calendar R1 050428-vl_Wrigley - 05 budget&amp;calendar R1 050525 (21I) internal formate June 15_Wrigley - 06 simple chart Sep 14_Category Template AC'11 @Cst Fx 52W vs 53W 2" xfId="4820"/>
    <cellStyle name="_Extra media plan 050329_Copy of Wrigley - 05 budget&amp;calendar R1 050428-vl_Wrigley - 05 budget&amp;calendar R1 050525 (21I) internal formate June 15_Wrigley - 06 simple chart Sep 14_Category Template AC'11 @Cst Fx 52W vs 53W_P&amp;L KFE" xfId="4821"/>
    <cellStyle name="_Extra media plan 050329_Copy of Wrigley - 05 budget&amp;calendar R1 050428-vl_Wrigley - 05 budget&amp;calendar R1 050525 (21I) internal formate June 15_Wrigley - 06 simple chart Sep 14_Category Template AC'11 @Cst Fx 52W vs 53W_Sheet3" xfId="4822"/>
    <cellStyle name="_Extra media plan 050329_Copy of Wrigley - 05 budget&amp;calendar R1 050428-vl_Wrigley - 05 budget&amp;calendar R1 050525 (21I) internal formate June 15_Wrigley - 06 simple chart Sep 14_P&amp;L KFE" xfId="4823"/>
    <cellStyle name="_Extra media plan 050329_Copy of Wrigley - 05 budget&amp;calendar R1 050428-vl_Wrigley - 05 budget&amp;calendar R1 050525 (21I) internal formate June 15_Wrigley - 06 simple chart Sep 14_Sheet3" xfId="4824"/>
    <cellStyle name="_Extra media plan 050329_Copy of Wrigley - 05 budget&amp;calendar R1 050428-vl_Wrigley - 06 simple chart Sep 14" xfId="4825"/>
    <cellStyle name="_Extra media plan 050329_Copy of Wrigley - 05 budget&amp;calendar R1 050428-vl_Wrigley - 06 simple chart Sep 14 2" xfId="4826"/>
    <cellStyle name="_Extra media plan 050329_Copy of Wrigley - 05 budget&amp;calendar R1 050428-vl_Wrigley - 06 simple chart Sep 14_Category Template AC'11 @Cst Fx 52W vs 53W" xfId="4827"/>
    <cellStyle name="_Extra media plan 050329_Copy of Wrigley - 05 budget&amp;calendar R1 050428-vl_Wrigley - 06 simple chart Sep 14_Category Template AC'11 @Cst Fx 52W vs 53W 2" xfId="4828"/>
    <cellStyle name="_Extra media plan 050329_Copy of Wrigley - 05 budget&amp;calendar R1 050428-vl_Wrigley - 06 simple chart Sep 14_Category Template AC'11 @Cst Fx 52W vs 53W_P&amp;L KFE" xfId="4829"/>
    <cellStyle name="_Extra media plan 050329_Copy of Wrigley - 05 budget&amp;calendar R1 050428-vl_Wrigley - 06 simple chart Sep 14_Category Template AC'11 @Cst Fx 52W vs 53W_Sheet3" xfId="4830"/>
    <cellStyle name="_Extra media plan 050329_Copy of Wrigley - 05 budget&amp;calendar R1 050428-vl_Wrigley - 06 simple chart Sep 14_P&amp;L KFE" xfId="4831"/>
    <cellStyle name="_Extra media plan 050329_Copy of Wrigley - 05 budget&amp;calendar R1 050428-vl_Wrigley - 06 simple chart Sep 14_Sheet3" xfId="4832"/>
    <cellStyle name="_Extra media plan 050329_DM 05 budgetplanning TV 050429" xfId="4833"/>
    <cellStyle name="_Extra media plan 050329_DM 05 budgetplanning TV 050429 2" xfId="4834"/>
    <cellStyle name="_Extra media plan 050329_DM 05 budgetplanning TV 050429_Book5" xfId="4835"/>
    <cellStyle name="_Extra media plan 050329_DM 05 budgetplanning TV 050429_Book5 2" xfId="4836"/>
    <cellStyle name="_Extra media plan 050329_DM 05 budgetplanning TV 050429_Book5_Category Template AC'11 @Cst Fx 52W vs 53W" xfId="4837"/>
    <cellStyle name="_Extra media plan 050329_DM 05 budgetplanning TV 050429_Book5_Category Template AC'11 @Cst Fx 52W vs 53W 2" xfId="4838"/>
    <cellStyle name="_Extra media plan 050329_DM 05 budgetplanning TV 050429_Book5_Category Template AC'11 @Cst Fx 52W vs 53W_P&amp;L KFE" xfId="4839"/>
    <cellStyle name="_Extra media plan 050329_DM 05 budgetplanning TV 050429_Book5_Category Template AC'11 @Cst Fx 52W vs 53W_Sheet3" xfId="4840"/>
    <cellStyle name="_Extra media plan 050329_DM 05 budgetplanning TV 050429_Book5_P&amp;L KFE" xfId="4841"/>
    <cellStyle name="_Extra media plan 050329_DM 05 budgetplanning TV 050429_Book5_Sheet3" xfId="4842"/>
    <cellStyle name="_Extra media plan 050329_DM 05 budgetplanning TV 050429_CA Masterflow June 15a" xfId="4843"/>
    <cellStyle name="_Extra media plan 050329_DM 05 budgetplanning TV 050429_CA Masterflow June 15a 2" xfId="4844"/>
    <cellStyle name="_Extra media plan 050329_DM 05 budgetplanning TV 050429_CA Masterflow June 15a_Book5" xfId="4845"/>
    <cellStyle name="_Extra media plan 050329_DM 05 budgetplanning TV 050429_CA Masterflow June 15a_Book5 2" xfId="4846"/>
    <cellStyle name="_Extra media plan 050329_DM 05 budgetplanning TV 050429_CA Masterflow June 15a_Book5_Category Template AC'11 @Cst Fx 52W vs 53W" xfId="4847"/>
    <cellStyle name="_Extra media plan 050329_DM 05 budgetplanning TV 050429_CA Masterflow June 15a_Book5_Category Template AC'11 @Cst Fx 52W vs 53W 2" xfId="4848"/>
    <cellStyle name="_Extra media plan 050329_DM 05 budgetplanning TV 050429_CA Masterflow June 15a_Book5_Category Template AC'11 @Cst Fx 52W vs 53W_P&amp;L KFE" xfId="4849"/>
    <cellStyle name="_Extra media plan 050329_DM 05 budgetplanning TV 050429_CA Masterflow June 15a_Book5_Category Template AC'11 @Cst Fx 52W vs 53W_Sheet3" xfId="4850"/>
    <cellStyle name="_Extra media plan 050329_DM 05 budgetplanning TV 050429_CA Masterflow June 15a_Book5_P&amp;L KFE" xfId="4851"/>
    <cellStyle name="_Extra media plan 050329_DM 05 budgetplanning TV 050429_CA Masterflow June 15a_Book5_Sheet3" xfId="4852"/>
    <cellStyle name="_Extra media plan 050329_DM 05 budgetplanning TV 050429_CA Masterflow June 15a_Category Template AC'11 @Cst Fx 52W vs 53W" xfId="4853"/>
    <cellStyle name="_Extra media plan 050329_DM 05 budgetplanning TV 050429_CA Masterflow June 15a_Category Template AC'11 @Cst Fx 52W vs 53W 2" xfId="4854"/>
    <cellStyle name="_Extra media plan 050329_DM 05 budgetplanning TV 050429_CA Masterflow June 15a_Category Template AC'11 @Cst Fx 52W vs 53W_P&amp;L KFE" xfId="4855"/>
    <cellStyle name="_Extra media plan 050329_DM 05 budgetplanning TV 050429_CA Masterflow June 15a_Category Template AC'11 @Cst Fx 52W vs 53W_Sheet3" xfId="4856"/>
    <cellStyle name="_Extra media plan 050329_DM 05 budgetplanning TV 050429_CA Masterflow June 15a_P&amp;L KFE" xfId="4857"/>
    <cellStyle name="_Extra media plan 050329_DM 05 budgetplanning TV 050429_CA Masterflow June 15a_Sheet3" xfId="4858"/>
    <cellStyle name="_Extra media plan 050329_DM 05 budgetplanning TV 050429_CA Masterflow June 15a_Wrigley - 05 budget&amp;calendar LE 050728 (25I)" xfId="4859"/>
    <cellStyle name="_Extra media plan 050329_DM 05 budgetplanning TV 050429_CA Masterflow June 15a_Wrigley - 05 budget&amp;calendar LE 050728 (25I) 2" xfId="4860"/>
    <cellStyle name="_Extra media plan 050329_DM 05 budgetplanning TV 050429_CA Masterflow June 15a_Wrigley - 05 budget&amp;calendar LE 050728 (25I)_Category Template AC'11 @Cst Fx 52W vs 53W" xfId="4861"/>
    <cellStyle name="_Extra media plan 050329_DM 05 budgetplanning TV 050429_CA Masterflow June 15a_Wrigley - 05 budget&amp;calendar LE 050728 (25I)_Category Template AC'11 @Cst Fx 52W vs 53W 2" xfId="4862"/>
    <cellStyle name="_Extra media plan 050329_DM 05 budgetplanning TV 050429_CA Masterflow June 15a_Wrigley - 05 budget&amp;calendar LE 050728 (25I)_Category Template AC'11 @Cst Fx 52W vs 53W_P&amp;L KFE" xfId="4863"/>
    <cellStyle name="_Extra media plan 050329_DM 05 budgetplanning TV 050429_CA Masterflow June 15a_Wrigley - 05 budget&amp;calendar LE 050728 (25I)_Category Template AC'11 @Cst Fx 52W vs 53W_Sheet3" xfId="4864"/>
    <cellStyle name="_Extra media plan 050329_DM 05 budgetplanning TV 050429_CA Masterflow June 15a_Wrigley - 05 budget&amp;calendar LE 050728 (25I)_P&amp;L KFE" xfId="4865"/>
    <cellStyle name="_Extra media plan 050329_DM 05 budgetplanning TV 050429_CA Masterflow June 15a_Wrigley - 05 budget&amp;calendar LE 050728 (25I)_Sheet3" xfId="4866"/>
    <cellStyle name="_Extra media plan 050329_DM 05 budgetplanning TV 050429_CA Masterflow June 15a_Wrigley - 05 budget&amp;calendar LE 050728 (25I)_Wrigley - 06 simple chart Sep 14" xfId="4867"/>
    <cellStyle name="_Extra media plan 050329_DM 05 budgetplanning TV 050429_CA Masterflow June 15a_Wrigley - 05 budget&amp;calendar LE 050728 (25I)_Wrigley - 06 simple chart Sep 14 2" xfId="4868"/>
    <cellStyle name="_Extra media plan 050329_DM 05 budgetplanning TV 050429_CA Masterflow June 15a_Wrigley - 05 budget&amp;calendar LE 050728 (25I)_Wrigley - 06 simple chart Sep 14_Category Template AC'11 @Cst Fx 52W vs 53W" xfId="4869"/>
    <cellStyle name="_Extra media plan 050329_DM 05 budgetplanning TV 050429_CA Masterflow June 15a_Wrigley - 05 budget&amp;calendar LE 050728 (25I)_Wrigley - 06 simple chart Sep 14_Category Template AC'11 @Cst Fx 52W vs 53W 2" xfId="4870"/>
    <cellStyle name="_Extra media plan 050329_DM 05 budgetplanning TV 050429_CA Masterflow June 15a_Wrigley - 05 budget&amp;calendar LE 050728 (25I)_Wrigley - 06 simple chart Sep 14_Category Template AC'11 @Cst Fx 52W vs 53W_P&amp;L KFE" xfId="4871"/>
    <cellStyle name="_Extra media plan 050329_DM 05 budgetplanning TV 050429_CA Masterflow June 15a_Wrigley - 05 budget&amp;calendar LE 050728 (25I)_Wrigley - 06 simple chart Sep 14_Category Template AC'11 @Cst Fx 52W vs 53W_Sheet3" xfId="4872"/>
    <cellStyle name="_Extra media plan 050329_DM 05 budgetplanning TV 050429_CA Masterflow June 15a_Wrigley - 05 budget&amp;calendar LE 050728 (25I)_Wrigley - 06 simple chart Sep 14_P&amp;L KFE" xfId="4873"/>
    <cellStyle name="_Extra media plan 050329_DM 05 budgetplanning TV 050429_CA Masterflow June 15a_Wrigley - 05 budget&amp;calendar LE 050728 (25I)_Wrigley - 06 simple chart Sep 14_Sheet3" xfId="4874"/>
    <cellStyle name="_Extra media plan 050329_DM 05 budgetplanning TV 050429_CA Masterflow June 15a_Wrigley - 05 budget&amp;calendar LE 050824 (25F)" xfId="4875"/>
    <cellStyle name="_Extra media plan 050329_DM 05 budgetplanning TV 050429_CA Masterflow June 15a_Wrigley - 05 budget&amp;calendar LE 050824 (25F) 2" xfId="4876"/>
    <cellStyle name="_Extra media plan 050329_DM 05 budgetplanning TV 050429_CA Masterflow June 15a_Wrigley - 05 budget&amp;calendar LE 050824 (25F)_Category Template AC'11 @Cst Fx 52W vs 53W" xfId="4877"/>
    <cellStyle name="_Extra media plan 050329_DM 05 budgetplanning TV 050429_CA Masterflow June 15a_Wrigley - 05 budget&amp;calendar LE 050824 (25F)_Category Template AC'11 @Cst Fx 52W vs 53W 2" xfId="4878"/>
    <cellStyle name="_Extra media plan 050329_DM 05 budgetplanning TV 050429_CA Masterflow June 15a_Wrigley - 05 budget&amp;calendar LE 050824 (25F)_Category Template AC'11 @Cst Fx 52W vs 53W_P&amp;L KFE" xfId="4879"/>
    <cellStyle name="_Extra media plan 050329_DM 05 budgetplanning TV 050429_CA Masterflow June 15a_Wrigley - 05 budget&amp;calendar LE 050824 (25F)_Category Template AC'11 @Cst Fx 52W vs 53W_Sheet3" xfId="4880"/>
    <cellStyle name="_Extra media plan 050329_DM 05 budgetplanning TV 050429_CA Masterflow June 15a_Wrigley - 05 budget&amp;calendar LE 050824 (25F)_P&amp;L KFE" xfId="4881"/>
    <cellStyle name="_Extra media plan 050329_DM 05 budgetplanning TV 050429_CA Masterflow June 15a_Wrigley - 05 budget&amp;calendar LE 050824 (25F)_Sheet3" xfId="4882"/>
    <cellStyle name="_Extra media plan 050329_DM 05 budgetplanning TV 050429_CA Masterflow June 15a_Wrigley - 05 budget&amp;calendar LE 050824 (25F)_Wrigley - 06 simple chart Sep 14" xfId="4883"/>
    <cellStyle name="_Extra media plan 050329_DM 05 budgetplanning TV 050429_CA Masterflow June 15a_Wrigley - 05 budget&amp;calendar LE 050824 (25F)_Wrigley - 06 simple chart Sep 14 2" xfId="4884"/>
    <cellStyle name="_Extra media plan 050329_DM 05 budgetplanning TV 050429_CA Masterflow June 15a_Wrigley - 05 budget&amp;calendar LE 050824 (25F)_Wrigley - 06 simple chart Sep 14_Category Template AC'11 @Cst Fx 52W vs 53W" xfId="4885"/>
    <cellStyle name="_Extra media plan 050329_DM 05 budgetplanning TV 050429_CA Masterflow June 15a_Wrigley - 05 budget&amp;calendar LE 050824 (25F)_Wrigley - 06 simple chart Sep 14_Category Template AC'11 @Cst Fx 52W vs 53W 2" xfId="4886"/>
    <cellStyle name="_Extra media plan 050329_DM 05 budgetplanning TV 050429_CA Masterflow June 15a_Wrigley - 05 budget&amp;calendar LE 050824 (25F)_Wrigley - 06 simple chart Sep 14_Category Template AC'11 @Cst Fx 52W vs 53W_P&amp;L KFE" xfId="4887"/>
    <cellStyle name="_Extra media plan 050329_DM 05 budgetplanning TV 050429_CA Masterflow June 15a_Wrigley - 05 budget&amp;calendar LE 050824 (25F)_Wrigley - 06 simple chart Sep 14_Category Template AC'11 @Cst Fx 52W vs 53W_Sheet3" xfId="4888"/>
    <cellStyle name="_Extra media plan 050329_DM 05 budgetplanning TV 050429_CA Masterflow June 15a_Wrigley - 05 budget&amp;calendar LE 050824 (25F)_Wrigley - 06 simple chart Sep 14_P&amp;L KFE" xfId="4889"/>
    <cellStyle name="_Extra media plan 050329_DM 05 budgetplanning TV 050429_CA Masterflow June 15a_Wrigley - 05 budget&amp;calendar LE 050824 (25F)_Wrigley - 06 simple chart Sep 14_Sheet3" xfId="4890"/>
    <cellStyle name="_Extra media plan 050329_DM 05 budgetplanning TV 050429_CA Masterflow June 15a_Wrigley - 05 budget&amp;calendar LE 050824 (25I)" xfId="4891"/>
    <cellStyle name="_Extra media plan 050329_DM 05 budgetplanning TV 050429_CA Masterflow June 15a_Wrigley - 05 budget&amp;calendar LE 050824 (25I) 2" xfId="4892"/>
    <cellStyle name="_Extra media plan 050329_DM 05 budgetplanning TV 050429_CA Masterflow June 15a_Wrigley - 05 budget&amp;calendar LE 050824 (25I)_Category Template AC'11 @Cst Fx 52W vs 53W" xfId="4893"/>
    <cellStyle name="_Extra media plan 050329_DM 05 budgetplanning TV 050429_CA Masterflow June 15a_Wrigley - 05 budget&amp;calendar LE 050824 (25I)_Category Template AC'11 @Cst Fx 52W vs 53W 2" xfId="4894"/>
    <cellStyle name="_Extra media plan 050329_DM 05 budgetplanning TV 050429_CA Masterflow June 15a_Wrigley - 05 budget&amp;calendar LE 050824 (25I)_Category Template AC'11 @Cst Fx 52W vs 53W_P&amp;L KFE" xfId="4895"/>
    <cellStyle name="_Extra media plan 050329_DM 05 budgetplanning TV 050429_CA Masterflow June 15a_Wrigley - 05 budget&amp;calendar LE 050824 (25I)_Category Template AC'11 @Cst Fx 52W vs 53W_Sheet3" xfId="4896"/>
    <cellStyle name="_Extra media plan 050329_DM 05 budgetplanning TV 050429_CA Masterflow June 15a_Wrigley - 05 budget&amp;calendar LE 050824 (25I)_P&amp;L KFE" xfId="4897"/>
    <cellStyle name="_Extra media plan 050329_DM 05 budgetplanning TV 050429_CA Masterflow June 15a_Wrigley - 05 budget&amp;calendar LE 050824 (25I)_Sheet3" xfId="4898"/>
    <cellStyle name="_Extra media plan 050329_DM 05 budgetplanning TV 050429_CA Masterflow June 15a_Wrigley - 05 budget&amp;calendar LE 050824 (25I)_Wrigley - 06 simple chart Sep 14" xfId="4899"/>
    <cellStyle name="_Extra media plan 050329_DM 05 budgetplanning TV 050429_CA Masterflow June 15a_Wrigley - 05 budget&amp;calendar LE 050824 (25I)_Wrigley - 06 simple chart Sep 14 2" xfId="4900"/>
    <cellStyle name="_Extra media plan 050329_DM 05 budgetplanning TV 050429_CA Masterflow June 15a_Wrigley - 05 budget&amp;calendar LE 050824 (25I)_Wrigley - 06 simple chart Sep 14_Category Template AC'11 @Cst Fx 52W vs 53W" xfId="4901"/>
    <cellStyle name="_Extra media plan 050329_DM 05 budgetplanning TV 050429_CA Masterflow June 15a_Wrigley - 05 budget&amp;calendar LE 050824 (25I)_Wrigley - 06 simple chart Sep 14_Category Template AC'11 @Cst Fx 52W vs 53W 2" xfId="4902"/>
    <cellStyle name="_Extra media plan 050329_DM 05 budgetplanning TV 050429_CA Masterflow June 15a_Wrigley - 05 budget&amp;calendar LE 050824 (25I)_Wrigley - 06 simple chart Sep 14_Category Template AC'11 @Cst Fx 52W vs 53W_P&amp;L KFE" xfId="4903"/>
    <cellStyle name="_Extra media plan 050329_DM 05 budgetplanning TV 050429_CA Masterflow June 15a_Wrigley - 05 budget&amp;calendar LE 050824 (25I)_Wrigley - 06 simple chart Sep 14_Category Template AC'11 @Cst Fx 52W vs 53W_Sheet3" xfId="4904"/>
    <cellStyle name="_Extra media plan 050329_DM 05 budgetplanning TV 050429_CA Masterflow June 15a_Wrigley - 05 budget&amp;calendar LE 050824 (25I)_Wrigley - 06 simple chart Sep 14_P&amp;L KFE" xfId="4905"/>
    <cellStyle name="_Extra media plan 050329_DM 05 budgetplanning TV 050429_CA Masterflow June 15a_Wrigley - 05 budget&amp;calendar LE 050824 (25I)_Wrigley - 06 simple chart Sep 14_Sheet3" xfId="4906"/>
    <cellStyle name="_Extra media plan 050329_DM 05 budgetplanning TV 050429_CA Masterflow June 15a_Wrigley - 06 simple chart Sep 14" xfId="4907"/>
    <cellStyle name="_Extra media plan 050329_DM 05 budgetplanning TV 050429_CA Masterflow June 15a_Wrigley - 06 simple chart Sep 14 2" xfId="4908"/>
    <cellStyle name="_Extra media plan 050329_DM 05 budgetplanning TV 050429_CA Masterflow June 15a_Wrigley - 06 simple chart Sep 14_Category Template AC'11 @Cst Fx 52W vs 53W" xfId="4909"/>
    <cellStyle name="_Extra media plan 050329_DM 05 budgetplanning TV 050429_CA Masterflow June 15a_Wrigley - 06 simple chart Sep 14_Category Template AC'11 @Cst Fx 52W vs 53W 2" xfId="4910"/>
    <cellStyle name="_Extra media plan 050329_DM 05 budgetplanning TV 050429_CA Masterflow June 15a_Wrigley - 06 simple chart Sep 14_Category Template AC'11 @Cst Fx 52W vs 53W_P&amp;L KFE" xfId="4911"/>
    <cellStyle name="_Extra media plan 050329_DM 05 budgetplanning TV 050429_CA Masterflow June 15a_Wrigley - 06 simple chart Sep 14_Category Template AC'11 @Cst Fx 52W vs 53W_Sheet3" xfId="4912"/>
    <cellStyle name="_Extra media plan 050329_DM 05 budgetplanning TV 050429_CA Masterflow June 15a_Wrigley - 06 simple chart Sep 14_P&amp;L KFE" xfId="4913"/>
    <cellStyle name="_Extra media plan 050329_DM 05 budgetplanning TV 050429_CA Masterflow June 15a_Wrigley - 06 simple chart Sep 14_Sheet3" xfId="4914"/>
    <cellStyle name="_Extra media plan 050329_DM 05 budgetplanning TV 050429_Category Template AC'11 @Cst Fx 52W vs 53W" xfId="4915"/>
    <cellStyle name="_Extra media plan 050329_DM 05 budgetplanning TV 050429_Category Template AC'11 @Cst Fx 52W vs 53W 2" xfId="4916"/>
    <cellStyle name="_Extra media plan 050329_DM 05 budgetplanning TV 050429_Category Template AC'11 @Cst Fx 52W vs 53W_P&amp;L KFE" xfId="4917"/>
    <cellStyle name="_Extra media plan 050329_DM 05 budgetplanning TV 050429_Category Template AC'11 @Cst Fx 52W vs 53W_Sheet3" xfId="4918"/>
    <cellStyle name="_Extra media plan 050329_DM 05 budgetplanning TV 050429_CG Masterflow June 15a" xfId="4919"/>
    <cellStyle name="_Extra media plan 050329_DM 05 budgetplanning TV 050429_CG Masterflow June 15a 2" xfId="4920"/>
    <cellStyle name="_Extra media plan 050329_DM 05 budgetplanning TV 050429_CG Masterflow June 15a_Book5" xfId="4921"/>
    <cellStyle name="_Extra media plan 050329_DM 05 budgetplanning TV 050429_CG Masterflow June 15a_Book5 2" xfId="4922"/>
    <cellStyle name="_Extra media plan 050329_DM 05 budgetplanning TV 050429_CG Masterflow June 15a_Book5_Category Template AC'11 @Cst Fx 52W vs 53W" xfId="4923"/>
    <cellStyle name="_Extra media plan 050329_DM 05 budgetplanning TV 050429_CG Masterflow June 15a_Book5_Category Template AC'11 @Cst Fx 52W vs 53W 2" xfId="4924"/>
    <cellStyle name="_Extra media plan 050329_DM 05 budgetplanning TV 050429_CG Masterflow June 15a_Book5_Category Template AC'11 @Cst Fx 52W vs 53W_P&amp;L KFE" xfId="4925"/>
    <cellStyle name="_Extra media plan 050329_DM 05 budgetplanning TV 050429_CG Masterflow June 15a_Book5_Category Template AC'11 @Cst Fx 52W vs 53W_Sheet3" xfId="4926"/>
    <cellStyle name="_Extra media plan 050329_DM 05 budgetplanning TV 050429_CG Masterflow June 15a_Book5_P&amp;L KFE" xfId="4927"/>
    <cellStyle name="_Extra media plan 050329_DM 05 budgetplanning TV 050429_CG Masterflow June 15a_Book5_Sheet3" xfId="4928"/>
    <cellStyle name="_Extra media plan 050329_DM 05 budgetplanning TV 050429_CG Masterflow June 15a_Category Template AC'11 @Cst Fx 52W vs 53W" xfId="4929"/>
    <cellStyle name="_Extra media plan 050329_DM 05 budgetplanning TV 050429_CG Masterflow June 15a_Category Template AC'11 @Cst Fx 52W vs 53W 2" xfId="4930"/>
    <cellStyle name="_Extra media plan 050329_DM 05 budgetplanning TV 050429_CG Masterflow June 15a_Category Template AC'11 @Cst Fx 52W vs 53W_P&amp;L KFE" xfId="4931"/>
    <cellStyle name="_Extra media plan 050329_DM 05 budgetplanning TV 050429_CG Masterflow June 15a_Category Template AC'11 @Cst Fx 52W vs 53W_Sheet3" xfId="4932"/>
    <cellStyle name="_Extra media plan 050329_DM 05 budgetplanning TV 050429_CG Masterflow June 15a_P&amp;L KFE" xfId="4933"/>
    <cellStyle name="_Extra media plan 050329_DM 05 budgetplanning TV 050429_CG Masterflow June 15a_Sheet3" xfId="4934"/>
    <cellStyle name="_Extra media plan 050329_DM 05 budgetplanning TV 050429_CG Masterflow June 15a_Wrigley - 05 budget&amp;calendar LE 050728 (25I)" xfId="4935"/>
    <cellStyle name="_Extra media plan 050329_DM 05 budgetplanning TV 050429_CG Masterflow June 15a_Wrigley - 05 budget&amp;calendar LE 050728 (25I) 2" xfId="4936"/>
    <cellStyle name="_Extra media plan 050329_DM 05 budgetplanning TV 050429_CG Masterflow June 15a_Wrigley - 05 budget&amp;calendar LE 050728 (25I)_Category Template AC'11 @Cst Fx 52W vs 53W" xfId="4937"/>
    <cellStyle name="_Extra media plan 050329_DM 05 budgetplanning TV 050429_CG Masterflow June 15a_Wrigley - 05 budget&amp;calendar LE 050728 (25I)_Category Template AC'11 @Cst Fx 52W vs 53W 2" xfId="4938"/>
    <cellStyle name="_Extra media plan 050329_DM 05 budgetplanning TV 050429_CG Masterflow June 15a_Wrigley - 05 budget&amp;calendar LE 050728 (25I)_Category Template AC'11 @Cst Fx 52W vs 53W_P&amp;L KFE" xfId="4939"/>
    <cellStyle name="_Extra media plan 050329_DM 05 budgetplanning TV 050429_CG Masterflow June 15a_Wrigley - 05 budget&amp;calendar LE 050728 (25I)_Category Template AC'11 @Cst Fx 52W vs 53W_Sheet3" xfId="4940"/>
    <cellStyle name="_Extra media plan 050329_DM 05 budgetplanning TV 050429_CG Masterflow June 15a_Wrigley - 05 budget&amp;calendar LE 050728 (25I)_P&amp;L KFE" xfId="4941"/>
    <cellStyle name="_Extra media plan 050329_DM 05 budgetplanning TV 050429_CG Masterflow June 15a_Wrigley - 05 budget&amp;calendar LE 050728 (25I)_Sheet3" xfId="4942"/>
    <cellStyle name="_Extra media plan 050329_DM 05 budgetplanning TV 050429_CG Masterflow June 15a_Wrigley - 05 budget&amp;calendar LE 050728 (25I)_Wrigley - 06 simple chart Sep 14" xfId="4943"/>
    <cellStyle name="_Extra media plan 050329_DM 05 budgetplanning TV 050429_CG Masterflow June 15a_Wrigley - 05 budget&amp;calendar LE 050728 (25I)_Wrigley - 06 simple chart Sep 14 2" xfId="4944"/>
    <cellStyle name="_Extra media plan 050329_DM 05 budgetplanning TV 050429_CG Masterflow June 15a_Wrigley - 05 budget&amp;calendar LE 050728 (25I)_Wrigley - 06 simple chart Sep 14_Category Template AC'11 @Cst Fx 52W vs 53W" xfId="4945"/>
    <cellStyle name="_Extra media plan 050329_DM 05 budgetplanning TV 050429_CG Masterflow June 15a_Wrigley - 05 budget&amp;calendar LE 050728 (25I)_Wrigley - 06 simple chart Sep 14_Category Template AC'11 @Cst Fx 52W vs 53W 2" xfId="4946"/>
    <cellStyle name="_Extra media plan 050329_DM 05 budgetplanning TV 050429_CG Masterflow June 15a_Wrigley - 05 budget&amp;calendar LE 050728 (25I)_Wrigley - 06 simple chart Sep 14_Category Template AC'11 @Cst Fx 52W vs 53W_P&amp;L KFE" xfId="4947"/>
    <cellStyle name="_Extra media plan 050329_DM 05 budgetplanning TV 050429_CG Masterflow June 15a_Wrigley - 05 budget&amp;calendar LE 050728 (25I)_Wrigley - 06 simple chart Sep 14_Category Template AC'11 @Cst Fx 52W vs 53W_Sheet3" xfId="4948"/>
    <cellStyle name="_Extra media plan 050329_DM 05 budgetplanning TV 050429_CG Masterflow June 15a_Wrigley - 05 budget&amp;calendar LE 050728 (25I)_Wrigley - 06 simple chart Sep 14_P&amp;L KFE" xfId="4949"/>
    <cellStyle name="_Extra media plan 050329_DM 05 budgetplanning TV 050429_CG Masterflow June 15a_Wrigley - 05 budget&amp;calendar LE 050728 (25I)_Wrigley - 06 simple chart Sep 14_Sheet3" xfId="4950"/>
    <cellStyle name="_Extra media plan 050329_DM 05 budgetplanning TV 050429_CG Masterflow June 15a_Wrigley - 05 budget&amp;calendar LE 050824 (25F)" xfId="4951"/>
    <cellStyle name="_Extra media plan 050329_DM 05 budgetplanning TV 050429_CG Masterflow June 15a_Wrigley - 05 budget&amp;calendar LE 050824 (25F) 2" xfId="4952"/>
    <cellStyle name="_Extra media plan 050329_DM 05 budgetplanning TV 050429_CG Masterflow June 15a_Wrigley - 05 budget&amp;calendar LE 050824 (25F)_Category Template AC'11 @Cst Fx 52W vs 53W" xfId="4953"/>
    <cellStyle name="_Extra media plan 050329_DM 05 budgetplanning TV 050429_CG Masterflow June 15a_Wrigley - 05 budget&amp;calendar LE 050824 (25F)_Category Template AC'11 @Cst Fx 52W vs 53W 2" xfId="4954"/>
    <cellStyle name="_Extra media plan 050329_DM 05 budgetplanning TV 050429_CG Masterflow June 15a_Wrigley - 05 budget&amp;calendar LE 050824 (25F)_Category Template AC'11 @Cst Fx 52W vs 53W_P&amp;L KFE" xfId="4955"/>
    <cellStyle name="_Extra media plan 050329_DM 05 budgetplanning TV 050429_CG Masterflow June 15a_Wrigley - 05 budget&amp;calendar LE 050824 (25F)_Category Template AC'11 @Cst Fx 52W vs 53W_Sheet3" xfId="4956"/>
    <cellStyle name="_Extra media plan 050329_DM 05 budgetplanning TV 050429_CG Masterflow June 15a_Wrigley - 05 budget&amp;calendar LE 050824 (25F)_P&amp;L KFE" xfId="4957"/>
    <cellStyle name="_Extra media plan 050329_DM 05 budgetplanning TV 050429_CG Masterflow June 15a_Wrigley - 05 budget&amp;calendar LE 050824 (25F)_Sheet3" xfId="4958"/>
    <cellStyle name="_Extra media plan 050329_DM 05 budgetplanning TV 050429_CG Masterflow June 15a_Wrigley - 05 budget&amp;calendar LE 050824 (25F)_Wrigley - 06 simple chart Sep 14" xfId="4959"/>
    <cellStyle name="_Extra media plan 050329_DM 05 budgetplanning TV 050429_CG Masterflow June 15a_Wrigley - 05 budget&amp;calendar LE 050824 (25F)_Wrigley - 06 simple chart Sep 14 2" xfId="4960"/>
    <cellStyle name="_Extra media plan 050329_DM 05 budgetplanning TV 050429_CG Masterflow June 15a_Wrigley - 05 budget&amp;calendar LE 050824 (25F)_Wrigley - 06 simple chart Sep 14_Category Template AC'11 @Cst Fx 52W vs 53W" xfId="4961"/>
    <cellStyle name="_Extra media plan 050329_DM 05 budgetplanning TV 050429_CG Masterflow June 15a_Wrigley - 05 budget&amp;calendar LE 050824 (25F)_Wrigley - 06 simple chart Sep 14_Category Template AC'11 @Cst Fx 52W vs 53W 2" xfId="4962"/>
    <cellStyle name="_Extra media plan 050329_DM 05 budgetplanning TV 050429_CG Masterflow June 15a_Wrigley - 05 budget&amp;calendar LE 050824 (25F)_Wrigley - 06 simple chart Sep 14_Category Template AC'11 @Cst Fx 52W vs 53W_P&amp;L KFE" xfId="4963"/>
    <cellStyle name="_Extra media plan 050329_DM 05 budgetplanning TV 050429_CG Masterflow June 15a_Wrigley - 05 budget&amp;calendar LE 050824 (25F)_Wrigley - 06 simple chart Sep 14_Category Template AC'11 @Cst Fx 52W vs 53W_Sheet3" xfId="4964"/>
    <cellStyle name="_Extra media plan 050329_DM 05 budgetplanning TV 050429_CG Masterflow June 15a_Wrigley - 05 budget&amp;calendar LE 050824 (25F)_Wrigley - 06 simple chart Sep 14_P&amp;L KFE" xfId="4965"/>
    <cellStyle name="_Extra media plan 050329_DM 05 budgetplanning TV 050429_CG Masterflow June 15a_Wrigley - 05 budget&amp;calendar LE 050824 (25F)_Wrigley - 06 simple chart Sep 14_Sheet3" xfId="4966"/>
    <cellStyle name="_Extra media plan 050329_DM 05 budgetplanning TV 050429_CG Masterflow June 15a_Wrigley - 05 budget&amp;calendar LE 050824 (25I)" xfId="4967"/>
    <cellStyle name="_Extra media plan 050329_DM 05 budgetplanning TV 050429_CG Masterflow June 15a_Wrigley - 05 budget&amp;calendar LE 050824 (25I) 2" xfId="4968"/>
    <cellStyle name="_Extra media plan 050329_DM 05 budgetplanning TV 050429_CG Masterflow June 15a_Wrigley - 05 budget&amp;calendar LE 050824 (25I)_Category Template AC'11 @Cst Fx 52W vs 53W" xfId="4969"/>
    <cellStyle name="_Extra media plan 050329_DM 05 budgetplanning TV 050429_CG Masterflow June 15a_Wrigley - 05 budget&amp;calendar LE 050824 (25I)_Category Template AC'11 @Cst Fx 52W vs 53W 2" xfId="4970"/>
    <cellStyle name="_Extra media plan 050329_DM 05 budgetplanning TV 050429_CG Masterflow June 15a_Wrigley - 05 budget&amp;calendar LE 050824 (25I)_Category Template AC'11 @Cst Fx 52W vs 53W_P&amp;L KFE" xfId="4971"/>
    <cellStyle name="_Extra media plan 050329_DM 05 budgetplanning TV 050429_CG Masterflow June 15a_Wrigley - 05 budget&amp;calendar LE 050824 (25I)_Category Template AC'11 @Cst Fx 52W vs 53W_Sheet3" xfId="4972"/>
    <cellStyle name="_Extra media plan 050329_DM 05 budgetplanning TV 050429_CG Masterflow June 15a_Wrigley - 05 budget&amp;calendar LE 050824 (25I)_P&amp;L KFE" xfId="4973"/>
    <cellStyle name="_Extra media plan 050329_DM 05 budgetplanning TV 050429_CG Masterflow June 15a_Wrigley - 05 budget&amp;calendar LE 050824 (25I)_Sheet3" xfId="4974"/>
    <cellStyle name="_Extra media plan 050329_DM 05 budgetplanning TV 050429_CG Masterflow June 15a_Wrigley - 05 budget&amp;calendar LE 050824 (25I)_Wrigley - 06 simple chart Sep 14" xfId="4975"/>
    <cellStyle name="_Extra media plan 050329_DM 05 budgetplanning TV 050429_CG Masterflow June 15a_Wrigley - 05 budget&amp;calendar LE 050824 (25I)_Wrigley - 06 simple chart Sep 14 2" xfId="4976"/>
    <cellStyle name="_Extra media plan 050329_DM 05 budgetplanning TV 050429_CG Masterflow June 15a_Wrigley - 05 budget&amp;calendar LE 050824 (25I)_Wrigley - 06 simple chart Sep 14_Category Template AC'11 @Cst Fx 52W vs 53W" xfId="4977"/>
    <cellStyle name="_Extra media plan 050329_DM 05 budgetplanning TV 050429_CG Masterflow June 15a_Wrigley - 05 budget&amp;calendar LE 050824 (25I)_Wrigley - 06 simple chart Sep 14_Category Template AC'11 @Cst Fx 52W vs 53W 2" xfId="4978"/>
    <cellStyle name="_Extra media plan 050329_DM 05 budgetplanning TV 050429_CG Masterflow June 15a_Wrigley - 05 budget&amp;calendar LE 050824 (25I)_Wrigley - 06 simple chart Sep 14_Category Template AC'11 @Cst Fx 52W vs 53W_P&amp;L KFE" xfId="4979"/>
    <cellStyle name="_Extra media plan 050329_DM 05 budgetplanning TV 050429_CG Masterflow June 15a_Wrigley - 05 budget&amp;calendar LE 050824 (25I)_Wrigley - 06 simple chart Sep 14_Category Template AC'11 @Cst Fx 52W vs 53W_Sheet3" xfId="4980"/>
    <cellStyle name="_Extra media plan 050329_DM 05 budgetplanning TV 050429_CG Masterflow June 15a_Wrigley - 05 budget&amp;calendar LE 050824 (25I)_Wrigley - 06 simple chart Sep 14_P&amp;L KFE" xfId="4981"/>
    <cellStyle name="_Extra media plan 050329_DM 05 budgetplanning TV 050429_CG Masterflow June 15a_Wrigley - 05 budget&amp;calendar LE 050824 (25I)_Wrigley - 06 simple chart Sep 14_Sheet3" xfId="4982"/>
    <cellStyle name="_Extra media plan 050329_DM 05 budgetplanning TV 050429_CG Masterflow June 15a_Wrigley - 06 simple chart Sep 14" xfId="4983"/>
    <cellStyle name="_Extra media plan 050329_DM 05 budgetplanning TV 050429_CG Masterflow June 15a_Wrigley - 06 simple chart Sep 14 2" xfId="4984"/>
    <cellStyle name="_Extra media plan 050329_DM 05 budgetplanning TV 050429_CG Masterflow June 15a_Wrigley - 06 simple chart Sep 14_Category Template AC'11 @Cst Fx 52W vs 53W" xfId="4985"/>
    <cellStyle name="_Extra media plan 050329_DM 05 budgetplanning TV 050429_CG Masterflow June 15a_Wrigley - 06 simple chart Sep 14_Category Template AC'11 @Cst Fx 52W vs 53W 2" xfId="4986"/>
    <cellStyle name="_Extra media plan 050329_DM 05 budgetplanning TV 050429_CG Masterflow June 15a_Wrigley - 06 simple chart Sep 14_Category Template AC'11 @Cst Fx 52W vs 53W_P&amp;L KFE" xfId="4987"/>
    <cellStyle name="_Extra media plan 050329_DM 05 budgetplanning TV 050429_CG Masterflow June 15a_Wrigley - 06 simple chart Sep 14_Category Template AC'11 @Cst Fx 52W vs 53W_Sheet3" xfId="4988"/>
    <cellStyle name="_Extra media plan 050329_DM 05 budgetplanning TV 050429_CG Masterflow June 15a_Wrigley - 06 simple chart Sep 14_P&amp;L KFE" xfId="4989"/>
    <cellStyle name="_Extra media plan 050329_DM 05 budgetplanning TV 050429_CG Masterflow June 15a_Wrigley - 06 simple chart Sep 14_Sheet3" xfId="4990"/>
    <cellStyle name="_Extra media plan 050329_DM 05 budgetplanning TV 050429_Copy of DM Masterflow - Jun 15a" xfId="4991"/>
    <cellStyle name="_Extra media plan 050329_DM 05 budgetplanning TV 050429_Copy of DM Masterflow - Jun 15a 2" xfId="4992"/>
    <cellStyle name="_Extra media plan 050329_DM 05 budgetplanning TV 050429_Copy of DM Masterflow - Jun 15a_Book5" xfId="4993"/>
    <cellStyle name="_Extra media plan 050329_DM 05 budgetplanning TV 050429_Copy of DM Masterflow - Jun 15a_Book5 2" xfId="4994"/>
    <cellStyle name="_Extra media plan 050329_DM 05 budgetplanning TV 050429_Copy of DM Masterflow - Jun 15a_Book5_Category Template AC'11 @Cst Fx 52W vs 53W" xfId="4995"/>
    <cellStyle name="_Extra media plan 050329_DM 05 budgetplanning TV 050429_Copy of DM Masterflow - Jun 15a_Book5_Category Template AC'11 @Cst Fx 52W vs 53W 2" xfId="4996"/>
    <cellStyle name="_Extra media plan 050329_DM 05 budgetplanning TV 050429_Copy of DM Masterflow - Jun 15a_Book5_Category Template AC'11 @Cst Fx 52W vs 53W_P&amp;L KFE" xfId="4997"/>
    <cellStyle name="_Extra media plan 050329_DM 05 budgetplanning TV 050429_Copy of DM Masterflow - Jun 15a_Book5_Category Template AC'11 @Cst Fx 52W vs 53W_Sheet3" xfId="4998"/>
    <cellStyle name="_Extra media plan 050329_DM 05 budgetplanning TV 050429_Copy of DM Masterflow - Jun 15a_Book5_P&amp;L KFE" xfId="4999"/>
    <cellStyle name="_Extra media plan 050329_DM 05 budgetplanning TV 050429_Copy of DM Masterflow - Jun 15a_Book5_Sheet3" xfId="5000"/>
    <cellStyle name="_Extra media plan 050329_DM 05 budgetplanning TV 050429_Copy of DM Masterflow - Jun 15a_Category Template AC'11 @Cst Fx 52W vs 53W" xfId="5001"/>
    <cellStyle name="_Extra media plan 050329_DM 05 budgetplanning TV 050429_Copy of DM Masterflow - Jun 15a_Category Template AC'11 @Cst Fx 52W vs 53W 2" xfId="5002"/>
    <cellStyle name="_Extra media plan 050329_DM 05 budgetplanning TV 050429_Copy of DM Masterflow - Jun 15a_Category Template AC'11 @Cst Fx 52W vs 53W_P&amp;L KFE" xfId="5003"/>
    <cellStyle name="_Extra media plan 050329_DM 05 budgetplanning TV 050429_Copy of DM Masterflow - Jun 15a_Category Template AC'11 @Cst Fx 52W vs 53W_Sheet3" xfId="5004"/>
    <cellStyle name="_Extra media plan 050329_DM 05 budgetplanning TV 050429_Copy of DM Masterflow - Jun 15a_P&amp;L KFE" xfId="5005"/>
    <cellStyle name="_Extra media plan 050329_DM 05 budgetplanning TV 050429_Copy of DM Masterflow - Jun 15a_Sheet3" xfId="5006"/>
    <cellStyle name="_Extra media plan 050329_DM 05 budgetplanning TV 050429_Copy of DM Masterflow - Jun 15a_Wrigley - 05 budget&amp;calendar LE 050728 (25I)" xfId="5007"/>
    <cellStyle name="_Extra media plan 050329_DM 05 budgetplanning TV 050429_Copy of DM Masterflow - Jun 15a_Wrigley - 05 budget&amp;calendar LE 050728 (25I) 2" xfId="5008"/>
    <cellStyle name="_Extra media plan 050329_DM 05 budgetplanning TV 050429_Copy of DM Masterflow - Jun 15a_Wrigley - 05 budget&amp;calendar LE 050728 (25I)_Category Template AC'11 @Cst Fx 52W vs 53W" xfId="5009"/>
    <cellStyle name="_Extra media plan 050329_DM 05 budgetplanning TV 050429_Copy of DM Masterflow - Jun 15a_Wrigley - 05 budget&amp;calendar LE 050728 (25I)_Category Template AC'11 @Cst Fx 52W vs 53W 2" xfId="5010"/>
    <cellStyle name="_Extra media plan 050329_DM 05 budgetplanning TV 050429_Copy of DM Masterflow - Jun 15a_Wrigley - 05 budget&amp;calendar LE 050728 (25I)_Category Template AC'11 @Cst Fx 52W vs 53W_P&amp;L KFE" xfId="5011"/>
    <cellStyle name="_Extra media plan 050329_DM 05 budgetplanning TV 050429_Copy of DM Masterflow - Jun 15a_Wrigley - 05 budget&amp;calendar LE 050728 (25I)_Category Template AC'11 @Cst Fx 52W vs 53W_Sheet3" xfId="5012"/>
    <cellStyle name="_Extra media plan 050329_DM 05 budgetplanning TV 050429_Copy of DM Masterflow - Jun 15a_Wrigley - 05 budget&amp;calendar LE 050728 (25I)_P&amp;L KFE" xfId="5013"/>
    <cellStyle name="_Extra media plan 050329_DM 05 budgetplanning TV 050429_Copy of DM Masterflow - Jun 15a_Wrigley - 05 budget&amp;calendar LE 050728 (25I)_Sheet3" xfId="5014"/>
    <cellStyle name="_Extra media plan 050329_DM 05 budgetplanning TV 050429_Copy of DM Masterflow - Jun 15a_Wrigley - 05 budget&amp;calendar LE 050728 (25I)_Wrigley - 06 simple chart Sep 14" xfId="5015"/>
    <cellStyle name="_Extra media plan 050329_DM 05 budgetplanning TV 050429_Copy of DM Masterflow - Jun 15a_Wrigley - 05 budget&amp;calendar LE 050728 (25I)_Wrigley - 06 simple chart Sep 14 2" xfId="5016"/>
    <cellStyle name="_Extra media plan 050329_DM 05 budgetplanning TV 050429_Copy of DM Masterflow - Jun 15a_Wrigley - 05 budget&amp;calendar LE 050728 (25I)_Wrigley - 06 simple chart Sep 14_Category Template AC'11 @Cst Fx 52W vs 53W" xfId="5017"/>
    <cellStyle name="_Extra media plan 050329_DM 05 budgetplanning TV 050429_Copy of DM Masterflow - Jun 15a_Wrigley - 05 budget&amp;calendar LE 050728 (25I)_Wrigley - 06 simple chart Sep 14_Category Template AC'11 @Cst Fx 52W vs 53W 2" xfId="5018"/>
    <cellStyle name="_Extra media plan 050329_DM 05 budgetplanning TV 050429_Copy of DM Masterflow - Jun 15a_Wrigley - 05 budget&amp;calendar LE 050728 (25I)_Wrigley - 06 simple chart Sep 14_Category Template AC'11 @Cst Fx 52W vs 53W_P&amp;L KFE" xfId="5019"/>
    <cellStyle name="_Extra media plan 050329_DM 05 budgetplanning TV 050429_Copy of DM Masterflow - Jun 15a_Wrigley - 05 budget&amp;calendar LE 050728 (25I)_Wrigley - 06 simple chart Sep 14_Category Template AC'11 @Cst Fx 52W vs 53W_Sheet3" xfId="5020"/>
    <cellStyle name="_Extra media plan 050329_DM 05 budgetplanning TV 050429_Copy of DM Masterflow - Jun 15a_Wrigley - 05 budget&amp;calendar LE 050728 (25I)_Wrigley - 06 simple chart Sep 14_P&amp;L KFE" xfId="5021"/>
    <cellStyle name="_Extra media plan 050329_DM 05 budgetplanning TV 050429_Copy of DM Masterflow - Jun 15a_Wrigley - 05 budget&amp;calendar LE 050728 (25I)_Wrigley - 06 simple chart Sep 14_Sheet3" xfId="5022"/>
    <cellStyle name="_Extra media plan 050329_DM 05 budgetplanning TV 050429_Copy of DM Masterflow - Jun 15a_Wrigley - 05 budget&amp;calendar LE 050824 (25F)" xfId="5023"/>
    <cellStyle name="_Extra media plan 050329_DM 05 budgetplanning TV 050429_Copy of DM Masterflow - Jun 15a_Wrigley - 05 budget&amp;calendar LE 050824 (25F) 2" xfId="5024"/>
    <cellStyle name="_Extra media plan 050329_DM 05 budgetplanning TV 050429_Copy of DM Masterflow - Jun 15a_Wrigley - 05 budget&amp;calendar LE 050824 (25F)_Category Template AC'11 @Cst Fx 52W vs 53W" xfId="5025"/>
    <cellStyle name="_Extra media plan 050329_DM 05 budgetplanning TV 050429_Copy of DM Masterflow - Jun 15a_Wrigley - 05 budget&amp;calendar LE 050824 (25F)_Category Template AC'11 @Cst Fx 52W vs 53W 2" xfId="5026"/>
    <cellStyle name="_Extra media plan 050329_DM 05 budgetplanning TV 050429_Copy of DM Masterflow - Jun 15a_Wrigley - 05 budget&amp;calendar LE 050824 (25F)_Category Template AC'11 @Cst Fx 52W vs 53W_P&amp;L KFE" xfId="5027"/>
    <cellStyle name="_Extra media plan 050329_DM 05 budgetplanning TV 050429_Copy of DM Masterflow - Jun 15a_Wrigley - 05 budget&amp;calendar LE 050824 (25F)_Category Template AC'11 @Cst Fx 52W vs 53W_Sheet3" xfId="5028"/>
    <cellStyle name="_Extra media plan 050329_DM 05 budgetplanning TV 050429_Copy of DM Masterflow - Jun 15a_Wrigley - 05 budget&amp;calendar LE 050824 (25F)_P&amp;L KFE" xfId="5029"/>
    <cellStyle name="_Extra media plan 050329_DM 05 budgetplanning TV 050429_Copy of DM Masterflow - Jun 15a_Wrigley - 05 budget&amp;calendar LE 050824 (25F)_Sheet3" xfId="5030"/>
    <cellStyle name="_Extra media plan 050329_DM 05 budgetplanning TV 050429_Copy of DM Masterflow - Jun 15a_Wrigley - 05 budget&amp;calendar LE 050824 (25F)_Wrigley - 06 simple chart Sep 14" xfId="5031"/>
    <cellStyle name="_Extra media plan 050329_DM 05 budgetplanning TV 050429_Copy of DM Masterflow - Jun 15a_Wrigley - 05 budget&amp;calendar LE 050824 (25F)_Wrigley - 06 simple chart Sep 14 2" xfId="5032"/>
    <cellStyle name="_Extra media plan 050329_DM 05 budgetplanning TV 050429_Copy of DM Masterflow - Jun 15a_Wrigley - 05 budget&amp;calendar LE 050824 (25F)_Wrigley - 06 simple chart Sep 14_Category Template AC'11 @Cst Fx 52W vs 53W" xfId="5033"/>
    <cellStyle name="_Extra media plan 050329_DM 05 budgetplanning TV 050429_Copy of DM Masterflow - Jun 15a_Wrigley - 05 budget&amp;calendar LE 050824 (25F)_Wrigley - 06 simple chart Sep 14_Category Template AC'11 @Cst Fx 52W vs 53W 2" xfId="5034"/>
    <cellStyle name="_Extra media plan 050329_DM 05 budgetplanning TV 050429_Copy of DM Masterflow - Jun 15a_Wrigley - 05 budget&amp;calendar LE 050824 (25F)_Wrigley - 06 simple chart Sep 14_Category Template AC'11 @Cst Fx 52W vs 53W_P&amp;L KFE" xfId="5035"/>
    <cellStyle name="_Extra media plan 050329_DM 05 budgetplanning TV 050429_Copy of DM Masterflow - Jun 15a_Wrigley - 05 budget&amp;calendar LE 050824 (25F)_Wrigley - 06 simple chart Sep 14_Category Template AC'11 @Cst Fx 52W vs 53W_Sheet3" xfId="5036"/>
    <cellStyle name="_Extra media plan 050329_DM 05 budgetplanning TV 050429_Copy of DM Masterflow - Jun 15a_Wrigley - 05 budget&amp;calendar LE 050824 (25F)_Wrigley - 06 simple chart Sep 14_P&amp;L KFE" xfId="5037"/>
    <cellStyle name="_Extra media plan 050329_DM 05 budgetplanning TV 050429_Copy of DM Masterflow - Jun 15a_Wrigley - 05 budget&amp;calendar LE 050824 (25F)_Wrigley - 06 simple chart Sep 14_Sheet3" xfId="5038"/>
    <cellStyle name="_Extra media plan 050329_DM 05 budgetplanning TV 050429_Copy of DM Masterflow - Jun 15a_Wrigley - 05 budget&amp;calendar LE 050824 (25I)" xfId="5039"/>
    <cellStyle name="_Extra media plan 050329_DM 05 budgetplanning TV 050429_Copy of DM Masterflow - Jun 15a_Wrigley - 05 budget&amp;calendar LE 050824 (25I) 2" xfId="5040"/>
    <cellStyle name="_Extra media plan 050329_DM 05 budgetplanning TV 050429_Copy of DM Masterflow - Jun 15a_Wrigley - 05 budget&amp;calendar LE 050824 (25I)_Category Template AC'11 @Cst Fx 52W vs 53W" xfId="5041"/>
    <cellStyle name="_Extra media plan 050329_DM 05 budgetplanning TV 050429_Copy of DM Masterflow - Jun 15a_Wrigley - 05 budget&amp;calendar LE 050824 (25I)_Category Template AC'11 @Cst Fx 52W vs 53W 2" xfId="5042"/>
    <cellStyle name="_Extra media plan 050329_DM 05 budgetplanning TV 050429_Copy of DM Masterflow - Jun 15a_Wrigley - 05 budget&amp;calendar LE 050824 (25I)_Category Template AC'11 @Cst Fx 52W vs 53W_P&amp;L KFE" xfId="5043"/>
    <cellStyle name="_Extra media plan 050329_DM 05 budgetplanning TV 050429_Copy of DM Masterflow - Jun 15a_Wrigley - 05 budget&amp;calendar LE 050824 (25I)_Category Template AC'11 @Cst Fx 52W vs 53W_Sheet3" xfId="5044"/>
    <cellStyle name="_Extra media plan 050329_DM 05 budgetplanning TV 050429_Copy of DM Masterflow - Jun 15a_Wrigley - 05 budget&amp;calendar LE 050824 (25I)_P&amp;L KFE" xfId="5045"/>
    <cellStyle name="_Extra media plan 050329_DM 05 budgetplanning TV 050429_Copy of DM Masterflow - Jun 15a_Wrigley - 05 budget&amp;calendar LE 050824 (25I)_Sheet3" xfId="5046"/>
    <cellStyle name="_Extra media plan 050329_DM 05 budgetplanning TV 050429_Copy of DM Masterflow - Jun 15a_Wrigley - 05 budget&amp;calendar LE 050824 (25I)_Wrigley - 06 simple chart Sep 14" xfId="5047"/>
    <cellStyle name="_Extra media plan 050329_DM 05 budgetplanning TV 050429_Copy of DM Masterflow - Jun 15a_Wrigley - 05 budget&amp;calendar LE 050824 (25I)_Wrigley - 06 simple chart Sep 14 2" xfId="5048"/>
    <cellStyle name="_Extra media plan 050329_DM 05 budgetplanning TV 050429_Copy of DM Masterflow - Jun 15a_Wrigley - 05 budget&amp;calendar LE 050824 (25I)_Wrigley - 06 simple chart Sep 14_Category Template AC'11 @Cst Fx 52W vs 53W" xfId="5049"/>
    <cellStyle name="_Extra media plan 050329_DM 05 budgetplanning TV 050429_Copy of DM Masterflow - Jun 15a_Wrigley - 05 budget&amp;calendar LE 050824 (25I)_Wrigley - 06 simple chart Sep 14_Category Template AC'11 @Cst Fx 52W vs 53W 2" xfId="5050"/>
    <cellStyle name="_Extra media plan 050329_DM 05 budgetplanning TV 050429_Copy of DM Masterflow - Jun 15a_Wrigley - 05 budget&amp;calendar LE 050824 (25I)_Wrigley - 06 simple chart Sep 14_Category Template AC'11 @Cst Fx 52W vs 53W_P&amp;L KFE" xfId="5051"/>
    <cellStyle name="_Extra media plan 050329_DM 05 budgetplanning TV 050429_Copy of DM Masterflow - Jun 15a_Wrigley - 05 budget&amp;calendar LE 050824 (25I)_Wrigley - 06 simple chart Sep 14_Category Template AC'11 @Cst Fx 52W vs 53W_Sheet3" xfId="5052"/>
    <cellStyle name="_Extra media plan 050329_DM 05 budgetplanning TV 050429_Copy of DM Masterflow - Jun 15a_Wrigley - 05 budget&amp;calendar LE 050824 (25I)_Wrigley - 06 simple chart Sep 14_P&amp;L KFE" xfId="5053"/>
    <cellStyle name="_Extra media plan 050329_DM 05 budgetplanning TV 050429_Copy of DM Masterflow - Jun 15a_Wrigley - 05 budget&amp;calendar LE 050824 (25I)_Wrigley - 06 simple chart Sep 14_Sheet3" xfId="5054"/>
    <cellStyle name="_Extra media plan 050329_DM 05 budgetplanning TV 050429_Copy of DM Masterflow - Jun 15a_Wrigley - 06 simple chart Sep 14" xfId="5055"/>
    <cellStyle name="_Extra media plan 050329_DM 05 budgetplanning TV 050429_Copy of DM Masterflow - Jun 15a_Wrigley - 06 simple chart Sep 14 2" xfId="5056"/>
    <cellStyle name="_Extra media plan 050329_DM 05 budgetplanning TV 050429_Copy of DM Masterflow - Jun 15a_Wrigley - 06 simple chart Sep 14_Category Template AC'11 @Cst Fx 52W vs 53W" xfId="5057"/>
    <cellStyle name="_Extra media plan 050329_DM 05 budgetplanning TV 050429_Copy of DM Masterflow - Jun 15a_Wrigley - 06 simple chart Sep 14_Category Template AC'11 @Cst Fx 52W vs 53W 2" xfId="5058"/>
    <cellStyle name="_Extra media plan 050329_DM 05 budgetplanning TV 050429_Copy of DM Masterflow - Jun 15a_Wrigley - 06 simple chart Sep 14_Category Template AC'11 @Cst Fx 52W vs 53W_P&amp;L KFE" xfId="5059"/>
    <cellStyle name="_Extra media plan 050329_DM 05 budgetplanning TV 050429_Copy of DM Masterflow - Jun 15a_Wrigley - 06 simple chart Sep 14_Category Template AC'11 @Cst Fx 52W vs 53W_Sheet3" xfId="5060"/>
    <cellStyle name="_Extra media plan 050329_DM 05 budgetplanning TV 050429_Copy of DM Masterflow - Jun 15a_Wrigley - 06 simple chart Sep 14_P&amp;L KFE" xfId="5061"/>
    <cellStyle name="_Extra media plan 050329_DM 05 budgetplanning TV 050429_Copy of DM Masterflow - Jun 15a_Wrigley - 06 simple chart Sep 14_Sheet3" xfId="5062"/>
    <cellStyle name="_Extra media plan 050329_DM 05 budgetplanning TV 050429_Copy of TR Masterflow June 15-a" xfId="5063"/>
    <cellStyle name="_Extra media plan 050329_DM 05 budgetplanning TV 050429_Copy of TR Masterflow June 15-a 2" xfId="5064"/>
    <cellStyle name="_Extra media plan 050329_DM 05 budgetplanning TV 050429_Copy of TR Masterflow June 15-a_Book5" xfId="5065"/>
    <cellStyle name="_Extra media plan 050329_DM 05 budgetplanning TV 050429_Copy of TR Masterflow June 15-a_Book5 2" xfId="5066"/>
    <cellStyle name="_Extra media plan 050329_DM 05 budgetplanning TV 050429_Copy of TR Masterflow June 15-a_Book5_Category Template AC'11 @Cst Fx 52W vs 53W" xfId="5067"/>
    <cellStyle name="_Extra media plan 050329_DM 05 budgetplanning TV 050429_Copy of TR Masterflow June 15-a_Book5_Category Template AC'11 @Cst Fx 52W vs 53W 2" xfId="5068"/>
    <cellStyle name="_Extra media plan 050329_DM 05 budgetplanning TV 050429_Copy of TR Masterflow June 15-a_Book5_Category Template AC'11 @Cst Fx 52W vs 53W_P&amp;L KFE" xfId="5069"/>
    <cellStyle name="_Extra media plan 050329_DM 05 budgetplanning TV 050429_Copy of TR Masterflow June 15-a_Book5_Category Template AC'11 @Cst Fx 52W vs 53W_Sheet3" xfId="5070"/>
    <cellStyle name="_Extra media plan 050329_DM 05 budgetplanning TV 050429_Copy of TR Masterflow June 15-a_Book5_P&amp;L KFE" xfId="5071"/>
    <cellStyle name="_Extra media plan 050329_DM 05 budgetplanning TV 050429_Copy of TR Masterflow June 15-a_Book5_Sheet3" xfId="5072"/>
    <cellStyle name="_Extra media plan 050329_DM 05 budgetplanning TV 050429_Copy of TR Masterflow June 15-a_Category Template AC'11 @Cst Fx 52W vs 53W" xfId="5073"/>
    <cellStyle name="_Extra media plan 050329_DM 05 budgetplanning TV 050429_Copy of TR Masterflow June 15-a_Category Template AC'11 @Cst Fx 52W vs 53W 2" xfId="5074"/>
    <cellStyle name="_Extra media plan 050329_DM 05 budgetplanning TV 050429_Copy of TR Masterflow June 15-a_Category Template AC'11 @Cst Fx 52W vs 53W_P&amp;L KFE" xfId="5075"/>
    <cellStyle name="_Extra media plan 050329_DM 05 budgetplanning TV 050429_Copy of TR Masterflow June 15-a_Category Template AC'11 @Cst Fx 52W vs 53W_Sheet3" xfId="5076"/>
    <cellStyle name="_Extra media plan 050329_DM 05 budgetplanning TV 050429_Copy of TR Masterflow June 15-a_P&amp;L KFE" xfId="5077"/>
    <cellStyle name="_Extra media plan 050329_DM 05 budgetplanning TV 050429_Copy of TR Masterflow June 15-a_Sheet3" xfId="5078"/>
    <cellStyle name="_Extra media plan 050329_DM 05 budgetplanning TV 050429_Copy of TR Masterflow June 15-a_Wrigley - 05 budget&amp;calendar LE 050728 (25I)" xfId="5079"/>
    <cellStyle name="_Extra media plan 050329_DM 05 budgetplanning TV 050429_Copy of TR Masterflow June 15-a_Wrigley - 05 budget&amp;calendar LE 050728 (25I) 2" xfId="5080"/>
    <cellStyle name="_Extra media plan 050329_DM 05 budgetplanning TV 050429_Copy of TR Masterflow June 15-a_Wrigley - 05 budget&amp;calendar LE 050728 (25I)_Category Template AC'11 @Cst Fx 52W vs 53W" xfId="5081"/>
    <cellStyle name="_Extra media plan 050329_DM 05 budgetplanning TV 050429_Copy of TR Masterflow June 15-a_Wrigley - 05 budget&amp;calendar LE 050728 (25I)_Category Template AC'11 @Cst Fx 52W vs 53W 2" xfId="5082"/>
    <cellStyle name="_Extra media plan 050329_DM 05 budgetplanning TV 050429_Copy of TR Masterflow June 15-a_Wrigley - 05 budget&amp;calendar LE 050728 (25I)_Category Template AC'11 @Cst Fx 52W vs 53W_P&amp;L KFE" xfId="5083"/>
    <cellStyle name="_Extra media plan 050329_DM 05 budgetplanning TV 050429_Copy of TR Masterflow June 15-a_Wrigley - 05 budget&amp;calendar LE 050728 (25I)_Category Template AC'11 @Cst Fx 52W vs 53W_Sheet3" xfId="5084"/>
    <cellStyle name="_Extra media plan 050329_DM 05 budgetplanning TV 050429_Copy of TR Masterflow June 15-a_Wrigley - 05 budget&amp;calendar LE 050728 (25I)_P&amp;L KFE" xfId="5085"/>
    <cellStyle name="_Extra media plan 050329_DM 05 budgetplanning TV 050429_Copy of TR Masterflow June 15-a_Wrigley - 05 budget&amp;calendar LE 050728 (25I)_Sheet3" xfId="5086"/>
    <cellStyle name="_Extra media plan 050329_DM 05 budgetplanning TV 050429_Copy of TR Masterflow June 15-a_Wrigley - 05 budget&amp;calendar LE 050728 (25I)_Wrigley - 06 simple chart Sep 14" xfId="5087"/>
    <cellStyle name="_Extra media plan 050329_DM 05 budgetplanning TV 050429_Copy of TR Masterflow June 15-a_Wrigley - 05 budget&amp;calendar LE 050728 (25I)_Wrigley - 06 simple chart Sep 14 2" xfId="5088"/>
    <cellStyle name="_Extra media plan 050329_DM 05 budgetplanning TV 050429_Copy of TR Masterflow June 15-a_Wrigley - 05 budget&amp;calendar LE 050728 (25I)_Wrigley - 06 simple chart Sep 14_Category Template AC'11 @Cst Fx 52W vs 53W" xfId="5089"/>
    <cellStyle name="_Extra media plan 050329_DM 05 budgetplanning TV 050429_Copy of TR Masterflow June 15-a_Wrigley - 05 budget&amp;calendar LE 050728 (25I)_Wrigley - 06 simple chart Sep 14_Category Template AC'11 @Cst Fx 52W vs 53W 2" xfId="5090"/>
    <cellStyle name="_Extra media plan 050329_DM 05 budgetplanning TV 050429_Copy of TR Masterflow June 15-a_Wrigley - 05 budget&amp;calendar LE 050728 (25I)_Wrigley - 06 simple chart Sep 14_Category Template AC'11 @Cst Fx 52W vs 53W_P&amp;L KFE" xfId="5091"/>
    <cellStyle name="_Extra media plan 050329_DM 05 budgetplanning TV 050429_Copy of TR Masterflow June 15-a_Wrigley - 05 budget&amp;calendar LE 050728 (25I)_Wrigley - 06 simple chart Sep 14_Category Template AC'11 @Cst Fx 52W vs 53W_Sheet3" xfId="5092"/>
    <cellStyle name="_Extra media plan 050329_DM 05 budgetplanning TV 050429_Copy of TR Masterflow June 15-a_Wrigley - 05 budget&amp;calendar LE 050728 (25I)_Wrigley - 06 simple chart Sep 14_P&amp;L KFE" xfId="5093"/>
    <cellStyle name="_Extra media plan 050329_DM 05 budgetplanning TV 050429_Copy of TR Masterflow June 15-a_Wrigley - 05 budget&amp;calendar LE 050728 (25I)_Wrigley - 06 simple chart Sep 14_Sheet3" xfId="5094"/>
    <cellStyle name="_Extra media plan 050329_DM 05 budgetplanning TV 050429_Copy of TR Masterflow June 15-a_Wrigley - 05 budget&amp;calendar LE 050824 (25F)" xfId="5095"/>
    <cellStyle name="_Extra media plan 050329_DM 05 budgetplanning TV 050429_Copy of TR Masterflow June 15-a_Wrigley - 05 budget&amp;calendar LE 050824 (25F) 2" xfId="5096"/>
    <cellStyle name="_Extra media plan 050329_DM 05 budgetplanning TV 050429_Copy of TR Masterflow June 15-a_Wrigley - 05 budget&amp;calendar LE 050824 (25F)_Category Template AC'11 @Cst Fx 52W vs 53W" xfId="5097"/>
    <cellStyle name="_Extra media plan 050329_DM 05 budgetplanning TV 050429_Copy of TR Masterflow June 15-a_Wrigley - 05 budget&amp;calendar LE 050824 (25F)_Category Template AC'11 @Cst Fx 52W vs 53W 2" xfId="5098"/>
    <cellStyle name="_Extra media plan 050329_DM 05 budgetplanning TV 050429_Copy of TR Masterflow June 15-a_Wrigley - 05 budget&amp;calendar LE 050824 (25F)_Category Template AC'11 @Cst Fx 52W vs 53W_P&amp;L KFE" xfId="5099"/>
    <cellStyle name="_Extra media plan 050329_DM 05 budgetplanning TV 050429_Copy of TR Masterflow June 15-a_Wrigley - 05 budget&amp;calendar LE 050824 (25F)_Category Template AC'11 @Cst Fx 52W vs 53W_Sheet3" xfId="5100"/>
    <cellStyle name="_Extra media plan 050329_DM 05 budgetplanning TV 050429_Copy of TR Masterflow June 15-a_Wrigley - 05 budget&amp;calendar LE 050824 (25F)_P&amp;L KFE" xfId="5101"/>
    <cellStyle name="_Extra media plan 050329_DM 05 budgetplanning TV 050429_Copy of TR Masterflow June 15-a_Wrigley - 05 budget&amp;calendar LE 050824 (25F)_Sheet3" xfId="5102"/>
    <cellStyle name="_Extra media plan 050329_DM 05 budgetplanning TV 050429_Copy of TR Masterflow June 15-a_Wrigley - 05 budget&amp;calendar LE 050824 (25F)_Wrigley - 06 simple chart Sep 14" xfId="5103"/>
    <cellStyle name="_Extra media plan 050329_DM 05 budgetplanning TV 050429_Copy of TR Masterflow June 15-a_Wrigley - 05 budget&amp;calendar LE 050824 (25F)_Wrigley - 06 simple chart Sep 14 2" xfId="5104"/>
    <cellStyle name="_Extra media plan 050329_DM 05 budgetplanning TV 050429_Copy of TR Masterflow June 15-a_Wrigley - 05 budget&amp;calendar LE 050824 (25F)_Wrigley - 06 simple chart Sep 14_Category Template AC'11 @Cst Fx 52W vs 53W" xfId="5105"/>
    <cellStyle name="_Extra media plan 050329_DM 05 budgetplanning TV 050429_Copy of TR Masterflow June 15-a_Wrigley - 05 budget&amp;calendar LE 050824 (25F)_Wrigley - 06 simple chart Sep 14_Category Template AC'11 @Cst Fx 52W vs 53W 2" xfId="5106"/>
    <cellStyle name="_Extra media plan 050329_DM 05 budgetplanning TV 050429_Copy of TR Masterflow June 15-a_Wrigley - 05 budget&amp;calendar LE 050824 (25F)_Wrigley - 06 simple chart Sep 14_Category Template AC'11 @Cst Fx 52W vs 53W_P&amp;L KFE" xfId="5107"/>
    <cellStyle name="_Extra media plan 050329_DM 05 budgetplanning TV 050429_Copy of TR Masterflow June 15-a_Wrigley - 05 budget&amp;calendar LE 050824 (25F)_Wrigley - 06 simple chart Sep 14_Category Template AC'11 @Cst Fx 52W vs 53W_Sheet3" xfId="5108"/>
    <cellStyle name="_Extra media plan 050329_DM 05 budgetplanning TV 050429_Copy of TR Masterflow June 15-a_Wrigley - 05 budget&amp;calendar LE 050824 (25F)_Wrigley - 06 simple chart Sep 14_P&amp;L KFE" xfId="5109"/>
    <cellStyle name="_Extra media plan 050329_DM 05 budgetplanning TV 050429_Copy of TR Masterflow June 15-a_Wrigley - 05 budget&amp;calendar LE 050824 (25F)_Wrigley - 06 simple chart Sep 14_Sheet3" xfId="5110"/>
    <cellStyle name="_Extra media plan 050329_DM 05 budgetplanning TV 050429_Copy of TR Masterflow June 15-a_Wrigley - 05 budget&amp;calendar LE 050824 (25I)" xfId="5111"/>
    <cellStyle name="_Extra media plan 050329_DM 05 budgetplanning TV 050429_Copy of TR Masterflow June 15-a_Wrigley - 05 budget&amp;calendar LE 050824 (25I) 2" xfId="5112"/>
    <cellStyle name="_Extra media plan 050329_DM 05 budgetplanning TV 050429_Copy of TR Masterflow June 15-a_Wrigley - 05 budget&amp;calendar LE 050824 (25I)_Category Template AC'11 @Cst Fx 52W vs 53W" xfId="5113"/>
    <cellStyle name="_Extra media plan 050329_DM 05 budgetplanning TV 050429_Copy of TR Masterflow June 15-a_Wrigley - 05 budget&amp;calendar LE 050824 (25I)_Category Template AC'11 @Cst Fx 52W vs 53W 2" xfId="5114"/>
    <cellStyle name="_Extra media plan 050329_DM 05 budgetplanning TV 050429_Copy of TR Masterflow June 15-a_Wrigley - 05 budget&amp;calendar LE 050824 (25I)_Category Template AC'11 @Cst Fx 52W vs 53W_P&amp;L KFE" xfId="5115"/>
    <cellStyle name="_Extra media plan 050329_DM 05 budgetplanning TV 050429_Copy of TR Masterflow June 15-a_Wrigley - 05 budget&amp;calendar LE 050824 (25I)_Category Template AC'11 @Cst Fx 52W vs 53W_Sheet3" xfId="5116"/>
    <cellStyle name="_Extra media plan 050329_DM 05 budgetplanning TV 050429_Copy of TR Masterflow June 15-a_Wrigley - 05 budget&amp;calendar LE 050824 (25I)_P&amp;L KFE" xfId="5117"/>
    <cellStyle name="_Extra media plan 050329_DM 05 budgetplanning TV 050429_Copy of TR Masterflow June 15-a_Wrigley - 05 budget&amp;calendar LE 050824 (25I)_Sheet3" xfId="5118"/>
    <cellStyle name="_Extra media plan 050329_DM 05 budgetplanning TV 050429_Copy of TR Masterflow June 15-a_Wrigley - 05 budget&amp;calendar LE 050824 (25I)_Wrigley - 06 simple chart Sep 14" xfId="5119"/>
    <cellStyle name="_Extra media plan 050329_DM 05 budgetplanning TV 050429_Copy of TR Masterflow June 15-a_Wrigley - 05 budget&amp;calendar LE 050824 (25I)_Wrigley - 06 simple chart Sep 14 2" xfId="5120"/>
    <cellStyle name="_Extra media plan 050329_DM 05 budgetplanning TV 050429_Copy of TR Masterflow June 15-a_Wrigley - 05 budget&amp;calendar LE 050824 (25I)_Wrigley - 06 simple chart Sep 14_Category Template AC'11 @Cst Fx 52W vs 53W" xfId="5121"/>
    <cellStyle name="_Extra media plan 050329_DM 05 budgetplanning TV 050429_Copy of TR Masterflow June 15-a_Wrigley - 05 budget&amp;calendar LE 050824 (25I)_Wrigley - 06 simple chart Sep 14_Category Template AC'11 @Cst Fx 52W vs 53W 2" xfId="5122"/>
    <cellStyle name="_Extra media plan 050329_DM 05 budgetplanning TV 050429_Copy of TR Masterflow June 15-a_Wrigley - 05 budget&amp;calendar LE 050824 (25I)_Wrigley - 06 simple chart Sep 14_Category Template AC'11 @Cst Fx 52W vs 53W_P&amp;L KFE" xfId="5123"/>
    <cellStyle name="_Extra media plan 050329_DM 05 budgetplanning TV 050429_Copy of TR Masterflow June 15-a_Wrigley - 05 budget&amp;calendar LE 050824 (25I)_Wrigley - 06 simple chart Sep 14_Category Template AC'11 @Cst Fx 52W vs 53W_Sheet3" xfId="5124"/>
    <cellStyle name="_Extra media plan 050329_DM 05 budgetplanning TV 050429_Copy of TR Masterflow June 15-a_Wrigley - 05 budget&amp;calendar LE 050824 (25I)_Wrigley - 06 simple chart Sep 14_P&amp;L KFE" xfId="5125"/>
    <cellStyle name="_Extra media plan 050329_DM 05 budgetplanning TV 050429_Copy of TR Masterflow June 15-a_Wrigley - 05 budget&amp;calendar LE 050824 (25I)_Wrigley - 06 simple chart Sep 14_Sheet3" xfId="5126"/>
    <cellStyle name="_Extra media plan 050329_DM 05 budgetplanning TV 050429_Copy of TR Masterflow June 15-a_Wrigley - 06 simple chart Sep 14" xfId="5127"/>
    <cellStyle name="_Extra media plan 050329_DM 05 budgetplanning TV 050429_Copy of TR Masterflow June 15-a_Wrigley - 06 simple chart Sep 14 2" xfId="5128"/>
    <cellStyle name="_Extra media plan 050329_DM 05 budgetplanning TV 050429_Copy of TR Masterflow June 15-a_Wrigley - 06 simple chart Sep 14_Category Template AC'11 @Cst Fx 52W vs 53W" xfId="5129"/>
    <cellStyle name="_Extra media plan 050329_DM 05 budgetplanning TV 050429_Copy of TR Masterflow June 15-a_Wrigley - 06 simple chart Sep 14_Category Template AC'11 @Cst Fx 52W vs 53W 2" xfId="5130"/>
    <cellStyle name="_Extra media plan 050329_DM 05 budgetplanning TV 050429_Copy of TR Masterflow June 15-a_Wrigley - 06 simple chart Sep 14_Category Template AC'11 @Cst Fx 52W vs 53W_P&amp;L KFE" xfId="5131"/>
    <cellStyle name="_Extra media plan 050329_DM 05 budgetplanning TV 050429_Copy of TR Masterflow June 15-a_Wrigley - 06 simple chart Sep 14_Category Template AC'11 @Cst Fx 52W vs 53W_Sheet3" xfId="5132"/>
    <cellStyle name="_Extra media plan 050329_DM 05 budgetplanning TV 050429_Copy of TR Masterflow June 15-a_Wrigley - 06 simple chart Sep 14_P&amp;L KFE" xfId="5133"/>
    <cellStyle name="_Extra media plan 050329_DM 05 budgetplanning TV 050429_Copy of TR Masterflow June 15-a_Wrigley - 06 simple chart Sep 14_Sheet3" xfId="5134"/>
    <cellStyle name="_Extra media plan 050329_DM 05 budgetplanning TV 050429_EX Master Flowchart June 15a" xfId="5135"/>
    <cellStyle name="_Extra media plan 050329_DM 05 budgetplanning TV 050429_EX Master Flowchart June 15a 2" xfId="5136"/>
    <cellStyle name="_Extra media plan 050329_DM 05 budgetplanning TV 050429_EX Master Flowchart June 15a_Book5" xfId="5137"/>
    <cellStyle name="_Extra media plan 050329_DM 05 budgetplanning TV 050429_EX Master Flowchart June 15a_Book5 2" xfId="5138"/>
    <cellStyle name="_Extra media plan 050329_DM 05 budgetplanning TV 050429_EX Master Flowchart June 15a_Book5_Category Template AC'11 @Cst Fx 52W vs 53W" xfId="5139"/>
    <cellStyle name="_Extra media plan 050329_DM 05 budgetplanning TV 050429_EX Master Flowchart June 15a_Book5_Category Template AC'11 @Cst Fx 52W vs 53W 2" xfId="5140"/>
    <cellStyle name="_Extra media plan 050329_DM 05 budgetplanning TV 050429_EX Master Flowchart June 15a_Book5_Category Template AC'11 @Cst Fx 52W vs 53W_P&amp;L KFE" xfId="5141"/>
    <cellStyle name="_Extra media plan 050329_DM 05 budgetplanning TV 050429_EX Master Flowchart June 15a_Book5_Category Template AC'11 @Cst Fx 52W vs 53W_Sheet3" xfId="5142"/>
    <cellStyle name="_Extra media plan 050329_DM 05 budgetplanning TV 050429_EX Master Flowchart June 15a_Book5_P&amp;L KFE" xfId="5143"/>
    <cellStyle name="_Extra media plan 050329_DM 05 budgetplanning TV 050429_EX Master Flowchart June 15a_Book5_Sheet3" xfId="5144"/>
    <cellStyle name="_Extra media plan 050329_DM 05 budgetplanning TV 050429_EX Master Flowchart June 15a_Category Template AC'11 @Cst Fx 52W vs 53W" xfId="5145"/>
    <cellStyle name="_Extra media plan 050329_DM 05 budgetplanning TV 050429_EX Master Flowchart June 15a_Category Template AC'11 @Cst Fx 52W vs 53W 2" xfId="5146"/>
    <cellStyle name="_Extra media plan 050329_DM 05 budgetplanning TV 050429_EX Master Flowchart June 15a_Category Template AC'11 @Cst Fx 52W vs 53W_P&amp;L KFE" xfId="5147"/>
    <cellStyle name="_Extra media plan 050329_DM 05 budgetplanning TV 050429_EX Master Flowchart June 15a_Category Template AC'11 @Cst Fx 52W vs 53W_Sheet3" xfId="5148"/>
    <cellStyle name="_Extra media plan 050329_DM 05 budgetplanning TV 050429_EX Master Flowchart June 15a_P&amp;L KFE" xfId="5149"/>
    <cellStyle name="_Extra media plan 050329_DM 05 budgetplanning TV 050429_EX Master Flowchart June 15a_Sheet3" xfId="5150"/>
    <cellStyle name="_Extra media plan 050329_DM 05 budgetplanning TV 050429_EX Master Flowchart June 15a_Wrigley - 05 budget&amp;calendar LE 050728 (25I)" xfId="5151"/>
    <cellStyle name="_Extra media plan 050329_DM 05 budgetplanning TV 050429_EX Master Flowchart June 15a_Wrigley - 05 budget&amp;calendar LE 050728 (25I) 2" xfId="5152"/>
    <cellStyle name="_Extra media plan 050329_DM 05 budgetplanning TV 050429_EX Master Flowchart June 15a_Wrigley - 05 budget&amp;calendar LE 050728 (25I)_Category Template AC'11 @Cst Fx 52W vs 53W" xfId="5153"/>
    <cellStyle name="_Extra media plan 050329_DM 05 budgetplanning TV 050429_EX Master Flowchart June 15a_Wrigley - 05 budget&amp;calendar LE 050728 (25I)_Category Template AC'11 @Cst Fx 52W vs 53W 2" xfId="5154"/>
    <cellStyle name="_Extra media plan 050329_DM 05 budgetplanning TV 050429_EX Master Flowchart June 15a_Wrigley - 05 budget&amp;calendar LE 050728 (25I)_Category Template AC'11 @Cst Fx 52W vs 53W_P&amp;L KFE" xfId="5155"/>
    <cellStyle name="_Extra media plan 050329_DM 05 budgetplanning TV 050429_EX Master Flowchart June 15a_Wrigley - 05 budget&amp;calendar LE 050728 (25I)_Category Template AC'11 @Cst Fx 52W vs 53W_Sheet3" xfId="5156"/>
    <cellStyle name="_Extra media plan 050329_DM 05 budgetplanning TV 050429_EX Master Flowchart June 15a_Wrigley - 05 budget&amp;calendar LE 050728 (25I)_P&amp;L KFE" xfId="5157"/>
    <cellStyle name="_Extra media plan 050329_DM 05 budgetplanning TV 050429_EX Master Flowchart June 15a_Wrigley - 05 budget&amp;calendar LE 050728 (25I)_Sheet3" xfId="5158"/>
    <cellStyle name="_Extra media plan 050329_DM 05 budgetplanning TV 050429_EX Master Flowchart June 15a_Wrigley - 05 budget&amp;calendar LE 050728 (25I)_Wrigley - 06 simple chart Sep 14" xfId="5159"/>
    <cellStyle name="_Extra media plan 050329_DM 05 budgetplanning TV 050429_EX Master Flowchart June 15a_Wrigley - 05 budget&amp;calendar LE 050728 (25I)_Wrigley - 06 simple chart Sep 14 2" xfId="5160"/>
    <cellStyle name="_Extra media plan 050329_DM 05 budgetplanning TV 050429_EX Master Flowchart June 15a_Wrigley - 05 budget&amp;calendar LE 050728 (25I)_Wrigley - 06 simple chart Sep 14_Category Template AC'11 @Cst Fx 52W vs 53W" xfId="5161"/>
    <cellStyle name="_Extra media plan 050329_DM 05 budgetplanning TV 050429_EX Master Flowchart June 15a_Wrigley - 05 budget&amp;calendar LE 050728 (25I)_Wrigley - 06 simple chart Sep 14_Category Template AC'11 @Cst Fx 52W vs 53W 2" xfId="5162"/>
    <cellStyle name="_Extra media plan 050329_DM 05 budgetplanning TV 050429_EX Master Flowchart June 15a_Wrigley - 05 budget&amp;calendar LE 050728 (25I)_Wrigley - 06 simple chart Sep 14_Category Template AC'11 @Cst Fx 52W vs 53W_P&amp;L KFE" xfId="5163"/>
    <cellStyle name="_Extra media plan 050329_DM 05 budgetplanning TV 050429_EX Master Flowchart June 15a_Wrigley - 05 budget&amp;calendar LE 050728 (25I)_Wrigley - 06 simple chart Sep 14_Category Template AC'11 @Cst Fx 52W vs 53W_Sheet3" xfId="5164"/>
    <cellStyle name="_Extra media plan 050329_DM 05 budgetplanning TV 050429_EX Master Flowchart June 15a_Wrigley - 05 budget&amp;calendar LE 050728 (25I)_Wrigley - 06 simple chart Sep 14_P&amp;L KFE" xfId="5165"/>
    <cellStyle name="_Extra media plan 050329_DM 05 budgetplanning TV 050429_EX Master Flowchart June 15a_Wrigley - 05 budget&amp;calendar LE 050728 (25I)_Wrigley - 06 simple chart Sep 14_Sheet3" xfId="5166"/>
    <cellStyle name="_Extra media plan 050329_DM 05 budgetplanning TV 050429_EX Master Flowchart June 15a_Wrigley - 05 budget&amp;calendar LE 050824 (25F)" xfId="5167"/>
    <cellStyle name="_Extra media plan 050329_DM 05 budgetplanning TV 050429_EX Master Flowchart June 15a_Wrigley - 05 budget&amp;calendar LE 050824 (25F) 2" xfId="5168"/>
    <cellStyle name="_Extra media plan 050329_DM 05 budgetplanning TV 050429_EX Master Flowchart June 15a_Wrigley - 05 budget&amp;calendar LE 050824 (25F)_Category Template AC'11 @Cst Fx 52W vs 53W" xfId="5169"/>
    <cellStyle name="_Extra media plan 050329_DM 05 budgetplanning TV 050429_EX Master Flowchart June 15a_Wrigley - 05 budget&amp;calendar LE 050824 (25F)_Category Template AC'11 @Cst Fx 52W vs 53W 2" xfId="5170"/>
    <cellStyle name="_Extra media plan 050329_DM 05 budgetplanning TV 050429_EX Master Flowchart June 15a_Wrigley - 05 budget&amp;calendar LE 050824 (25F)_Category Template AC'11 @Cst Fx 52W vs 53W_P&amp;L KFE" xfId="5171"/>
    <cellStyle name="_Extra media plan 050329_DM 05 budgetplanning TV 050429_EX Master Flowchart June 15a_Wrigley - 05 budget&amp;calendar LE 050824 (25F)_Category Template AC'11 @Cst Fx 52W vs 53W_Sheet3" xfId="5172"/>
    <cellStyle name="_Extra media plan 050329_DM 05 budgetplanning TV 050429_EX Master Flowchart June 15a_Wrigley - 05 budget&amp;calendar LE 050824 (25F)_P&amp;L KFE" xfId="5173"/>
    <cellStyle name="_Extra media plan 050329_DM 05 budgetplanning TV 050429_EX Master Flowchart June 15a_Wrigley - 05 budget&amp;calendar LE 050824 (25F)_Sheet3" xfId="5174"/>
    <cellStyle name="_Extra media plan 050329_DM 05 budgetplanning TV 050429_EX Master Flowchart June 15a_Wrigley - 05 budget&amp;calendar LE 050824 (25F)_Wrigley - 06 simple chart Sep 14" xfId="5175"/>
    <cellStyle name="_Extra media plan 050329_DM 05 budgetplanning TV 050429_EX Master Flowchart June 15a_Wrigley - 05 budget&amp;calendar LE 050824 (25F)_Wrigley - 06 simple chart Sep 14 2" xfId="5176"/>
    <cellStyle name="_Extra media plan 050329_DM 05 budgetplanning TV 050429_EX Master Flowchart June 15a_Wrigley - 05 budget&amp;calendar LE 050824 (25F)_Wrigley - 06 simple chart Sep 14_Category Template AC'11 @Cst Fx 52W vs 53W" xfId="5177"/>
    <cellStyle name="_Extra media plan 050329_DM 05 budgetplanning TV 050429_EX Master Flowchart June 15a_Wrigley - 05 budget&amp;calendar LE 050824 (25F)_Wrigley - 06 simple chart Sep 14_Category Template AC'11 @Cst Fx 52W vs 53W 2" xfId="5178"/>
    <cellStyle name="_Extra media plan 050329_DM 05 budgetplanning TV 050429_EX Master Flowchart June 15a_Wrigley - 05 budget&amp;calendar LE 050824 (25F)_Wrigley - 06 simple chart Sep 14_Category Template AC'11 @Cst Fx 52W vs 53W_P&amp;L KFE" xfId="5179"/>
    <cellStyle name="_Extra media plan 050329_DM 05 budgetplanning TV 050429_EX Master Flowchart June 15a_Wrigley - 05 budget&amp;calendar LE 050824 (25F)_Wrigley - 06 simple chart Sep 14_Category Template AC'11 @Cst Fx 52W vs 53W_Sheet3" xfId="5180"/>
    <cellStyle name="_Extra media plan 050329_DM 05 budgetplanning TV 050429_EX Master Flowchart June 15a_Wrigley - 05 budget&amp;calendar LE 050824 (25F)_Wrigley - 06 simple chart Sep 14_P&amp;L KFE" xfId="5181"/>
    <cellStyle name="_Extra media plan 050329_DM 05 budgetplanning TV 050429_EX Master Flowchart June 15a_Wrigley - 05 budget&amp;calendar LE 050824 (25F)_Wrigley - 06 simple chart Sep 14_Sheet3" xfId="5182"/>
    <cellStyle name="_Extra media plan 050329_DM 05 budgetplanning TV 050429_EX Master Flowchart June 15a_Wrigley - 05 budget&amp;calendar LE 050824 (25I)" xfId="5183"/>
    <cellStyle name="_Extra media plan 050329_DM 05 budgetplanning TV 050429_EX Master Flowchart June 15a_Wrigley - 05 budget&amp;calendar LE 050824 (25I) 2" xfId="5184"/>
    <cellStyle name="_Extra media plan 050329_DM 05 budgetplanning TV 050429_EX Master Flowchart June 15a_Wrigley - 05 budget&amp;calendar LE 050824 (25I)_Category Template AC'11 @Cst Fx 52W vs 53W" xfId="5185"/>
    <cellStyle name="_Extra media plan 050329_DM 05 budgetplanning TV 050429_EX Master Flowchart June 15a_Wrigley - 05 budget&amp;calendar LE 050824 (25I)_Category Template AC'11 @Cst Fx 52W vs 53W 2" xfId="5186"/>
    <cellStyle name="_Extra media plan 050329_DM 05 budgetplanning TV 050429_EX Master Flowchart June 15a_Wrigley - 05 budget&amp;calendar LE 050824 (25I)_Category Template AC'11 @Cst Fx 52W vs 53W_P&amp;L KFE" xfId="5187"/>
    <cellStyle name="_Extra media plan 050329_DM 05 budgetplanning TV 050429_EX Master Flowchart June 15a_Wrigley - 05 budget&amp;calendar LE 050824 (25I)_Category Template AC'11 @Cst Fx 52W vs 53W_Sheet3" xfId="5188"/>
    <cellStyle name="_Extra media plan 050329_DM 05 budgetplanning TV 050429_EX Master Flowchart June 15a_Wrigley - 05 budget&amp;calendar LE 050824 (25I)_P&amp;L KFE" xfId="5189"/>
    <cellStyle name="_Extra media plan 050329_DM 05 budgetplanning TV 050429_EX Master Flowchart June 15a_Wrigley - 05 budget&amp;calendar LE 050824 (25I)_Sheet3" xfId="5190"/>
    <cellStyle name="_Extra media plan 050329_DM 05 budgetplanning TV 050429_EX Master Flowchart June 15a_Wrigley - 05 budget&amp;calendar LE 050824 (25I)_Wrigley - 06 simple chart Sep 14" xfId="5191"/>
    <cellStyle name="_Extra media plan 050329_DM 05 budgetplanning TV 050429_EX Master Flowchart June 15a_Wrigley - 05 budget&amp;calendar LE 050824 (25I)_Wrigley - 06 simple chart Sep 14 2" xfId="5192"/>
    <cellStyle name="_Extra media plan 050329_DM 05 budgetplanning TV 050429_EX Master Flowchart June 15a_Wrigley - 05 budget&amp;calendar LE 050824 (25I)_Wrigley - 06 simple chart Sep 14_Category Template AC'11 @Cst Fx 52W vs 53W" xfId="5193"/>
    <cellStyle name="_Extra media plan 050329_DM 05 budgetplanning TV 050429_EX Master Flowchart June 15a_Wrigley - 05 budget&amp;calendar LE 050824 (25I)_Wrigley - 06 simple chart Sep 14_Category Template AC'11 @Cst Fx 52W vs 53W 2" xfId="5194"/>
    <cellStyle name="_Extra media plan 050329_DM 05 budgetplanning TV 050429_EX Master Flowchart June 15a_Wrigley - 05 budget&amp;calendar LE 050824 (25I)_Wrigley - 06 simple chart Sep 14_Category Template AC'11 @Cst Fx 52W vs 53W_P&amp;L KFE" xfId="5195"/>
    <cellStyle name="_Extra media plan 050329_DM 05 budgetplanning TV 050429_EX Master Flowchart June 15a_Wrigley - 05 budget&amp;calendar LE 050824 (25I)_Wrigley - 06 simple chart Sep 14_Category Template AC'11 @Cst Fx 52W vs 53W_Sheet3" xfId="5196"/>
    <cellStyle name="_Extra media plan 050329_DM 05 budgetplanning TV 050429_EX Master Flowchart June 15a_Wrigley - 05 budget&amp;calendar LE 050824 (25I)_Wrigley - 06 simple chart Sep 14_P&amp;L KFE" xfId="5197"/>
    <cellStyle name="_Extra media plan 050329_DM 05 budgetplanning TV 050429_EX Master Flowchart June 15a_Wrigley - 05 budget&amp;calendar LE 050824 (25I)_Wrigley - 06 simple chart Sep 14_Sheet3" xfId="5198"/>
    <cellStyle name="_Extra media plan 050329_DM 05 budgetplanning TV 050429_EX Master Flowchart June 15a_Wrigley - 06 simple chart Sep 14" xfId="5199"/>
    <cellStyle name="_Extra media plan 050329_DM 05 budgetplanning TV 050429_EX Master Flowchart June 15a_Wrigley - 06 simple chart Sep 14 2" xfId="5200"/>
    <cellStyle name="_Extra media plan 050329_DM 05 budgetplanning TV 050429_EX Master Flowchart June 15a_Wrigley - 06 simple chart Sep 14_Category Template AC'11 @Cst Fx 52W vs 53W" xfId="5201"/>
    <cellStyle name="_Extra media plan 050329_DM 05 budgetplanning TV 050429_EX Master Flowchart June 15a_Wrigley - 06 simple chart Sep 14_Category Template AC'11 @Cst Fx 52W vs 53W 2" xfId="5202"/>
    <cellStyle name="_Extra media plan 050329_DM 05 budgetplanning TV 050429_EX Master Flowchart June 15a_Wrigley - 06 simple chart Sep 14_Category Template AC'11 @Cst Fx 52W vs 53W_P&amp;L KFE" xfId="5203"/>
    <cellStyle name="_Extra media plan 050329_DM 05 budgetplanning TV 050429_EX Master Flowchart June 15a_Wrigley - 06 simple chart Sep 14_Category Template AC'11 @Cst Fx 52W vs 53W_Sheet3" xfId="5204"/>
    <cellStyle name="_Extra media plan 050329_DM 05 budgetplanning TV 050429_EX Master Flowchart June 15a_Wrigley - 06 simple chart Sep 14_P&amp;L KFE" xfId="5205"/>
    <cellStyle name="_Extra media plan 050329_DM 05 budgetplanning TV 050429_EX Master Flowchart June 15a_Wrigley - 06 simple chart Sep 14_Sheet3" xfId="5206"/>
    <cellStyle name="_Extra media plan 050329_DM 05 budgetplanning TV 050429_JF Masterflow June 15a" xfId="5207"/>
    <cellStyle name="_Extra media plan 050329_DM 05 budgetplanning TV 050429_JF Masterflow June 15a 2" xfId="5208"/>
    <cellStyle name="_Extra media plan 050329_DM 05 budgetplanning TV 050429_JF Masterflow June 15a_Book5" xfId="5209"/>
    <cellStyle name="_Extra media plan 050329_DM 05 budgetplanning TV 050429_JF Masterflow June 15a_Book5 2" xfId="5210"/>
    <cellStyle name="_Extra media plan 050329_DM 05 budgetplanning TV 050429_JF Masterflow June 15a_Book5_Category Template AC'11 @Cst Fx 52W vs 53W" xfId="5211"/>
    <cellStyle name="_Extra media plan 050329_DM 05 budgetplanning TV 050429_JF Masterflow June 15a_Book5_Category Template AC'11 @Cst Fx 52W vs 53W 2" xfId="5212"/>
    <cellStyle name="_Extra media plan 050329_DM 05 budgetplanning TV 050429_JF Masterflow June 15a_Book5_Category Template AC'11 @Cst Fx 52W vs 53W_P&amp;L KFE" xfId="5213"/>
    <cellStyle name="_Extra media plan 050329_DM 05 budgetplanning TV 050429_JF Masterflow June 15a_Book5_Category Template AC'11 @Cst Fx 52W vs 53W_Sheet3" xfId="5214"/>
    <cellStyle name="_Extra media plan 050329_DM 05 budgetplanning TV 050429_JF Masterflow June 15a_Book5_P&amp;L KFE" xfId="5215"/>
    <cellStyle name="_Extra media plan 050329_DM 05 budgetplanning TV 050429_JF Masterflow June 15a_Book5_Sheet3" xfId="5216"/>
    <cellStyle name="_Extra media plan 050329_DM 05 budgetplanning TV 050429_JF Masterflow June 15a_Category Template AC'11 @Cst Fx 52W vs 53W" xfId="5217"/>
    <cellStyle name="_Extra media plan 050329_DM 05 budgetplanning TV 050429_JF Masterflow June 15a_Category Template AC'11 @Cst Fx 52W vs 53W 2" xfId="5218"/>
    <cellStyle name="_Extra media plan 050329_DM 05 budgetplanning TV 050429_JF Masterflow June 15a_Category Template AC'11 @Cst Fx 52W vs 53W_P&amp;L KFE" xfId="5219"/>
    <cellStyle name="_Extra media plan 050329_DM 05 budgetplanning TV 050429_JF Masterflow June 15a_Category Template AC'11 @Cst Fx 52W vs 53W_Sheet3" xfId="5220"/>
    <cellStyle name="_Extra media plan 050329_DM 05 budgetplanning TV 050429_JF Masterflow June 15a_P&amp;L KFE" xfId="5221"/>
    <cellStyle name="_Extra media plan 050329_DM 05 budgetplanning TV 050429_JF Masterflow June 15a_Sheet3" xfId="5222"/>
    <cellStyle name="_Extra media plan 050329_DM 05 budgetplanning TV 050429_JF Masterflow June 15a_Wrigley - 05 budget&amp;calendar LE 050728 (25I)" xfId="5223"/>
    <cellStyle name="_Extra media plan 050329_DM 05 budgetplanning TV 050429_JF Masterflow June 15a_Wrigley - 05 budget&amp;calendar LE 050728 (25I) 2" xfId="5224"/>
    <cellStyle name="_Extra media plan 050329_DM 05 budgetplanning TV 050429_JF Masterflow June 15a_Wrigley - 05 budget&amp;calendar LE 050728 (25I)_Category Template AC'11 @Cst Fx 52W vs 53W" xfId="5225"/>
    <cellStyle name="_Extra media plan 050329_DM 05 budgetplanning TV 050429_JF Masterflow June 15a_Wrigley - 05 budget&amp;calendar LE 050728 (25I)_Category Template AC'11 @Cst Fx 52W vs 53W 2" xfId="5226"/>
    <cellStyle name="_Extra media plan 050329_DM 05 budgetplanning TV 050429_JF Masterflow June 15a_Wrigley - 05 budget&amp;calendar LE 050728 (25I)_Category Template AC'11 @Cst Fx 52W vs 53W_P&amp;L KFE" xfId="5227"/>
    <cellStyle name="_Extra media plan 050329_DM 05 budgetplanning TV 050429_JF Masterflow June 15a_Wrigley - 05 budget&amp;calendar LE 050728 (25I)_Category Template AC'11 @Cst Fx 52W vs 53W_Sheet3" xfId="5228"/>
    <cellStyle name="_Extra media plan 050329_DM 05 budgetplanning TV 050429_JF Masterflow June 15a_Wrigley - 05 budget&amp;calendar LE 050728 (25I)_P&amp;L KFE" xfId="5229"/>
    <cellStyle name="_Extra media plan 050329_DM 05 budgetplanning TV 050429_JF Masterflow June 15a_Wrigley - 05 budget&amp;calendar LE 050728 (25I)_Sheet3" xfId="5230"/>
    <cellStyle name="_Extra media plan 050329_DM 05 budgetplanning TV 050429_JF Masterflow June 15a_Wrigley - 05 budget&amp;calendar LE 050728 (25I)_Wrigley - 06 simple chart Sep 14" xfId="5231"/>
    <cellStyle name="_Extra media plan 050329_DM 05 budgetplanning TV 050429_JF Masterflow June 15a_Wrigley - 05 budget&amp;calendar LE 050728 (25I)_Wrigley - 06 simple chart Sep 14 2" xfId="5232"/>
    <cellStyle name="_Extra media plan 050329_DM 05 budgetplanning TV 050429_JF Masterflow June 15a_Wrigley - 05 budget&amp;calendar LE 050728 (25I)_Wrigley - 06 simple chart Sep 14_Category Template AC'11 @Cst Fx 52W vs 53W" xfId="5233"/>
    <cellStyle name="_Extra media plan 050329_DM 05 budgetplanning TV 050429_JF Masterflow June 15a_Wrigley - 05 budget&amp;calendar LE 050728 (25I)_Wrigley - 06 simple chart Sep 14_Category Template AC'11 @Cst Fx 52W vs 53W 2" xfId="5234"/>
    <cellStyle name="_Extra media plan 050329_DM 05 budgetplanning TV 050429_JF Masterflow June 15a_Wrigley - 05 budget&amp;calendar LE 050728 (25I)_Wrigley - 06 simple chart Sep 14_Category Template AC'11 @Cst Fx 52W vs 53W_P&amp;L KFE" xfId="5235"/>
    <cellStyle name="_Extra media plan 050329_DM 05 budgetplanning TV 050429_JF Masterflow June 15a_Wrigley - 05 budget&amp;calendar LE 050728 (25I)_Wrigley - 06 simple chart Sep 14_Category Template AC'11 @Cst Fx 52W vs 53W_Sheet3" xfId="5236"/>
    <cellStyle name="_Extra media plan 050329_DM 05 budgetplanning TV 050429_JF Masterflow June 15a_Wrigley - 05 budget&amp;calendar LE 050728 (25I)_Wrigley - 06 simple chart Sep 14_P&amp;L KFE" xfId="5237"/>
    <cellStyle name="_Extra media plan 050329_DM 05 budgetplanning TV 050429_JF Masterflow June 15a_Wrigley - 05 budget&amp;calendar LE 050728 (25I)_Wrigley - 06 simple chart Sep 14_Sheet3" xfId="5238"/>
    <cellStyle name="_Extra media plan 050329_DM 05 budgetplanning TV 050429_JF Masterflow June 15a_Wrigley - 05 budget&amp;calendar LE 050824 (25F)" xfId="5239"/>
    <cellStyle name="_Extra media plan 050329_DM 05 budgetplanning TV 050429_JF Masterflow June 15a_Wrigley - 05 budget&amp;calendar LE 050824 (25F) 2" xfId="5240"/>
    <cellStyle name="_Extra media plan 050329_DM 05 budgetplanning TV 050429_JF Masterflow June 15a_Wrigley - 05 budget&amp;calendar LE 050824 (25F)_Category Template AC'11 @Cst Fx 52W vs 53W" xfId="5241"/>
    <cellStyle name="_Extra media plan 050329_DM 05 budgetplanning TV 050429_JF Masterflow June 15a_Wrigley - 05 budget&amp;calendar LE 050824 (25F)_Category Template AC'11 @Cst Fx 52W vs 53W 2" xfId="5242"/>
    <cellStyle name="_Extra media plan 050329_DM 05 budgetplanning TV 050429_JF Masterflow June 15a_Wrigley - 05 budget&amp;calendar LE 050824 (25F)_Category Template AC'11 @Cst Fx 52W vs 53W_P&amp;L KFE" xfId="5243"/>
    <cellStyle name="_Extra media plan 050329_DM 05 budgetplanning TV 050429_JF Masterflow June 15a_Wrigley - 05 budget&amp;calendar LE 050824 (25F)_Category Template AC'11 @Cst Fx 52W vs 53W_Sheet3" xfId="5244"/>
    <cellStyle name="_Extra media plan 050329_DM 05 budgetplanning TV 050429_JF Masterflow June 15a_Wrigley - 05 budget&amp;calendar LE 050824 (25F)_P&amp;L KFE" xfId="5245"/>
    <cellStyle name="_Extra media plan 050329_DM 05 budgetplanning TV 050429_JF Masterflow June 15a_Wrigley - 05 budget&amp;calendar LE 050824 (25F)_Sheet3" xfId="5246"/>
    <cellStyle name="_Extra media plan 050329_DM 05 budgetplanning TV 050429_JF Masterflow June 15a_Wrigley - 05 budget&amp;calendar LE 050824 (25F)_Wrigley - 06 simple chart Sep 14" xfId="5247"/>
    <cellStyle name="_Extra media plan 050329_DM 05 budgetplanning TV 050429_JF Masterflow June 15a_Wrigley - 05 budget&amp;calendar LE 050824 (25F)_Wrigley - 06 simple chart Sep 14 2" xfId="5248"/>
    <cellStyle name="_Extra media plan 050329_DM 05 budgetplanning TV 050429_JF Masterflow June 15a_Wrigley - 05 budget&amp;calendar LE 050824 (25F)_Wrigley - 06 simple chart Sep 14_Category Template AC'11 @Cst Fx 52W vs 53W" xfId="5249"/>
    <cellStyle name="_Extra media plan 050329_DM 05 budgetplanning TV 050429_JF Masterflow June 15a_Wrigley - 05 budget&amp;calendar LE 050824 (25F)_Wrigley - 06 simple chart Sep 14_Category Template AC'11 @Cst Fx 52W vs 53W 2" xfId="5250"/>
    <cellStyle name="_Extra media plan 050329_DM 05 budgetplanning TV 050429_JF Masterflow June 15a_Wrigley - 05 budget&amp;calendar LE 050824 (25F)_Wrigley - 06 simple chart Sep 14_Category Template AC'11 @Cst Fx 52W vs 53W_P&amp;L KFE" xfId="5251"/>
    <cellStyle name="_Extra media plan 050329_DM 05 budgetplanning TV 050429_JF Masterflow June 15a_Wrigley - 05 budget&amp;calendar LE 050824 (25F)_Wrigley - 06 simple chart Sep 14_Category Template AC'11 @Cst Fx 52W vs 53W_Sheet3" xfId="5252"/>
    <cellStyle name="_Extra media plan 050329_DM 05 budgetplanning TV 050429_JF Masterflow June 15a_Wrigley - 05 budget&amp;calendar LE 050824 (25F)_Wrigley - 06 simple chart Sep 14_P&amp;L KFE" xfId="5253"/>
    <cellStyle name="_Extra media plan 050329_DM 05 budgetplanning TV 050429_JF Masterflow June 15a_Wrigley - 05 budget&amp;calendar LE 050824 (25F)_Wrigley - 06 simple chart Sep 14_Sheet3" xfId="5254"/>
    <cellStyle name="_Extra media plan 050329_DM 05 budgetplanning TV 050429_JF Masterflow June 15a_Wrigley - 05 budget&amp;calendar LE 050824 (25I)" xfId="5255"/>
    <cellStyle name="_Extra media plan 050329_DM 05 budgetplanning TV 050429_JF Masterflow June 15a_Wrigley - 05 budget&amp;calendar LE 050824 (25I) 2" xfId="5256"/>
    <cellStyle name="_Extra media plan 050329_DM 05 budgetplanning TV 050429_JF Masterflow June 15a_Wrigley - 05 budget&amp;calendar LE 050824 (25I)_Category Template AC'11 @Cst Fx 52W vs 53W" xfId="5257"/>
    <cellStyle name="_Extra media plan 050329_DM 05 budgetplanning TV 050429_JF Masterflow June 15a_Wrigley - 05 budget&amp;calendar LE 050824 (25I)_Category Template AC'11 @Cst Fx 52W vs 53W 2" xfId="5258"/>
    <cellStyle name="_Extra media plan 050329_DM 05 budgetplanning TV 050429_JF Masterflow June 15a_Wrigley - 05 budget&amp;calendar LE 050824 (25I)_Category Template AC'11 @Cst Fx 52W vs 53W_P&amp;L KFE" xfId="5259"/>
    <cellStyle name="_Extra media plan 050329_DM 05 budgetplanning TV 050429_JF Masterflow June 15a_Wrigley - 05 budget&amp;calendar LE 050824 (25I)_Category Template AC'11 @Cst Fx 52W vs 53W_Sheet3" xfId="5260"/>
    <cellStyle name="_Extra media plan 050329_DM 05 budgetplanning TV 050429_JF Masterflow June 15a_Wrigley - 05 budget&amp;calendar LE 050824 (25I)_P&amp;L KFE" xfId="5261"/>
    <cellStyle name="_Extra media plan 050329_DM 05 budgetplanning TV 050429_JF Masterflow June 15a_Wrigley - 05 budget&amp;calendar LE 050824 (25I)_Sheet3" xfId="5262"/>
    <cellStyle name="_Extra media plan 050329_DM 05 budgetplanning TV 050429_JF Masterflow June 15a_Wrigley - 05 budget&amp;calendar LE 050824 (25I)_Wrigley - 06 simple chart Sep 14" xfId="5263"/>
    <cellStyle name="_Extra media plan 050329_DM 05 budgetplanning TV 050429_JF Masterflow June 15a_Wrigley - 05 budget&amp;calendar LE 050824 (25I)_Wrigley - 06 simple chart Sep 14 2" xfId="5264"/>
    <cellStyle name="_Extra media plan 050329_DM 05 budgetplanning TV 050429_JF Masterflow June 15a_Wrigley - 05 budget&amp;calendar LE 050824 (25I)_Wrigley - 06 simple chart Sep 14_Category Template AC'11 @Cst Fx 52W vs 53W" xfId="5265"/>
    <cellStyle name="_Extra media plan 050329_DM 05 budgetplanning TV 050429_JF Masterflow June 15a_Wrigley - 05 budget&amp;calendar LE 050824 (25I)_Wrigley - 06 simple chart Sep 14_Category Template AC'11 @Cst Fx 52W vs 53W 2" xfId="5266"/>
    <cellStyle name="_Extra media plan 050329_DM 05 budgetplanning TV 050429_JF Masterflow June 15a_Wrigley - 05 budget&amp;calendar LE 050824 (25I)_Wrigley - 06 simple chart Sep 14_Category Template AC'11 @Cst Fx 52W vs 53W_P&amp;L KFE" xfId="5267"/>
    <cellStyle name="_Extra media plan 050329_DM 05 budgetplanning TV 050429_JF Masterflow June 15a_Wrigley - 05 budget&amp;calendar LE 050824 (25I)_Wrigley - 06 simple chart Sep 14_Category Template AC'11 @Cst Fx 52W vs 53W_Sheet3" xfId="5268"/>
    <cellStyle name="_Extra media plan 050329_DM 05 budgetplanning TV 050429_JF Masterflow June 15a_Wrigley - 05 budget&amp;calendar LE 050824 (25I)_Wrigley - 06 simple chart Sep 14_P&amp;L KFE" xfId="5269"/>
    <cellStyle name="_Extra media plan 050329_DM 05 budgetplanning TV 050429_JF Masterflow June 15a_Wrigley - 05 budget&amp;calendar LE 050824 (25I)_Wrigley - 06 simple chart Sep 14_Sheet3" xfId="5270"/>
    <cellStyle name="_Extra media plan 050329_DM 05 budgetplanning TV 050429_JF Masterflow June 15a_Wrigley - 06 simple chart Sep 14" xfId="5271"/>
    <cellStyle name="_Extra media plan 050329_DM 05 budgetplanning TV 050429_JF Masterflow June 15a_Wrigley - 06 simple chart Sep 14 2" xfId="5272"/>
    <cellStyle name="_Extra media plan 050329_DM 05 budgetplanning TV 050429_JF Masterflow June 15a_Wrigley - 06 simple chart Sep 14_Category Template AC'11 @Cst Fx 52W vs 53W" xfId="5273"/>
    <cellStyle name="_Extra media plan 050329_DM 05 budgetplanning TV 050429_JF Masterflow June 15a_Wrigley - 06 simple chart Sep 14_Category Template AC'11 @Cst Fx 52W vs 53W 2" xfId="5274"/>
    <cellStyle name="_Extra media plan 050329_DM 05 budgetplanning TV 050429_JF Masterflow June 15a_Wrigley - 06 simple chart Sep 14_Category Template AC'11 @Cst Fx 52W vs 53W_P&amp;L KFE" xfId="5275"/>
    <cellStyle name="_Extra media plan 050329_DM 05 budgetplanning TV 050429_JF Masterflow June 15a_Wrigley - 06 simple chart Sep 14_Category Template AC'11 @Cst Fx 52W vs 53W_Sheet3" xfId="5276"/>
    <cellStyle name="_Extra media plan 050329_DM 05 budgetplanning TV 050429_JF Masterflow June 15a_Wrigley - 06 simple chart Sep 14_P&amp;L KFE" xfId="5277"/>
    <cellStyle name="_Extra media plan 050329_DM 05 budgetplanning TV 050429_JF Masterflow June 15a_Wrigley - 06 simple chart Sep 14_Sheet3" xfId="5278"/>
    <cellStyle name="_Extra media plan 050329_DM 05 budgetplanning TV 050429_P&amp;L KFE" xfId="5279"/>
    <cellStyle name="_Extra media plan 050329_DM 05 budgetplanning TV 050429_PP Masterflow June 15a" xfId="5280"/>
    <cellStyle name="_Extra media plan 050329_DM 05 budgetplanning TV 050429_PP Masterflow June 15a 2" xfId="5281"/>
    <cellStyle name="_Extra media plan 050329_DM 05 budgetplanning TV 050429_PP Masterflow June 15a_Book5" xfId="5282"/>
    <cellStyle name="_Extra media plan 050329_DM 05 budgetplanning TV 050429_PP Masterflow June 15a_Book5 2" xfId="5283"/>
    <cellStyle name="_Extra media plan 050329_DM 05 budgetplanning TV 050429_PP Masterflow June 15a_Book5_Category Template AC'11 @Cst Fx 52W vs 53W" xfId="5284"/>
    <cellStyle name="_Extra media plan 050329_DM 05 budgetplanning TV 050429_PP Masterflow June 15a_Book5_Category Template AC'11 @Cst Fx 52W vs 53W 2" xfId="5285"/>
    <cellStyle name="_Extra media plan 050329_DM 05 budgetplanning TV 050429_PP Masterflow June 15a_Book5_Category Template AC'11 @Cst Fx 52W vs 53W_P&amp;L KFE" xfId="5286"/>
    <cellStyle name="_Extra media plan 050329_DM 05 budgetplanning TV 050429_PP Masterflow June 15a_Book5_Category Template AC'11 @Cst Fx 52W vs 53W_Sheet3" xfId="5287"/>
    <cellStyle name="_Extra media plan 050329_DM 05 budgetplanning TV 050429_PP Masterflow June 15a_Book5_P&amp;L KFE" xfId="5288"/>
    <cellStyle name="_Extra media plan 050329_DM 05 budgetplanning TV 050429_PP Masterflow June 15a_Book5_Sheet3" xfId="5289"/>
    <cellStyle name="_Extra media plan 050329_DM 05 budgetplanning TV 050429_PP Masterflow June 15a_Category Template AC'11 @Cst Fx 52W vs 53W" xfId="5290"/>
    <cellStyle name="_Extra media plan 050329_DM 05 budgetplanning TV 050429_PP Masterflow June 15a_Category Template AC'11 @Cst Fx 52W vs 53W 2" xfId="5291"/>
    <cellStyle name="_Extra media plan 050329_DM 05 budgetplanning TV 050429_PP Masterflow June 15a_Category Template AC'11 @Cst Fx 52W vs 53W_P&amp;L KFE" xfId="5292"/>
    <cellStyle name="_Extra media plan 050329_DM 05 budgetplanning TV 050429_PP Masterflow June 15a_Category Template AC'11 @Cst Fx 52W vs 53W_Sheet3" xfId="5293"/>
    <cellStyle name="_Extra media plan 050329_DM 05 budgetplanning TV 050429_PP Masterflow June 15a_P&amp;L KFE" xfId="5294"/>
    <cellStyle name="_Extra media plan 050329_DM 05 budgetplanning TV 050429_PP Masterflow June 15a_Sheet3" xfId="5295"/>
    <cellStyle name="_Extra media plan 050329_DM 05 budgetplanning TV 050429_PP Masterflow June 15a_Wrigley - 05 budget&amp;calendar LE 050728 (25I)" xfId="5296"/>
    <cellStyle name="_Extra media plan 050329_DM 05 budgetplanning TV 050429_PP Masterflow June 15a_Wrigley - 05 budget&amp;calendar LE 050728 (25I) 2" xfId="5297"/>
    <cellStyle name="_Extra media plan 050329_DM 05 budgetplanning TV 050429_PP Masterflow June 15a_Wrigley - 05 budget&amp;calendar LE 050728 (25I)_Category Template AC'11 @Cst Fx 52W vs 53W" xfId="5298"/>
    <cellStyle name="_Extra media plan 050329_DM 05 budgetplanning TV 050429_PP Masterflow June 15a_Wrigley - 05 budget&amp;calendar LE 050728 (25I)_Category Template AC'11 @Cst Fx 52W vs 53W 2" xfId="5299"/>
    <cellStyle name="_Extra media plan 050329_DM 05 budgetplanning TV 050429_PP Masterflow June 15a_Wrigley - 05 budget&amp;calendar LE 050728 (25I)_Category Template AC'11 @Cst Fx 52W vs 53W_P&amp;L KFE" xfId="5300"/>
    <cellStyle name="_Extra media plan 050329_DM 05 budgetplanning TV 050429_PP Masterflow June 15a_Wrigley - 05 budget&amp;calendar LE 050728 (25I)_Category Template AC'11 @Cst Fx 52W vs 53W_Sheet3" xfId="5301"/>
    <cellStyle name="_Extra media plan 050329_DM 05 budgetplanning TV 050429_PP Masterflow June 15a_Wrigley - 05 budget&amp;calendar LE 050728 (25I)_P&amp;L KFE" xfId="5302"/>
    <cellStyle name="_Extra media plan 050329_DM 05 budgetplanning TV 050429_PP Masterflow June 15a_Wrigley - 05 budget&amp;calendar LE 050728 (25I)_Sheet3" xfId="5303"/>
    <cellStyle name="_Extra media plan 050329_DM 05 budgetplanning TV 050429_PP Masterflow June 15a_Wrigley - 05 budget&amp;calendar LE 050728 (25I)_Wrigley - 06 simple chart Sep 14" xfId="5304"/>
    <cellStyle name="_Extra media plan 050329_DM 05 budgetplanning TV 050429_PP Masterflow June 15a_Wrigley - 05 budget&amp;calendar LE 050728 (25I)_Wrigley - 06 simple chart Sep 14 2" xfId="5305"/>
    <cellStyle name="_Extra media plan 050329_DM 05 budgetplanning TV 050429_PP Masterflow June 15a_Wrigley - 05 budget&amp;calendar LE 050728 (25I)_Wrigley - 06 simple chart Sep 14_Category Template AC'11 @Cst Fx 52W vs 53W" xfId="5306"/>
    <cellStyle name="_Extra media plan 050329_DM 05 budgetplanning TV 050429_PP Masterflow June 15a_Wrigley - 05 budget&amp;calendar LE 050728 (25I)_Wrigley - 06 simple chart Sep 14_Category Template AC'11 @Cst Fx 52W vs 53W 2" xfId="5307"/>
    <cellStyle name="_Extra media plan 050329_DM 05 budgetplanning TV 050429_PP Masterflow June 15a_Wrigley - 05 budget&amp;calendar LE 050728 (25I)_Wrigley - 06 simple chart Sep 14_Category Template AC'11 @Cst Fx 52W vs 53W_P&amp;L KFE" xfId="5308"/>
    <cellStyle name="_Extra media plan 050329_DM 05 budgetplanning TV 050429_PP Masterflow June 15a_Wrigley - 05 budget&amp;calendar LE 050728 (25I)_Wrigley - 06 simple chart Sep 14_Category Template AC'11 @Cst Fx 52W vs 53W_Sheet3" xfId="5309"/>
    <cellStyle name="_Extra media plan 050329_DM 05 budgetplanning TV 050429_PP Masterflow June 15a_Wrigley - 05 budget&amp;calendar LE 050728 (25I)_Wrigley - 06 simple chart Sep 14_P&amp;L KFE" xfId="5310"/>
    <cellStyle name="_Extra media plan 050329_DM 05 budgetplanning TV 050429_PP Masterflow June 15a_Wrigley - 05 budget&amp;calendar LE 050728 (25I)_Wrigley - 06 simple chart Sep 14_Sheet3" xfId="5311"/>
    <cellStyle name="_Extra media plan 050329_DM 05 budgetplanning TV 050429_PP Masterflow June 15a_Wrigley - 05 budget&amp;calendar LE 050824 (25F)" xfId="5312"/>
    <cellStyle name="_Extra media plan 050329_DM 05 budgetplanning TV 050429_PP Masterflow June 15a_Wrigley - 05 budget&amp;calendar LE 050824 (25F) 2" xfId="5313"/>
    <cellStyle name="_Extra media plan 050329_DM 05 budgetplanning TV 050429_PP Masterflow June 15a_Wrigley - 05 budget&amp;calendar LE 050824 (25F)_Category Template AC'11 @Cst Fx 52W vs 53W" xfId="5314"/>
    <cellStyle name="_Extra media plan 050329_DM 05 budgetplanning TV 050429_PP Masterflow June 15a_Wrigley - 05 budget&amp;calendar LE 050824 (25F)_Category Template AC'11 @Cst Fx 52W vs 53W 2" xfId="5315"/>
    <cellStyle name="_Extra media plan 050329_DM 05 budgetplanning TV 050429_PP Masterflow June 15a_Wrigley - 05 budget&amp;calendar LE 050824 (25F)_Category Template AC'11 @Cst Fx 52W vs 53W_P&amp;L KFE" xfId="5316"/>
    <cellStyle name="_Extra media plan 050329_DM 05 budgetplanning TV 050429_PP Masterflow June 15a_Wrigley - 05 budget&amp;calendar LE 050824 (25F)_Category Template AC'11 @Cst Fx 52W vs 53W_Sheet3" xfId="5317"/>
    <cellStyle name="_Extra media plan 050329_DM 05 budgetplanning TV 050429_PP Masterflow June 15a_Wrigley - 05 budget&amp;calendar LE 050824 (25F)_P&amp;L KFE" xfId="5318"/>
    <cellStyle name="_Extra media plan 050329_DM 05 budgetplanning TV 050429_PP Masterflow June 15a_Wrigley - 05 budget&amp;calendar LE 050824 (25F)_Sheet3" xfId="5319"/>
    <cellStyle name="_Extra media plan 050329_DM 05 budgetplanning TV 050429_PP Masterflow June 15a_Wrigley - 05 budget&amp;calendar LE 050824 (25F)_Wrigley - 06 simple chart Sep 14" xfId="5320"/>
    <cellStyle name="_Extra media plan 050329_DM 05 budgetplanning TV 050429_PP Masterflow June 15a_Wrigley - 05 budget&amp;calendar LE 050824 (25F)_Wrigley - 06 simple chart Sep 14 2" xfId="5321"/>
    <cellStyle name="_Extra media plan 050329_DM 05 budgetplanning TV 050429_PP Masterflow June 15a_Wrigley - 05 budget&amp;calendar LE 050824 (25F)_Wrigley - 06 simple chart Sep 14_Category Template AC'11 @Cst Fx 52W vs 53W" xfId="5322"/>
    <cellStyle name="_Extra media plan 050329_DM 05 budgetplanning TV 050429_PP Masterflow June 15a_Wrigley - 05 budget&amp;calendar LE 050824 (25F)_Wrigley - 06 simple chart Sep 14_Category Template AC'11 @Cst Fx 52W vs 53W 2" xfId="5323"/>
    <cellStyle name="_Extra media plan 050329_DM 05 budgetplanning TV 050429_PP Masterflow June 15a_Wrigley - 05 budget&amp;calendar LE 050824 (25F)_Wrigley - 06 simple chart Sep 14_Category Template AC'11 @Cst Fx 52W vs 53W_P&amp;L KFE" xfId="5324"/>
    <cellStyle name="_Extra media plan 050329_DM 05 budgetplanning TV 050429_PP Masterflow June 15a_Wrigley - 05 budget&amp;calendar LE 050824 (25F)_Wrigley - 06 simple chart Sep 14_Category Template AC'11 @Cst Fx 52W vs 53W_Sheet3" xfId="5325"/>
    <cellStyle name="_Extra media plan 050329_DM 05 budgetplanning TV 050429_PP Masterflow June 15a_Wrigley - 05 budget&amp;calendar LE 050824 (25F)_Wrigley - 06 simple chart Sep 14_P&amp;L KFE" xfId="5326"/>
    <cellStyle name="_Extra media plan 050329_DM 05 budgetplanning TV 050429_PP Masterflow June 15a_Wrigley - 05 budget&amp;calendar LE 050824 (25F)_Wrigley - 06 simple chart Sep 14_Sheet3" xfId="5327"/>
    <cellStyle name="_Extra media plan 050329_DM 05 budgetplanning TV 050429_PP Masterflow June 15a_Wrigley - 05 budget&amp;calendar LE 050824 (25I)" xfId="5328"/>
    <cellStyle name="_Extra media plan 050329_DM 05 budgetplanning TV 050429_PP Masterflow June 15a_Wrigley - 05 budget&amp;calendar LE 050824 (25I) 2" xfId="5329"/>
    <cellStyle name="_Extra media plan 050329_DM 05 budgetplanning TV 050429_PP Masterflow June 15a_Wrigley - 05 budget&amp;calendar LE 050824 (25I)_Category Template AC'11 @Cst Fx 52W vs 53W" xfId="5330"/>
    <cellStyle name="_Extra media plan 050329_DM 05 budgetplanning TV 050429_PP Masterflow June 15a_Wrigley - 05 budget&amp;calendar LE 050824 (25I)_Category Template AC'11 @Cst Fx 52W vs 53W 2" xfId="5331"/>
    <cellStyle name="_Extra media plan 050329_DM 05 budgetplanning TV 050429_PP Masterflow June 15a_Wrigley - 05 budget&amp;calendar LE 050824 (25I)_Category Template AC'11 @Cst Fx 52W vs 53W_P&amp;L KFE" xfId="5332"/>
    <cellStyle name="_Extra media plan 050329_DM 05 budgetplanning TV 050429_PP Masterflow June 15a_Wrigley - 05 budget&amp;calendar LE 050824 (25I)_Category Template AC'11 @Cst Fx 52W vs 53W_Sheet3" xfId="5333"/>
    <cellStyle name="_Extra media plan 050329_DM 05 budgetplanning TV 050429_PP Masterflow June 15a_Wrigley - 05 budget&amp;calendar LE 050824 (25I)_P&amp;L KFE" xfId="5334"/>
    <cellStyle name="_Extra media plan 050329_DM 05 budgetplanning TV 050429_PP Masterflow June 15a_Wrigley - 05 budget&amp;calendar LE 050824 (25I)_Sheet3" xfId="5335"/>
    <cellStyle name="_Extra media plan 050329_DM 05 budgetplanning TV 050429_PP Masterflow June 15a_Wrigley - 05 budget&amp;calendar LE 050824 (25I)_Wrigley - 06 simple chart Sep 14" xfId="5336"/>
    <cellStyle name="_Extra media plan 050329_DM 05 budgetplanning TV 050429_PP Masterflow June 15a_Wrigley - 05 budget&amp;calendar LE 050824 (25I)_Wrigley - 06 simple chart Sep 14 2" xfId="5337"/>
    <cellStyle name="_Extra media plan 050329_DM 05 budgetplanning TV 050429_PP Masterflow June 15a_Wrigley - 05 budget&amp;calendar LE 050824 (25I)_Wrigley - 06 simple chart Sep 14_Category Template AC'11 @Cst Fx 52W vs 53W" xfId="5338"/>
    <cellStyle name="_Extra media plan 050329_DM 05 budgetplanning TV 050429_PP Masterflow June 15a_Wrigley - 05 budget&amp;calendar LE 050824 (25I)_Wrigley - 06 simple chart Sep 14_Category Template AC'11 @Cst Fx 52W vs 53W 2" xfId="5339"/>
    <cellStyle name="_Extra media plan 050329_DM 05 budgetplanning TV 050429_PP Masterflow June 15a_Wrigley - 05 budget&amp;calendar LE 050824 (25I)_Wrigley - 06 simple chart Sep 14_Category Template AC'11 @Cst Fx 52W vs 53W_P&amp;L KFE" xfId="5340"/>
    <cellStyle name="_Extra media plan 050329_DM 05 budgetplanning TV 050429_PP Masterflow June 15a_Wrigley - 05 budget&amp;calendar LE 050824 (25I)_Wrigley - 06 simple chart Sep 14_Category Template AC'11 @Cst Fx 52W vs 53W_Sheet3" xfId="5341"/>
    <cellStyle name="_Extra media plan 050329_DM 05 budgetplanning TV 050429_PP Masterflow June 15a_Wrigley - 05 budget&amp;calendar LE 050824 (25I)_Wrigley - 06 simple chart Sep 14_P&amp;L KFE" xfId="5342"/>
    <cellStyle name="_Extra media plan 050329_DM 05 budgetplanning TV 050429_PP Masterflow June 15a_Wrigley - 05 budget&amp;calendar LE 050824 (25I)_Wrigley - 06 simple chart Sep 14_Sheet3" xfId="5343"/>
    <cellStyle name="_Extra media plan 050329_DM 05 budgetplanning TV 050429_PP Masterflow June 15a_Wrigley - 06 simple chart Sep 14" xfId="5344"/>
    <cellStyle name="_Extra media plan 050329_DM 05 budgetplanning TV 050429_PP Masterflow June 15a_Wrigley - 06 simple chart Sep 14 2" xfId="5345"/>
    <cellStyle name="_Extra media plan 050329_DM 05 budgetplanning TV 050429_PP Masterflow June 15a_Wrigley - 06 simple chart Sep 14_Category Template AC'11 @Cst Fx 52W vs 53W" xfId="5346"/>
    <cellStyle name="_Extra media plan 050329_DM 05 budgetplanning TV 050429_PP Masterflow June 15a_Wrigley - 06 simple chart Sep 14_Category Template AC'11 @Cst Fx 52W vs 53W 2" xfId="5347"/>
    <cellStyle name="_Extra media plan 050329_DM 05 budgetplanning TV 050429_PP Masterflow June 15a_Wrigley - 06 simple chart Sep 14_Category Template AC'11 @Cst Fx 52W vs 53W_P&amp;L KFE" xfId="5348"/>
    <cellStyle name="_Extra media plan 050329_DM 05 budgetplanning TV 050429_PP Masterflow June 15a_Wrigley - 06 simple chart Sep 14_Category Template AC'11 @Cst Fx 52W vs 53W_Sheet3" xfId="5349"/>
    <cellStyle name="_Extra media plan 050329_DM 05 budgetplanning TV 050429_PP Masterflow June 15a_Wrigley - 06 simple chart Sep 14_P&amp;L KFE" xfId="5350"/>
    <cellStyle name="_Extra media plan 050329_DM 05 budgetplanning TV 050429_PP Masterflow June 15a_Wrigley - 06 simple chart Sep 14_Sheet3" xfId="5351"/>
    <cellStyle name="_Extra media plan 050329_DM 05 budgetplanning TV 050429_Sheet3" xfId="5352"/>
    <cellStyle name="_Extra media plan 050329_DM 05 budgetplanning TV 050429_TJ Masterflow June 15" xfId="5353"/>
    <cellStyle name="_Extra media plan 050329_DM 05 budgetplanning TV 050429_TJ Masterflow June 15 2" xfId="5354"/>
    <cellStyle name="_Extra media plan 050329_DM 05 budgetplanning TV 050429_TJ Masterflow June 15_Book5" xfId="5355"/>
    <cellStyle name="_Extra media plan 050329_DM 05 budgetplanning TV 050429_TJ Masterflow June 15_Book5 2" xfId="5356"/>
    <cellStyle name="_Extra media plan 050329_DM 05 budgetplanning TV 050429_TJ Masterflow June 15_Book5_Category Template AC'11 @Cst Fx 52W vs 53W" xfId="5357"/>
    <cellStyle name="_Extra media plan 050329_DM 05 budgetplanning TV 050429_TJ Masterflow June 15_Book5_Category Template AC'11 @Cst Fx 52W vs 53W 2" xfId="5358"/>
    <cellStyle name="_Extra media plan 050329_DM 05 budgetplanning TV 050429_TJ Masterflow June 15_Book5_Category Template AC'11 @Cst Fx 52W vs 53W_P&amp;L KFE" xfId="5359"/>
    <cellStyle name="_Extra media plan 050329_DM 05 budgetplanning TV 050429_TJ Masterflow June 15_Book5_Category Template AC'11 @Cst Fx 52W vs 53W_Sheet3" xfId="5360"/>
    <cellStyle name="_Extra media plan 050329_DM 05 budgetplanning TV 050429_TJ Masterflow June 15_Book5_P&amp;L KFE" xfId="5361"/>
    <cellStyle name="_Extra media plan 050329_DM 05 budgetplanning TV 050429_TJ Masterflow June 15_Book5_Sheet3" xfId="5362"/>
    <cellStyle name="_Extra media plan 050329_DM 05 budgetplanning TV 050429_TJ Masterflow June 15_Category Template AC'11 @Cst Fx 52W vs 53W" xfId="5363"/>
    <cellStyle name="_Extra media plan 050329_DM 05 budgetplanning TV 050429_TJ Masterflow June 15_Category Template AC'11 @Cst Fx 52W vs 53W 2" xfId="5364"/>
    <cellStyle name="_Extra media plan 050329_DM 05 budgetplanning TV 050429_TJ Masterflow June 15_Category Template AC'11 @Cst Fx 52W vs 53W_P&amp;L KFE" xfId="5365"/>
    <cellStyle name="_Extra media plan 050329_DM 05 budgetplanning TV 050429_TJ Masterflow June 15_Category Template AC'11 @Cst Fx 52W vs 53W_Sheet3" xfId="5366"/>
    <cellStyle name="_Extra media plan 050329_DM 05 budgetplanning TV 050429_TJ Masterflow June 15_P&amp;L KFE" xfId="5367"/>
    <cellStyle name="_Extra media plan 050329_DM 05 budgetplanning TV 050429_TJ Masterflow June 15_Sheet3" xfId="5368"/>
    <cellStyle name="_Extra media plan 050329_DM 05 budgetplanning TV 050429_TJ Masterflow June 15_Wrigley - 05 budget&amp;calendar LE 050728 (25I)" xfId="5369"/>
    <cellStyle name="_Extra media plan 050329_DM 05 budgetplanning TV 050429_TJ Masterflow June 15_Wrigley - 05 budget&amp;calendar LE 050728 (25I) 2" xfId="5370"/>
    <cellStyle name="_Extra media plan 050329_DM 05 budgetplanning TV 050429_TJ Masterflow June 15_Wrigley - 05 budget&amp;calendar LE 050728 (25I)_Category Template AC'11 @Cst Fx 52W vs 53W" xfId="5371"/>
    <cellStyle name="_Extra media plan 050329_DM 05 budgetplanning TV 050429_TJ Masterflow June 15_Wrigley - 05 budget&amp;calendar LE 050728 (25I)_Category Template AC'11 @Cst Fx 52W vs 53W 2" xfId="5372"/>
    <cellStyle name="_Extra media plan 050329_DM 05 budgetplanning TV 050429_TJ Masterflow June 15_Wrigley - 05 budget&amp;calendar LE 050728 (25I)_Category Template AC'11 @Cst Fx 52W vs 53W_P&amp;L KFE" xfId="5373"/>
    <cellStyle name="_Extra media plan 050329_DM 05 budgetplanning TV 050429_TJ Masterflow June 15_Wrigley - 05 budget&amp;calendar LE 050728 (25I)_Category Template AC'11 @Cst Fx 52W vs 53W_Sheet3" xfId="5374"/>
    <cellStyle name="_Extra media plan 050329_DM 05 budgetplanning TV 050429_TJ Masterflow June 15_Wrigley - 05 budget&amp;calendar LE 050728 (25I)_P&amp;L KFE" xfId="5375"/>
    <cellStyle name="_Extra media plan 050329_DM 05 budgetplanning TV 050429_TJ Masterflow June 15_Wrigley - 05 budget&amp;calendar LE 050728 (25I)_Sheet3" xfId="5376"/>
    <cellStyle name="_Extra media plan 050329_DM 05 budgetplanning TV 050429_TJ Masterflow June 15_Wrigley - 05 budget&amp;calendar LE 050728 (25I)_Wrigley - 06 simple chart Sep 14" xfId="5377"/>
    <cellStyle name="_Extra media plan 050329_DM 05 budgetplanning TV 050429_TJ Masterflow June 15_Wrigley - 05 budget&amp;calendar LE 050728 (25I)_Wrigley - 06 simple chart Sep 14 2" xfId="5378"/>
    <cellStyle name="_Extra media plan 050329_DM 05 budgetplanning TV 050429_TJ Masterflow June 15_Wrigley - 05 budget&amp;calendar LE 050728 (25I)_Wrigley - 06 simple chart Sep 14_Category Template AC'11 @Cst Fx 52W vs 53W" xfId="5379"/>
    <cellStyle name="_Extra media plan 050329_DM 05 budgetplanning TV 050429_TJ Masterflow June 15_Wrigley - 05 budget&amp;calendar LE 050728 (25I)_Wrigley - 06 simple chart Sep 14_Category Template AC'11 @Cst Fx 52W vs 53W 2" xfId="5380"/>
    <cellStyle name="_Extra media plan 050329_DM 05 budgetplanning TV 050429_TJ Masterflow June 15_Wrigley - 05 budget&amp;calendar LE 050728 (25I)_Wrigley - 06 simple chart Sep 14_Category Template AC'11 @Cst Fx 52W vs 53W_P&amp;L KFE" xfId="5381"/>
    <cellStyle name="_Extra media plan 050329_DM 05 budgetplanning TV 050429_TJ Masterflow June 15_Wrigley - 05 budget&amp;calendar LE 050728 (25I)_Wrigley - 06 simple chart Sep 14_Category Template AC'11 @Cst Fx 52W vs 53W_Sheet3" xfId="5382"/>
    <cellStyle name="_Extra media plan 050329_DM 05 budgetplanning TV 050429_TJ Masterflow June 15_Wrigley - 05 budget&amp;calendar LE 050728 (25I)_Wrigley - 06 simple chart Sep 14_P&amp;L KFE" xfId="5383"/>
    <cellStyle name="_Extra media plan 050329_DM 05 budgetplanning TV 050429_TJ Masterflow June 15_Wrigley - 05 budget&amp;calendar LE 050728 (25I)_Wrigley - 06 simple chart Sep 14_Sheet3" xfId="5384"/>
    <cellStyle name="_Extra media plan 050329_DM 05 budgetplanning TV 050429_TJ Masterflow June 15_Wrigley - 05 budget&amp;calendar LE 050824 (25F)" xfId="5385"/>
    <cellStyle name="_Extra media plan 050329_DM 05 budgetplanning TV 050429_TJ Masterflow June 15_Wrigley - 05 budget&amp;calendar LE 050824 (25F) 2" xfId="5386"/>
    <cellStyle name="_Extra media plan 050329_DM 05 budgetplanning TV 050429_TJ Masterflow June 15_Wrigley - 05 budget&amp;calendar LE 050824 (25F)_Category Template AC'11 @Cst Fx 52W vs 53W" xfId="5387"/>
    <cellStyle name="_Extra media plan 050329_DM 05 budgetplanning TV 050429_TJ Masterflow June 15_Wrigley - 05 budget&amp;calendar LE 050824 (25F)_Category Template AC'11 @Cst Fx 52W vs 53W 2" xfId="5388"/>
    <cellStyle name="_Extra media plan 050329_DM 05 budgetplanning TV 050429_TJ Masterflow June 15_Wrigley - 05 budget&amp;calendar LE 050824 (25F)_Category Template AC'11 @Cst Fx 52W vs 53W_P&amp;L KFE" xfId="5389"/>
    <cellStyle name="_Extra media plan 050329_DM 05 budgetplanning TV 050429_TJ Masterflow June 15_Wrigley - 05 budget&amp;calendar LE 050824 (25F)_Category Template AC'11 @Cst Fx 52W vs 53W_Sheet3" xfId="5390"/>
    <cellStyle name="_Extra media plan 050329_DM 05 budgetplanning TV 050429_TJ Masterflow June 15_Wrigley - 05 budget&amp;calendar LE 050824 (25F)_P&amp;L KFE" xfId="5391"/>
    <cellStyle name="_Extra media plan 050329_DM 05 budgetplanning TV 050429_TJ Masterflow June 15_Wrigley - 05 budget&amp;calendar LE 050824 (25F)_Sheet3" xfId="5392"/>
    <cellStyle name="_Extra media plan 050329_DM 05 budgetplanning TV 050429_TJ Masterflow June 15_Wrigley - 05 budget&amp;calendar LE 050824 (25F)_Wrigley - 06 simple chart Sep 14" xfId="5393"/>
    <cellStyle name="_Extra media plan 050329_DM 05 budgetplanning TV 050429_TJ Masterflow June 15_Wrigley - 05 budget&amp;calendar LE 050824 (25F)_Wrigley - 06 simple chart Sep 14 2" xfId="5394"/>
    <cellStyle name="_Extra media plan 050329_DM 05 budgetplanning TV 050429_TJ Masterflow June 15_Wrigley - 05 budget&amp;calendar LE 050824 (25F)_Wrigley - 06 simple chart Sep 14_Category Template AC'11 @Cst Fx 52W vs 53W" xfId="5395"/>
    <cellStyle name="_Extra media plan 050329_DM 05 budgetplanning TV 050429_TJ Masterflow June 15_Wrigley - 05 budget&amp;calendar LE 050824 (25F)_Wrigley - 06 simple chart Sep 14_Category Template AC'11 @Cst Fx 52W vs 53W 2" xfId="5396"/>
    <cellStyle name="_Extra media plan 050329_DM 05 budgetplanning TV 050429_TJ Masterflow June 15_Wrigley - 05 budget&amp;calendar LE 050824 (25F)_Wrigley - 06 simple chart Sep 14_Category Template AC'11 @Cst Fx 52W vs 53W_P&amp;L KFE" xfId="5397"/>
    <cellStyle name="_Extra media plan 050329_DM 05 budgetplanning TV 050429_TJ Masterflow June 15_Wrigley - 05 budget&amp;calendar LE 050824 (25F)_Wrigley - 06 simple chart Sep 14_Category Template AC'11 @Cst Fx 52W vs 53W_Sheet3" xfId="5398"/>
    <cellStyle name="_Extra media plan 050329_DM 05 budgetplanning TV 050429_TJ Masterflow June 15_Wrigley - 05 budget&amp;calendar LE 050824 (25F)_Wrigley - 06 simple chart Sep 14_P&amp;L KFE" xfId="5399"/>
    <cellStyle name="_Extra media plan 050329_DM 05 budgetplanning TV 050429_TJ Masterflow June 15_Wrigley - 05 budget&amp;calendar LE 050824 (25F)_Wrigley - 06 simple chart Sep 14_Sheet3" xfId="5400"/>
    <cellStyle name="_Extra media plan 050329_DM 05 budgetplanning TV 050429_TJ Masterflow June 15_Wrigley - 05 budget&amp;calendar LE 050824 (25I)" xfId="5401"/>
    <cellStyle name="_Extra media plan 050329_DM 05 budgetplanning TV 050429_TJ Masterflow June 15_Wrigley - 05 budget&amp;calendar LE 050824 (25I) 2" xfId="5402"/>
    <cellStyle name="_Extra media plan 050329_DM 05 budgetplanning TV 050429_TJ Masterflow June 15_Wrigley - 05 budget&amp;calendar LE 050824 (25I)_Category Template AC'11 @Cst Fx 52W vs 53W" xfId="5403"/>
    <cellStyle name="_Extra media plan 050329_DM 05 budgetplanning TV 050429_TJ Masterflow June 15_Wrigley - 05 budget&amp;calendar LE 050824 (25I)_Category Template AC'11 @Cst Fx 52W vs 53W 2" xfId="5404"/>
    <cellStyle name="_Extra media plan 050329_DM 05 budgetplanning TV 050429_TJ Masterflow June 15_Wrigley - 05 budget&amp;calendar LE 050824 (25I)_Category Template AC'11 @Cst Fx 52W vs 53W_P&amp;L KFE" xfId="5405"/>
    <cellStyle name="_Extra media plan 050329_DM 05 budgetplanning TV 050429_TJ Masterflow June 15_Wrigley - 05 budget&amp;calendar LE 050824 (25I)_Category Template AC'11 @Cst Fx 52W vs 53W_Sheet3" xfId="5406"/>
    <cellStyle name="_Extra media plan 050329_DM 05 budgetplanning TV 050429_TJ Masterflow June 15_Wrigley - 05 budget&amp;calendar LE 050824 (25I)_P&amp;L KFE" xfId="5407"/>
    <cellStyle name="_Extra media plan 050329_DM 05 budgetplanning TV 050429_TJ Masterflow June 15_Wrigley - 05 budget&amp;calendar LE 050824 (25I)_Sheet3" xfId="5408"/>
    <cellStyle name="_Extra media plan 050329_DM 05 budgetplanning TV 050429_TJ Masterflow June 15_Wrigley - 05 budget&amp;calendar LE 050824 (25I)_Wrigley - 06 simple chart Sep 14" xfId="5409"/>
    <cellStyle name="_Extra media plan 050329_DM 05 budgetplanning TV 050429_TJ Masterflow June 15_Wrigley - 05 budget&amp;calendar LE 050824 (25I)_Wrigley - 06 simple chart Sep 14 2" xfId="5410"/>
    <cellStyle name="_Extra media plan 050329_DM 05 budgetplanning TV 050429_TJ Masterflow June 15_Wrigley - 05 budget&amp;calendar LE 050824 (25I)_Wrigley - 06 simple chart Sep 14_Category Template AC'11 @Cst Fx 52W vs 53W" xfId="5411"/>
    <cellStyle name="_Extra media plan 050329_DM 05 budgetplanning TV 050429_TJ Masterflow June 15_Wrigley - 05 budget&amp;calendar LE 050824 (25I)_Wrigley - 06 simple chart Sep 14_Category Template AC'11 @Cst Fx 52W vs 53W 2" xfId="5412"/>
    <cellStyle name="_Extra media plan 050329_DM 05 budgetplanning TV 050429_TJ Masterflow June 15_Wrigley - 05 budget&amp;calendar LE 050824 (25I)_Wrigley - 06 simple chart Sep 14_Category Template AC'11 @Cst Fx 52W vs 53W_P&amp;L KFE" xfId="5413"/>
    <cellStyle name="_Extra media plan 050329_DM 05 budgetplanning TV 050429_TJ Masterflow June 15_Wrigley - 05 budget&amp;calendar LE 050824 (25I)_Wrigley - 06 simple chart Sep 14_Category Template AC'11 @Cst Fx 52W vs 53W_Sheet3" xfId="5414"/>
    <cellStyle name="_Extra media plan 050329_DM 05 budgetplanning TV 050429_TJ Masterflow June 15_Wrigley - 05 budget&amp;calendar LE 050824 (25I)_Wrigley - 06 simple chart Sep 14_P&amp;L KFE" xfId="5415"/>
    <cellStyle name="_Extra media plan 050329_DM 05 budgetplanning TV 050429_TJ Masterflow June 15_Wrigley - 05 budget&amp;calendar LE 050824 (25I)_Wrigley - 06 simple chart Sep 14_Sheet3" xfId="5416"/>
    <cellStyle name="_Extra media plan 050329_DM 05 budgetplanning TV 050429_TJ Masterflow June 15_Wrigley - 06 simple chart Sep 14" xfId="5417"/>
    <cellStyle name="_Extra media plan 050329_DM 05 budgetplanning TV 050429_TJ Masterflow June 15_Wrigley - 06 simple chart Sep 14 2" xfId="5418"/>
    <cellStyle name="_Extra media plan 050329_DM 05 budgetplanning TV 050429_TJ Masterflow June 15_Wrigley - 06 simple chart Sep 14_Category Template AC'11 @Cst Fx 52W vs 53W" xfId="5419"/>
    <cellStyle name="_Extra media plan 050329_DM 05 budgetplanning TV 050429_TJ Masterflow June 15_Wrigley - 06 simple chart Sep 14_Category Template AC'11 @Cst Fx 52W vs 53W 2" xfId="5420"/>
    <cellStyle name="_Extra media plan 050329_DM 05 budgetplanning TV 050429_TJ Masterflow June 15_Wrigley - 06 simple chart Sep 14_Category Template AC'11 @Cst Fx 52W vs 53W_P&amp;L KFE" xfId="5421"/>
    <cellStyle name="_Extra media plan 050329_DM 05 budgetplanning TV 050429_TJ Masterflow June 15_Wrigley - 06 simple chart Sep 14_Category Template AC'11 @Cst Fx 52W vs 53W_Sheet3" xfId="5422"/>
    <cellStyle name="_Extra media plan 050329_DM 05 budgetplanning TV 050429_TJ Masterflow June 15_Wrigley - 06 simple chart Sep 14_P&amp;L KFE" xfId="5423"/>
    <cellStyle name="_Extra media plan 050329_DM 05 budgetplanning TV 050429_TJ Masterflow June 15_Wrigley - 06 simple chart Sep 14_Sheet3" xfId="5424"/>
    <cellStyle name="_Extra media plan 050329_DM 05 budgetplanning TV 050429_TP Masterflow June 15a" xfId="5425"/>
    <cellStyle name="_Extra media plan 050329_DM 05 budgetplanning TV 050429_TP Masterflow June 15a 2" xfId="5426"/>
    <cellStyle name="_Extra media plan 050329_DM 05 budgetplanning TV 050429_TP Masterflow June 15a_Book5" xfId="5427"/>
    <cellStyle name="_Extra media plan 050329_DM 05 budgetplanning TV 050429_TP Masterflow June 15a_Book5 2" xfId="5428"/>
    <cellStyle name="_Extra media plan 050329_DM 05 budgetplanning TV 050429_TP Masterflow June 15a_Book5_Category Template AC'11 @Cst Fx 52W vs 53W" xfId="5429"/>
    <cellStyle name="_Extra media plan 050329_DM 05 budgetplanning TV 050429_TP Masterflow June 15a_Book5_Category Template AC'11 @Cst Fx 52W vs 53W 2" xfId="5430"/>
    <cellStyle name="_Extra media plan 050329_DM 05 budgetplanning TV 050429_TP Masterflow June 15a_Book5_Category Template AC'11 @Cst Fx 52W vs 53W_P&amp;L KFE" xfId="5431"/>
    <cellStyle name="_Extra media plan 050329_DM 05 budgetplanning TV 050429_TP Masterflow June 15a_Book5_Category Template AC'11 @Cst Fx 52W vs 53W_Sheet3" xfId="5432"/>
    <cellStyle name="_Extra media plan 050329_DM 05 budgetplanning TV 050429_TP Masterflow June 15a_Book5_P&amp;L KFE" xfId="5433"/>
    <cellStyle name="_Extra media plan 050329_DM 05 budgetplanning TV 050429_TP Masterflow June 15a_Book5_Sheet3" xfId="5434"/>
    <cellStyle name="_Extra media plan 050329_DM 05 budgetplanning TV 050429_TP Masterflow June 15a_Category Template AC'11 @Cst Fx 52W vs 53W" xfId="5435"/>
    <cellStyle name="_Extra media plan 050329_DM 05 budgetplanning TV 050429_TP Masterflow June 15a_Category Template AC'11 @Cst Fx 52W vs 53W 2" xfId="5436"/>
    <cellStyle name="_Extra media plan 050329_DM 05 budgetplanning TV 050429_TP Masterflow June 15a_Category Template AC'11 @Cst Fx 52W vs 53W_P&amp;L KFE" xfId="5437"/>
    <cellStyle name="_Extra media plan 050329_DM 05 budgetplanning TV 050429_TP Masterflow June 15a_Category Template AC'11 @Cst Fx 52W vs 53W_Sheet3" xfId="5438"/>
    <cellStyle name="_Extra media plan 050329_DM 05 budgetplanning TV 050429_TP Masterflow June 15a_P&amp;L KFE" xfId="5439"/>
    <cellStyle name="_Extra media plan 050329_DM 05 budgetplanning TV 050429_TP Masterflow June 15a_Sheet3" xfId="5440"/>
    <cellStyle name="_Extra media plan 050329_DM 05 budgetplanning TV 050429_TP Masterflow June 15a_Wrigley - 05 budget&amp;calendar LE 050728 (25I)" xfId="5441"/>
    <cellStyle name="_Extra media plan 050329_DM 05 budgetplanning TV 050429_TP Masterflow June 15a_Wrigley - 05 budget&amp;calendar LE 050728 (25I) 2" xfId="5442"/>
    <cellStyle name="_Extra media plan 050329_DM 05 budgetplanning TV 050429_TP Masterflow June 15a_Wrigley - 05 budget&amp;calendar LE 050728 (25I)_Category Template AC'11 @Cst Fx 52W vs 53W" xfId="5443"/>
    <cellStyle name="_Extra media plan 050329_DM 05 budgetplanning TV 050429_TP Masterflow June 15a_Wrigley - 05 budget&amp;calendar LE 050728 (25I)_Category Template AC'11 @Cst Fx 52W vs 53W 2" xfId="5444"/>
    <cellStyle name="_Extra media plan 050329_DM 05 budgetplanning TV 050429_TP Masterflow June 15a_Wrigley - 05 budget&amp;calendar LE 050728 (25I)_Category Template AC'11 @Cst Fx 52W vs 53W_P&amp;L KFE" xfId="5445"/>
    <cellStyle name="_Extra media plan 050329_DM 05 budgetplanning TV 050429_TP Masterflow June 15a_Wrigley - 05 budget&amp;calendar LE 050728 (25I)_Category Template AC'11 @Cst Fx 52W vs 53W_Sheet3" xfId="5446"/>
    <cellStyle name="_Extra media plan 050329_DM 05 budgetplanning TV 050429_TP Masterflow June 15a_Wrigley - 05 budget&amp;calendar LE 050728 (25I)_P&amp;L KFE" xfId="5447"/>
    <cellStyle name="_Extra media plan 050329_DM 05 budgetplanning TV 050429_TP Masterflow June 15a_Wrigley - 05 budget&amp;calendar LE 050728 (25I)_Sheet3" xfId="5448"/>
    <cellStyle name="_Extra media plan 050329_DM 05 budgetplanning TV 050429_TP Masterflow June 15a_Wrigley - 05 budget&amp;calendar LE 050728 (25I)_Wrigley - 06 simple chart Sep 14" xfId="5449"/>
    <cellStyle name="_Extra media plan 050329_DM 05 budgetplanning TV 050429_TP Masterflow June 15a_Wrigley - 05 budget&amp;calendar LE 050728 (25I)_Wrigley - 06 simple chart Sep 14 2" xfId="5450"/>
    <cellStyle name="_Extra media plan 050329_DM 05 budgetplanning TV 050429_TP Masterflow June 15a_Wrigley - 05 budget&amp;calendar LE 050728 (25I)_Wrigley - 06 simple chart Sep 14_Category Template AC'11 @Cst Fx 52W vs 53W" xfId="5451"/>
    <cellStyle name="_Extra media plan 050329_DM 05 budgetplanning TV 050429_TP Masterflow June 15a_Wrigley - 05 budget&amp;calendar LE 050728 (25I)_Wrigley - 06 simple chart Sep 14_Category Template AC'11 @Cst Fx 52W vs 53W 2" xfId="5452"/>
    <cellStyle name="_Extra media plan 050329_DM 05 budgetplanning TV 050429_TP Masterflow June 15a_Wrigley - 05 budget&amp;calendar LE 050728 (25I)_Wrigley - 06 simple chart Sep 14_Category Template AC'11 @Cst Fx 52W vs 53W_P&amp;L KFE" xfId="5453"/>
    <cellStyle name="_Extra media plan 050329_DM 05 budgetplanning TV 050429_TP Masterflow June 15a_Wrigley - 05 budget&amp;calendar LE 050728 (25I)_Wrigley - 06 simple chart Sep 14_Category Template AC'11 @Cst Fx 52W vs 53W_Sheet3" xfId="5454"/>
    <cellStyle name="_Extra media plan 050329_DM 05 budgetplanning TV 050429_TP Masterflow June 15a_Wrigley - 05 budget&amp;calendar LE 050728 (25I)_Wrigley - 06 simple chart Sep 14_P&amp;L KFE" xfId="5455"/>
    <cellStyle name="_Extra media plan 050329_DM 05 budgetplanning TV 050429_TP Masterflow June 15a_Wrigley - 05 budget&amp;calendar LE 050728 (25I)_Wrigley - 06 simple chart Sep 14_Sheet3" xfId="5456"/>
    <cellStyle name="_Extra media plan 050329_DM 05 budgetplanning TV 050429_TP Masterflow June 15a_Wrigley - 05 budget&amp;calendar LE 050824 (25F)" xfId="5457"/>
    <cellStyle name="_Extra media plan 050329_DM 05 budgetplanning TV 050429_TP Masterflow June 15a_Wrigley - 05 budget&amp;calendar LE 050824 (25F) 2" xfId="5458"/>
    <cellStyle name="_Extra media plan 050329_DM 05 budgetplanning TV 050429_TP Masterflow June 15a_Wrigley - 05 budget&amp;calendar LE 050824 (25F)_Category Template AC'11 @Cst Fx 52W vs 53W" xfId="5459"/>
    <cellStyle name="_Extra media plan 050329_DM 05 budgetplanning TV 050429_TP Masterflow June 15a_Wrigley - 05 budget&amp;calendar LE 050824 (25F)_Category Template AC'11 @Cst Fx 52W vs 53W 2" xfId="5460"/>
    <cellStyle name="_Extra media plan 050329_DM 05 budgetplanning TV 050429_TP Masterflow June 15a_Wrigley - 05 budget&amp;calendar LE 050824 (25F)_Category Template AC'11 @Cst Fx 52W vs 53W_P&amp;L KFE" xfId="5461"/>
    <cellStyle name="_Extra media plan 050329_DM 05 budgetplanning TV 050429_TP Masterflow June 15a_Wrigley - 05 budget&amp;calendar LE 050824 (25F)_Category Template AC'11 @Cst Fx 52W vs 53W_Sheet3" xfId="5462"/>
    <cellStyle name="_Extra media plan 050329_DM 05 budgetplanning TV 050429_TP Masterflow June 15a_Wrigley - 05 budget&amp;calendar LE 050824 (25F)_P&amp;L KFE" xfId="5463"/>
    <cellStyle name="_Extra media plan 050329_DM 05 budgetplanning TV 050429_TP Masterflow June 15a_Wrigley - 05 budget&amp;calendar LE 050824 (25F)_Sheet3" xfId="5464"/>
    <cellStyle name="_Extra media plan 050329_DM 05 budgetplanning TV 050429_TP Masterflow June 15a_Wrigley - 05 budget&amp;calendar LE 050824 (25F)_Wrigley - 06 simple chart Sep 14" xfId="5465"/>
    <cellStyle name="_Extra media plan 050329_DM 05 budgetplanning TV 050429_TP Masterflow June 15a_Wrigley - 05 budget&amp;calendar LE 050824 (25F)_Wrigley - 06 simple chart Sep 14 2" xfId="5466"/>
    <cellStyle name="_Extra media plan 050329_DM 05 budgetplanning TV 050429_TP Masterflow June 15a_Wrigley - 05 budget&amp;calendar LE 050824 (25F)_Wrigley - 06 simple chart Sep 14_Category Template AC'11 @Cst Fx 52W vs 53W" xfId="5467"/>
    <cellStyle name="_Extra media plan 050329_DM 05 budgetplanning TV 050429_TP Masterflow June 15a_Wrigley - 05 budget&amp;calendar LE 050824 (25F)_Wrigley - 06 simple chart Sep 14_Category Template AC'11 @Cst Fx 52W vs 53W 2" xfId="5468"/>
    <cellStyle name="_Extra media plan 050329_DM 05 budgetplanning TV 050429_TP Masterflow June 15a_Wrigley - 05 budget&amp;calendar LE 050824 (25F)_Wrigley - 06 simple chart Sep 14_Category Template AC'11 @Cst Fx 52W vs 53W_P&amp;L KFE" xfId="5469"/>
    <cellStyle name="_Extra media plan 050329_DM 05 budgetplanning TV 050429_TP Masterflow June 15a_Wrigley - 05 budget&amp;calendar LE 050824 (25F)_Wrigley - 06 simple chart Sep 14_Category Template AC'11 @Cst Fx 52W vs 53W_Sheet3" xfId="5470"/>
    <cellStyle name="_Extra media plan 050329_DM 05 budgetplanning TV 050429_TP Masterflow June 15a_Wrigley - 05 budget&amp;calendar LE 050824 (25F)_Wrigley - 06 simple chart Sep 14_P&amp;L KFE" xfId="5471"/>
    <cellStyle name="_Extra media plan 050329_DM 05 budgetplanning TV 050429_TP Masterflow June 15a_Wrigley - 05 budget&amp;calendar LE 050824 (25F)_Wrigley - 06 simple chart Sep 14_Sheet3" xfId="5472"/>
    <cellStyle name="_Extra media plan 050329_DM 05 budgetplanning TV 050429_TP Masterflow June 15a_Wrigley - 05 budget&amp;calendar LE 050824 (25I)" xfId="5473"/>
    <cellStyle name="_Extra media plan 050329_DM 05 budgetplanning TV 050429_TP Masterflow June 15a_Wrigley - 05 budget&amp;calendar LE 050824 (25I) 2" xfId="5474"/>
    <cellStyle name="_Extra media plan 050329_DM 05 budgetplanning TV 050429_TP Masterflow June 15a_Wrigley - 05 budget&amp;calendar LE 050824 (25I)_Category Template AC'11 @Cst Fx 52W vs 53W" xfId="5475"/>
    <cellStyle name="_Extra media plan 050329_DM 05 budgetplanning TV 050429_TP Masterflow June 15a_Wrigley - 05 budget&amp;calendar LE 050824 (25I)_Category Template AC'11 @Cst Fx 52W vs 53W 2" xfId="5476"/>
    <cellStyle name="_Extra media plan 050329_DM 05 budgetplanning TV 050429_TP Masterflow June 15a_Wrigley - 05 budget&amp;calendar LE 050824 (25I)_Category Template AC'11 @Cst Fx 52W vs 53W_P&amp;L KFE" xfId="5477"/>
    <cellStyle name="_Extra media plan 050329_DM 05 budgetplanning TV 050429_TP Masterflow June 15a_Wrigley - 05 budget&amp;calendar LE 050824 (25I)_Category Template AC'11 @Cst Fx 52W vs 53W_Sheet3" xfId="5478"/>
    <cellStyle name="_Extra media plan 050329_DM 05 budgetplanning TV 050429_TP Masterflow June 15a_Wrigley - 05 budget&amp;calendar LE 050824 (25I)_P&amp;L KFE" xfId="5479"/>
    <cellStyle name="_Extra media plan 050329_DM 05 budgetplanning TV 050429_TP Masterflow June 15a_Wrigley - 05 budget&amp;calendar LE 050824 (25I)_Sheet3" xfId="5480"/>
    <cellStyle name="_Extra media plan 050329_DM 05 budgetplanning TV 050429_TP Masterflow June 15a_Wrigley - 05 budget&amp;calendar LE 050824 (25I)_Wrigley - 06 simple chart Sep 14" xfId="5481"/>
    <cellStyle name="_Extra media plan 050329_DM 05 budgetplanning TV 050429_TP Masterflow June 15a_Wrigley - 05 budget&amp;calendar LE 050824 (25I)_Wrigley - 06 simple chart Sep 14 2" xfId="5482"/>
    <cellStyle name="_Extra media plan 050329_DM 05 budgetplanning TV 050429_TP Masterflow June 15a_Wrigley - 05 budget&amp;calendar LE 050824 (25I)_Wrigley - 06 simple chart Sep 14_Category Template AC'11 @Cst Fx 52W vs 53W" xfId="5483"/>
    <cellStyle name="_Extra media plan 050329_DM 05 budgetplanning TV 050429_TP Masterflow June 15a_Wrigley - 05 budget&amp;calendar LE 050824 (25I)_Wrigley - 06 simple chart Sep 14_Category Template AC'11 @Cst Fx 52W vs 53W 2" xfId="5484"/>
    <cellStyle name="_Extra media plan 050329_DM 05 budgetplanning TV 050429_TP Masterflow June 15a_Wrigley - 05 budget&amp;calendar LE 050824 (25I)_Wrigley - 06 simple chart Sep 14_Category Template AC'11 @Cst Fx 52W vs 53W_P&amp;L KFE" xfId="5485"/>
    <cellStyle name="_Extra media plan 050329_DM 05 budgetplanning TV 050429_TP Masterflow June 15a_Wrigley - 05 budget&amp;calendar LE 050824 (25I)_Wrigley - 06 simple chart Sep 14_Category Template AC'11 @Cst Fx 52W vs 53W_Sheet3" xfId="5486"/>
    <cellStyle name="_Extra media plan 050329_DM 05 budgetplanning TV 050429_TP Masterflow June 15a_Wrigley - 05 budget&amp;calendar LE 050824 (25I)_Wrigley - 06 simple chart Sep 14_P&amp;L KFE" xfId="5487"/>
    <cellStyle name="_Extra media plan 050329_DM 05 budgetplanning TV 050429_TP Masterflow June 15a_Wrigley - 05 budget&amp;calendar LE 050824 (25I)_Wrigley - 06 simple chart Sep 14_Sheet3" xfId="5488"/>
    <cellStyle name="_Extra media plan 050329_DM 05 budgetplanning TV 050429_TP Masterflow June 15a_Wrigley - 06 simple chart Sep 14" xfId="5489"/>
    <cellStyle name="_Extra media plan 050329_DM 05 budgetplanning TV 050429_TP Masterflow June 15a_Wrigley - 06 simple chart Sep 14 2" xfId="5490"/>
    <cellStyle name="_Extra media plan 050329_DM 05 budgetplanning TV 050429_TP Masterflow June 15a_Wrigley - 06 simple chart Sep 14_Category Template AC'11 @Cst Fx 52W vs 53W" xfId="5491"/>
    <cellStyle name="_Extra media plan 050329_DM 05 budgetplanning TV 050429_TP Masterflow June 15a_Wrigley - 06 simple chart Sep 14_Category Template AC'11 @Cst Fx 52W vs 53W 2" xfId="5492"/>
    <cellStyle name="_Extra media plan 050329_DM 05 budgetplanning TV 050429_TP Masterflow June 15a_Wrigley - 06 simple chart Sep 14_Category Template AC'11 @Cst Fx 52W vs 53W_P&amp;L KFE" xfId="5493"/>
    <cellStyle name="_Extra media plan 050329_DM 05 budgetplanning TV 050429_TP Masterflow June 15a_Wrigley - 06 simple chart Sep 14_Category Template AC'11 @Cst Fx 52W vs 53W_Sheet3" xfId="5494"/>
    <cellStyle name="_Extra media plan 050329_DM 05 budgetplanning TV 050429_TP Masterflow June 15a_Wrigley - 06 simple chart Sep 14_P&amp;L KFE" xfId="5495"/>
    <cellStyle name="_Extra media plan 050329_DM 05 budgetplanning TV 050429_TP Masterflow June 15a_Wrigley - 06 simple chart Sep 14_Sheet3" xfId="5496"/>
    <cellStyle name="_Extra media plan 050329_DM 05 budgetplanning TV 050429_Wrigley - 05 budget&amp;calendar 1R 050609 (23I)_Jun 16b" xfId="5497"/>
    <cellStyle name="_Extra media plan 050329_DM 05 budgetplanning TV 050429_Wrigley - 05 budget&amp;calendar 1R 050609 (23I)_Jun 16b 2" xfId="5498"/>
    <cellStyle name="_Extra media plan 050329_DM 05 budgetplanning TV 050429_Wrigley - 05 budget&amp;calendar 1R 050609 (23I)_Jun 16b_Book5" xfId="5499"/>
    <cellStyle name="_Extra media plan 050329_DM 05 budgetplanning TV 050429_Wrigley - 05 budget&amp;calendar 1R 050609 (23I)_Jun 16b_Book5 2" xfId="5500"/>
    <cellStyle name="_Extra media plan 050329_DM 05 budgetplanning TV 050429_Wrigley - 05 budget&amp;calendar 1R 050609 (23I)_Jun 16b_Book5_Category Template AC'11 @Cst Fx 52W vs 53W" xfId="5501"/>
    <cellStyle name="_Extra media plan 050329_DM 05 budgetplanning TV 050429_Wrigley - 05 budget&amp;calendar 1R 050609 (23I)_Jun 16b_Book5_Category Template AC'11 @Cst Fx 52W vs 53W 2" xfId="5502"/>
    <cellStyle name="_Extra media plan 050329_DM 05 budgetplanning TV 050429_Wrigley - 05 budget&amp;calendar 1R 050609 (23I)_Jun 16b_Book5_Category Template AC'11 @Cst Fx 52W vs 53W_P&amp;L KFE" xfId="5503"/>
    <cellStyle name="_Extra media plan 050329_DM 05 budgetplanning TV 050429_Wrigley - 05 budget&amp;calendar 1R 050609 (23I)_Jun 16b_Book5_Category Template AC'11 @Cst Fx 52W vs 53W_Sheet3" xfId="5504"/>
    <cellStyle name="_Extra media plan 050329_DM 05 budgetplanning TV 050429_Wrigley - 05 budget&amp;calendar 1R 050609 (23I)_Jun 16b_Book5_P&amp;L KFE" xfId="5505"/>
    <cellStyle name="_Extra media plan 050329_DM 05 budgetplanning TV 050429_Wrigley - 05 budget&amp;calendar 1R 050609 (23I)_Jun 16b_Book5_Sheet3" xfId="5506"/>
    <cellStyle name="_Extra media plan 050329_DM 05 budgetplanning TV 050429_Wrigley - 05 budget&amp;calendar 1R 050609 (23I)_Jun 16b_Category Template AC'11 @Cst Fx 52W vs 53W" xfId="5507"/>
    <cellStyle name="_Extra media plan 050329_DM 05 budgetplanning TV 050429_Wrigley - 05 budget&amp;calendar 1R 050609 (23I)_Jun 16b_Category Template AC'11 @Cst Fx 52W vs 53W 2" xfId="5508"/>
    <cellStyle name="_Extra media plan 050329_DM 05 budgetplanning TV 050429_Wrigley - 05 budget&amp;calendar 1R 050609 (23I)_Jun 16b_Category Template AC'11 @Cst Fx 52W vs 53W_P&amp;L KFE" xfId="5509"/>
    <cellStyle name="_Extra media plan 050329_DM 05 budgetplanning TV 050429_Wrigley - 05 budget&amp;calendar 1R 050609 (23I)_Jun 16b_Category Template AC'11 @Cst Fx 52W vs 53W_Sheet3" xfId="5510"/>
    <cellStyle name="_Extra media plan 050329_DM 05 budgetplanning TV 050429_Wrigley - 05 budget&amp;calendar 1R 050609 (23I)_Jun 16b_P&amp;L KFE" xfId="5511"/>
    <cellStyle name="_Extra media plan 050329_DM 05 budgetplanning TV 050429_Wrigley - 05 budget&amp;calendar 1R 050609 (23I)_Jun 16b_Sheet3" xfId="5512"/>
    <cellStyle name="_Extra media plan 050329_DM 05 budgetplanning TV 050429_Wrigley - 05 budget&amp;calendar 1R 050609 (23I)_Jun 16b_Wrigley - 05 budget&amp;calendar LE 050728 (25I)" xfId="5513"/>
    <cellStyle name="_Extra media plan 050329_DM 05 budgetplanning TV 050429_Wrigley - 05 budget&amp;calendar 1R 050609 (23I)_Jun 16b_Wrigley - 05 budget&amp;calendar LE 050728 (25I) 2" xfId="5514"/>
    <cellStyle name="_Extra media plan 050329_DM 05 budgetplanning TV 050429_Wrigley - 05 budget&amp;calendar 1R 050609 (23I)_Jun 16b_Wrigley - 05 budget&amp;calendar LE 050728 (25I)_Category Template AC'11 @Cst Fx 52W vs 53W" xfId="5515"/>
    <cellStyle name="_Extra media plan 050329_DM 05 budgetplanning TV 050429_Wrigley - 05 budget&amp;calendar 1R 050609 (23I)_Jun 16b_Wrigley - 05 budget&amp;calendar LE 050728 (25I)_Category Template AC'11 @Cst Fx 52W vs 53W 2" xfId="5516"/>
    <cellStyle name="_Extra media plan 050329_DM 05 budgetplanning TV 050429_Wrigley - 05 budget&amp;calendar 1R 050609 (23I)_Jun 16b_Wrigley - 05 budget&amp;calendar LE 050728 (25I)_Category Template AC'11 @Cst Fx 52W vs 53W_P&amp;L KFE" xfId="5517"/>
    <cellStyle name="_Extra media plan 050329_DM 05 budgetplanning TV 050429_Wrigley - 05 budget&amp;calendar 1R 050609 (23I)_Jun 16b_Wrigley - 05 budget&amp;calendar LE 050728 (25I)_Category Template AC'11 @Cst Fx 52W vs 53W_Sheet3" xfId="5518"/>
    <cellStyle name="_Extra media plan 050329_DM 05 budgetplanning TV 050429_Wrigley - 05 budget&amp;calendar 1R 050609 (23I)_Jun 16b_Wrigley - 05 budget&amp;calendar LE 050728 (25I)_P&amp;L KFE" xfId="5519"/>
    <cellStyle name="_Extra media plan 050329_DM 05 budgetplanning TV 050429_Wrigley - 05 budget&amp;calendar 1R 050609 (23I)_Jun 16b_Wrigley - 05 budget&amp;calendar LE 050728 (25I)_Sheet3" xfId="5520"/>
    <cellStyle name="_Extra media plan 050329_DM 05 budgetplanning TV 050429_Wrigley - 05 budget&amp;calendar 1R 050609 (23I)_Jun 16b_Wrigley - 05 budget&amp;calendar LE 050728 (25I)_Wrigley - 06 simple chart Sep 14" xfId="5521"/>
    <cellStyle name="_Extra media plan 050329_DM 05 budgetplanning TV 050429_Wrigley - 05 budget&amp;calendar 1R 050609 (23I)_Jun 16b_Wrigley - 05 budget&amp;calendar LE 050728 (25I)_Wrigley - 06 simple chart Sep 14 2" xfId="5522"/>
    <cellStyle name="_Extra media plan 050329_DM 05 budgetplanning TV 050429_Wrigley - 05 budget&amp;calendar 1R 050609 (23I)_Jun 16b_Wrigley - 05 budget&amp;calendar LE 050728 (25I)_Wrigley - 06 simple chart Sep 14_Category Template AC'11 @Cst Fx 52W vs 53W" xfId="5523"/>
    <cellStyle name="_Extra media plan 050329_DM 05 budgetplanning TV 050429_Wrigley - 05 budget&amp;calendar 1R 050609 (23I)_Jun 16b_Wrigley - 05 budget&amp;calendar LE 050728 (25I)_Wrigley - 06 simple chart Sep 14_Category Template AC'11 @Cst Fx 52W vs 53W 2" xfId="5524"/>
    <cellStyle name="_Extra media plan 050329_DM 05 budgetplanning TV 050429_Wrigley - 05 budget&amp;calendar 1R 050609 (23I)_Jun 16b_Wrigley - 05 budget&amp;calendar LE 050728 (25I)_Wrigley - 06 simple chart Sep 14_Category Template AC'11 @Cst Fx 52W vs 53W_P&amp;L KFE" xfId="5525"/>
    <cellStyle name="_Extra media plan 050329_DM 05 budgetplanning TV 050429_Wrigley - 05 budget&amp;calendar 1R 050609 (23I)_Jun 16b_Wrigley - 05 budget&amp;calendar LE 050728 (25I)_Wrigley - 06 simple chart Sep 14_Category Template AC'11 @Cst Fx 52W vs 53W_Sheet3" xfId="5526"/>
    <cellStyle name="_Extra media plan 050329_DM 05 budgetplanning TV 050429_Wrigley - 05 budget&amp;calendar 1R 050609 (23I)_Jun 16b_Wrigley - 05 budget&amp;calendar LE 050728 (25I)_Wrigley - 06 simple chart Sep 14_P&amp;L KFE" xfId="5527"/>
    <cellStyle name="_Extra media plan 050329_DM 05 budgetplanning TV 050429_Wrigley - 05 budget&amp;calendar 1R 050609 (23I)_Jun 16b_Wrigley - 05 budget&amp;calendar LE 050728 (25I)_Wrigley - 06 simple chart Sep 14_Sheet3" xfId="5528"/>
    <cellStyle name="_Extra media plan 050329_DM 05 budgetplanning TV 050429_Wrigley - 05 budget&amp;calendar 1R 050609 (23I)_Jun 16b_Wrigley - 05 budget&amp;calendar LE 050824 (25F)" xfId="5529"/>
    <cellStyle name="_Extra media plan 050329_DM 05 budgetplanning TV 050429_Wrigley - 05 budget&amp;calendar 1R 050609 (23I)_Jun 16b_Wrigley - 05 budget&amp;calendar LE 050824 (25F) 2" xfId="5530"/>
    <cellStyle name="_Extra media plan 050329_DM 05 budgetplanning TV 050429_Wrigley - 05 budget&amp;calendar 1R 050609 (23I)_Jun 16b_Wrigley - 05 budget&amp;calendar LE 050824 (25F)_Category Template AC'11 @Cst Fx 52W vs 53W" xfId="5531"/>
    <cellStyle name="_Extra media plan 050329_DM 05 budgetplanning TV 050429_Wrigley - 05 budget&amp;calendar 1R 050609 (23I)_Jun 16b_Wrigley - 05 budget&amp;calendar LE 050824 (25F)_Category Template AC'11 @Cst Fx 52W vs 53W 2" xfId="5532"/>
    <cellStyle name="_Extra media plan 050329_DM 05 budgetplanning TV 050429_Wrigley - 05 budget&amp;calendar 1R 050609 (23I)_Jun 16b_Wrigley - 05 budget&amp;calendar LE 050824 (25F)_Category Template AC'11 @Cst Fx 52W vs 53W_P&amp;L KFE" xfId="5533"/>
    <cellStyle name="_Extra media plan 050329_DM 05 budgetplanning TV 050429_Wrigley - 05 budget&amp;calendar 1R 050609 (23I)_Jun 16b_Wrigley - 05 budget&amp;calendar LE 050824 (25F)_Category Template AC'11 @Cst Fx 52W vs 53W_Sheet3" xfId="5534"/>
    <cellStyle name="_Extra media plan 050329_DM 05 budgetplanning TV 050429_Wrigley - 05 budget&amp;calendar 1R 050609 (23I)_Jun 16b_Wrigley - 05 budget&amp;calendar LE 050824 (25F)_P&amp;L KFE" xfId="5535"/>
    <cellStyle name="_Extra media plan 050329_DM 05 budgetplanning TV 050429_Wrigley - 05 budget&amp;calendar 1R 050609 (23I)_Jun 16b_Wrigley - 05 budget&amp;calendar LE 050824 (25F)_Sheet3" xfId="5536"/>
    <cellStyle name="_Extra media plan 050329_DM 05 budgetplanning TV 050429_Wrigley - 05 budget&amp;calendar 1R 050609 (23I)_Jun 16b_Wrigley - 05 budget&amp;calendar LE 050824 (25F)_Wrigley - 06 simple chart Sep 14" xfId="5537"/>
    <cellStyle name="_Extra media plan 050329_DM 05 budgetplanning TV 050429_Wrigley - 05 budget&amp;calendar 1R 050609 (23I)_Jun 16b_Wrigley - 05 budget&amp;calendar LE 050824 (25F)_Wrigley - 06 simple chart Sep 14 2" xfId="5538"/>
    <cellStyle name="_Extra media plan 050329_DM 05 budgetplanning TV 050429_Wrigley - 05 budget&amp;calendar 1R 050609 (23I)_Jun 16b_Wrigley - 05 budget&amp;calendar LE 050824 (25F)_Wrigley - 06 simple chart Sep 14_Category Template AC'11 @Cst Fx 52W vs 53W" xfId="5539"/>
    <cellStyle name="_Extra media plan 050329_DM 05 budgetplanning TV 050429_Wrigley - 05 budget&amp;calendar 1R 050609 (23I)_Jun 16b_Wrigley - 05 budget&amp;calendar LE 050824 (25F)_Wrigley - 06 simple chart Sep 14_Category Template AC'11 @Cst Fx 52W vs 53W 2" xfId="5540"/>
    <cellStyle name="_Extra media plan 050329_DM 05 budgetplanning TV 050429_Wrigley - 05 budget&amp;calendar 1R 050609 (23I)_Jun 16b_Wrigley - 05 budget&amp;calendar LE 050824 (25F)_Wrigley - 06 simple chart Sep 14_Category Template AC'11 @Cst Fx 52W vs 53W_P&amp;L KFE" xfId="5541"/>
    <cellStyle name="_Extra media plan 050329_DM 05 budgetplanning TV 050429_Wrigley - 05 budget&amp;calendar 1R 050609 (23I)_Jun 16b_Wrigley - 05 budget&amp;calendar LE 050824 (25F)_Wrigley - 06 simple chart Sep 14_Category Template AC'11 @Cst Fx 52W vs 53W_Sheet3" xfId="5542"/>
    <cellStyle name="_Extra media plan 050329_DM 05 budgetplanning TV 050429_Wrigley - 05 budget&amp;calendar 1R 050609 (23I)_Jun 16b_Wrigley - 05 budget&amp;calendar LE 050824 (25F)_Wrigley - 06 simple chart Sep 14_P&amp;L KFE" xfId="5543"/>
    <cellStyle name="_Extra media plan 050329_DM 05 budgetplanning TV 050429_Wrigley - 05 budget&amp;calendar 1R 050609 (23I)_Jun 16b_Wrigley - 05 budget&amp;calendar LE 050824 (25F)_Wrigley - 06 simple chart Sep 14_Sheet3" xfId="5544"/>
    <cellStyle name="_Extra media plan 050329_DM 05 budgetplanning TV 050429_Wrigley - 05 budget&amp;calendar 1R 050609 (23I)_Jun 16b_Wrigley - 05 budget&amp;calendar LE 050824 (25I)" xfId="5545"/>
    <cellStyle name="_Extra media plan 050329_DM 05 budgetplanning TV 050429_Wrigley - 05 budget&amp;calendar 1R 050609 (23I)_Jun 16b_Wrigley - 05 budget&amp;calendar LE 050824 (25I) 2" xfId="5546"/>
    <cellStyle name="_Extra media plan 050329_DM 05 budgetplanning TV 050429_Wrigley - 05 budget&amp;calendar 1R 050609 (23I)_Jun 16b_Wrigley - 05 budget&amp;calendar LE 050824 (25I)_Category Template AC'11 @Cst Fx 52W vs 53W" xfId="5547"/>
    <cellStyle name="_Extra media plan 050329_DM 05 budgetplanning TV 050429_Wrigley - 05 budget&amp;calendar 1R 050609 (23I)_Jun 16b_Wrigley - 05 budget&amp;calendar LE 050824 (25I)_Category Template AC'11 @Cst Fx 52W vs 53W 2" xfId="5548"/>
    <cellStyle name="_Extra media plan 050329_DM 05 budgetplanning TV 050429_Wrigley - 05 budget&amp;calendar 1R 050609 (23I)_Jun 16b_Wrigley - 05 budget&amp;calendar LE 050824 (25I)_Category Template AC'11 @Cst Fx 52W vs 53W_P&amp;L KFE" xfId="5549"/>
    <cellStyle name="_Extra media plan 050329_DM 05 budgetplanning TV 050429_Wrigley - 05 budget&amp;calendar 1R 050609 (23I)_Jun 16b_Wrigley - 05 budget&amp;calendar LE 050824 (25I)_Category Template AC'11 @Cst Fx 52W vs 53W_Sheet3" xfId="5550"/>
    <cellStyle name="_Extra media plan 050329_DM 05 budgetplanning TV 050429_Wrigley - 05 budget&amp;calendar 1R 050609 (23I)_Jun 16b_Wrigley - 05 budget&amp;calendar LE 050824 (25I)_P&amp;L KFE" xfId="5551"/>
    <cellStyle name="_Extra media plan 050329_DM 05 budgetplanning TV 050429_Wrigley - 05 budget&amp;calendar 1R 050609 (23I)_Jun 16b_Wrigley - 05 budget&amp;calendar LE 050824 (25I)_Sheet3" xfId="5552"/>
    <cellStyle name="_Extra media plan 050329_DM 05 budgetplanning TV 050429_Wrigley - 05 budget&amp;calendar 1R 050609 (23I)_Jun 16b_Wrigley - 05 budget&amp;calendar LE 050824 (25I)_Wrigley - 06 simple chart Sep 14" xfId="5553"/>
    <cellStyle name="_Extra media plan 050329_DM 05 budgetplanning TV 050429_Wrigley - 05 budget&amp;calendar 1R 050609 (23I)_Jun 16b_Wrigley - 05 budget&amp;calendar LE 050824 (25I)_Wrigley - 06 simple chart Sep 14 2" xfId="5554"/>
    <cellStyle name="_Extra media plan 050329_DM 05 budgetplanning TV 050429_Wrigley - 05 budget&amp;calendar 1R 050609 (23I)_Jun 16b_Wrigley - 05 budget&amp;calendar LE 050824 (25I)_Wrigley - 06 simple chart Sep 14_Category Template AC'11 @Cst Fx 52W vs 53W" xfId="5555"/>
    <cellStyle name="_Extra media plan 050329_DM 05 budgetplanning TV 050429_Wrigley - 05 budget&amp;calendar 1R 050609 (23I)_Jun 16b_Wrigley - 05 budget&amp;calendar LE 050824 (25I)_Wrigley - 06 simple chart Sep 14_Category Template AC'11 @Cst Fx 52W vs 53W 2" xfId="5556"/>
    <cellStyle name="_Extra media plan 050329_DM 05 budgetplanning TV 050429_Wrigley - 05 budget&amp;calendar 1R 050609 (23I)_Jun 16b_Wrigley - 05 budget&amp;calendar LE 050824 (25I)_Wrigley - 06 simple chart Sep 14_Category Template AC'11 @Cst Fx 52W vs 53W_P&amp;L KFE" xfId="5557"/>
    <cellStyle name="_Extra media plan 050329_DM 05 budgetplanning TV 050429_Wrigley - 05 budget&amp;calendar 1R 050609 (23I)_Jun 16b_Wrigley - 05 budget&amp;calendar LE 050824 (25I)_Wrigley - 06 simple chart Sep 14_Category Template AC'11 @Cst Fx 52W vs 53W_Sheet3" xfId="5558"/>
    <cellStyle name="_Extra media plan 050329_DM 05 budgetplanning TV 050429_Wrigley - 05 budget&amp;calendar 1R 050609 (23I)_Jun 16b_Wrigley - 05 budget&amp;calendar LE 050824 (25I)_Wrigley - 06 simple chart Sep 14_P&amp;L KFE" xfId="5559"/>
    <cellStyle name="_Extra media plan 050329_DM 05 budgetplanning TV 050429_Wrigley - 05 budget&amp;calendar 1R 050609 (23I)_Jun 16b_Wrigley - 05 budget&amp;calendar LE 050824 (25I)_Wrigley - 06 simple chart Sep 14_Sheet3" xfId="5560"/>
    <cellStyle name="_Extra media plan 050329_DM 05 budgetplanning TV 050429_Wrigley - 05 budget&amp;calendar 1R 050609 (23I)_Jun 16b_Wrigley - 06 simple chart Sep 14" xfId="5561"/>
    <cellStyle name="_Extra media plan 050329_DM 05 budgetplanning TV 050429_Wrigley - 05 budget&amp;calendar 1R 050609 (23I)_Jun 16b_Wrigley - 06 simple chart Sep 14 2" xfId="5562"/>
    <cellStyle name="_Extra media plan 050329_DM 05 budgetplanning TV 050429_Wrigley - 05 budget&amp;calendar 1R 050609 (23I)_Jun 16b_Wrigley - 06 simple chart Sep 14_Category Template AC'11 @Cst Fx 52W vs 53W" xfId="5563"/>
    <cellStyle name="_Extra media plan 050329_DM 05 budgetplanning TV 050429_Wrigley - 05 budget&amp;calendar 1R 050609 (23I)_Jun 16b_Wrigley - 06 simple chart Sep 14_Category Template AC'11 @Cst Fx 52W vs 53W 2" xfId="5564"/>
    <cellStyle name="_Extra media plan 050329_DM 05 budgetplanning TV 050429_Wrigley - 05 budget&amp;calendar 1R 050609 (23I)_Jun 16b_Wrigley - 06 simple chart Sep 14_Category Template AC'11 @Cst Fx 52W vs 53W_P&amp;L KFE" xfId="5565"/>
    <cellStyle name="_Extra media plan 050329_DM 05 budgetplanning TV 050429_Wrigley - 05 budget&amp;calendar 1R 050609 (23I)_Jun 16b_Wrigley - 06 simple chart Sep 14_Category Template AC'11 @Cst Fx 52W vs 53W_Sheet3" xfId="5566"/>
    <cellStyle name="_Extra media plan 050329_DM 05 budgetplanning TV 050429_Wrigley - 05 budget&amp;calendar 1R 050609 (23I)_Jun 16b_Wrigley - 06 simple chart Sep 14_P&amp;L KFE" xfId="5567"/>
    <cellStyle name="_Extra media plan 050329_DM 05 budgetplanning TV 050429_Wrigley - 05 budget&amp;calendar 1R 050609 (23I)_Jun 16b_Wrigley - 06 simple chart Sep 14_Sheet3" xfId="5568"/>
    <cellStyle name="_Extra media plan 050329_DM 05 budgetplanning TV 050429_Wrigley - 05 budget&amp;calendar LE 050824 (25I)" xfId="5569"/>
    <cellStyle name="_Extra media plan 050329_DM 05 budgetplanning TV 050429_Wrigley - 05 budget&amp;calendar LE 050824 (25I) 2" xfId="5570"/>
    <cellStyle name="_Extra media plan 050329_DM 05 budgetplanning TV 050429_Wrigley - 05 budget&amp;calendar LE 050824 (25I)_Category Template AC'11 @Cst Fx 52W vs 53W" xfId="5571"/>
    <cellStyle name="_Extra media plan 050329_DM 05 budgetplanning TV 050429_Wrigley - 05 budget&amp;calendar LE 050824 (25I)_Category Template AC'11 @Cst Fx 52W vs 53W 2" xfId="5572"/>
    <cellStyle name="_Extra media plan 050329_DM 05 budgetplanning TV 050429_Wrigley - 05 budget&amp;calendar LE 050824 (25I)_Category Template AC'11 @Cst Fx 52W vs 53W_P&amp;L KFE" xfId="5573"/>
    <cellStyle name="_Extra media plan 050329_DM 05 budgetplanning TV 050429_Wrigley - 05 budget&amp;calendar LE 050824 (25I)_Category Template AC'11 @Cst Fx 52W vs 53W_Sheet3" xfId="5574"/>
    <cellStyle name="_Extra media plan 050329_DM 05 budgetplanning TV 050429_Wrigley - 05 budget&amp;calendar LE 050824 (25I)_P&amp;L KFE" xfId="5575"/>
    <cellStyle name="_Extra media plan 050329_DM 05 budgetplanning TV 050429_Wrigley - 05 budget&amp;calendar LE 050824 (25I)_Sheet3" xfId="5576"/>
    <cellStyle name="_Extra media plan 050329_DM 05 budgetplanning TV 050429_Wrigley - 05 budget&amp;calendar LE 050824 (25I)_Wrigley - 06 simple chart Sep 14" xfId="5577"/>
    <cellStyle name="_Extra media plan 050329_DM 05 budgetplanning TV 050429_Wrigley - 05 budget&amp;calendar LE 050824 (25I)_Wrigley - 06 simple chart Sep 14 2" xfId="5578"/>
    <cellStyle name="_Extra media plan 050329_DM 05 budgetplanning TV 050429_Wrigley - 05 budget&amp;calendar LE 050824 (25I)_Wrigley - 06 simple chart Sep 14_Category Template AC'11 @Cst Fx 52W vs 53W" xfId="5579"/>
    <cellStyle name="_Extra media plan 050329_DM 05 budgetplanning TV 050429_Wrigley - 05 budget&amp;calendar LE 050824 (25I)_Wrigley - 06 simple chart Sep 14_Category Template AC'11 @Cst Fx 52W vs 53W 2" xfId="5580"/>
    <cellStyle name="_Extra media plan 050329_DM 05 budgetplanning TV 050429_Wrigley - 05 budget&amp;calendar LE 050824 (25I)_Wrigley - 06 simple chart Sep 14_Category Template AC'11 @Cst Fx 52W vs 53W_P&amp;L KFE" xfId="5581"/>
    <cellStyle name="_Extra media plan 050329_DM 05 budgetplanning TV 050429_Wrigley - 05 budget&amp;calendar LE 050824 (25I)_Wrigley - 06 simple chart Sep 14_Category Template AC'11 @Cst Fx 52W vs 53W_Sheet3" xfId="5582"/>
    <cellStyle name="_Extra media plan 050329_DM 05 budgetplanning TV 050429_Wrigley - 05 budget&amp;calendar LE 050824 (25I)_Wrigley - 06 simple chart Sep 14_P&amp;L KFE" xfId="5583"/>
    <cellStyle name="_Extra media plan 050329_DM 05 budgetplanning TV 050429_Wrigley - 05 budget&amp;calendar LE 050824 (25I)_Wrigley - 06 simple chart Sep 14_Sheet3" xfId="5584"/>
    <cellStyle name="_Extra media plan 050329_DM 05 budgetplanning TV 050429_Wrigley - 05 budget&amp;calendar R1 050525 (21I) internal formate June 15" xfId="5585"/>
    <cellStyle name="_Extra media plan 050329_DM 05 budgetplanning TV 050429_Wrigley - 05 budget&amp;calendar R1 050525 (21I) internal formate June 15 2" xfId="5586"/>
    <cellStyle name="_Extra media plan 050329_DM 05 budgetplanning TV 050429_Wrigley - 05 budget&amp;calendar R1 050525 (21I) internal formate June 15_Book5" xfId="5587"/>
    <cellStyle name="_Extra media plan 050329_DM 05 budgetplanning TV 050429_Wrigley - 05 budget&amp;calendar R1 050525 (21I) internal formate June 15_Book5 2" xfId="5588"/>
    <cellStyle name="_Extra media plan 050329_DM 05 budgetplanning TV 050429_Wrigley - 05 budget&amp;calendar R1 050525 (21I) internal formate June 15_Book5_Category Template AC'11 @Cst Fx 52W vs 53W" xfId="5589"/>
    <cellStyle name="_Extra media plan 050329_DM 05 budgetplanning TV 050429_Wrigley - 05 budget&amp;calendar R1 050525 (21I) internal formate June 15_Book5_Category Template AC'11 @Cst Fx 52W vs 53W 2" xfId="5590"/>
    <cellStyle name="_Extra media plan 050329_DM 05 budgetplanning TV 050429_Wrigley - 05 budget&amp;calendar R1 050525 (21I) internal formate June 15_Book5_Category Template AC'11 @Cst Fx 52W vs 53W_P&amp;L KFE" xfId="5591"/>
    <cellStyle name="_Extra media plan 050329_DM 05 budgetplanning TV 050429_Wrigley - 05 budget&amp;calendar R1 050525 (21I) internal formate June 15_Book5_Category Template AC'11 @Cst Fx 52W vs 53W_Sheet3" xfId="5592"/>
    <cellStyle name="_Extra media plan 050329_DM 05 budgetplanning TV 050429_Wrigley - 05 budget&amp;calendar R1 050525 (21I) internal formate June 15_Book5_P&amp;L KFE" xfId="5593"/>
    <cellStyle name="_Extra media plan 050329_DM 05 budgetplanning TV 050429_Wrigley - 05 budget&amp;calendar R1 050525 (21I) internal formate June 15_Book5_Sheet3" xfId="5594"/>
    <cellStyle name="_Extra media plan 050329_DM 05 budgetplanning TV 050429_Wrigley - 05 budget&amp;calendar R1 050525 (21I) internal formate June 15_Category Template AC'11 @Cst Fx 52W vs 53W" xfId="5595"/>
    <cellStyle name="_Extra media plan 050329_DM 05 budgetplanning TV 050429_Wrigley - 05 budget&amp;calendar R1 050525 (21I) internal formate June 15_Category Template AC'11 @Cst Fx 52W vs 53W 2" xfId="5596"/>
    <cellStyle name="_Extra media plan 050329_DM 05 budgetplanning TV 050429_Wrigley - 05 budget&amp;calendar R1 050525 (21I) internal formate June 15_Category Template AC'11 @Cst Fx 52W vs 53W_P&amp;L KFE" xfId="5597"/>
    <cellStyle name="_Extra media plan 050329_DM 05 budgetplanning TV 050429_Wrigley - 05 budget&amp;calendar R1 050525 (21I) internal formate June 15_Category Template AC'11 @Cst Fx 52W vs 53W_Sheet3" xfId="5598"/>
    <cellStyle name="_Extra media plan 050329_DM 05 budgetplanning TV 050429_Wrigley - 05 budget&amp;calendar R1 050525 (21I) internal formate June 15_P&amp;L KFE" xfId="5599"/>
    <cellStyle name="_Extra media plan 050329_DM 05 budgetplanning TV 050429_Wrigley - 05 budget&amp;calendar R1 050525 (21I) internal formate June 15_Sheet3" xfId="5600"/>
    <cellStyle name="_Extra media plan 050329_DM 05 budgetplanning TV 050429_Wrigley - 05 budget&amp;calendar R1 050525 (21I) internal formate June 15_Wrigley - 05 budget&amp;calendar LE 050728 (25I)" xfId="5601"/>
    <cellStyle name="_Extra media plan 050329_DM 05 budgetplanning TV 050429_Wrigley - 05 budget&amp;calendar R1 050525 (21I) internal formate June 15_Wrigley - 05 budget&amp;calendar LE 050728 (25I) 2" xfId="5602"/>
    <cellStyle name="_Extra media plan 050329_DM 05 budgetplanning TV 050429_Wrigley - 05 budget&amp;calendar R1 050525 (21I) internal formate June 15_Wrigley - 05 budget&amp;calendar LE 050728 (25I)_Category Template AC'11 @Cst Fx 52W vs 53W" xfId="5603"/>
    <cellStyle name="_Extra media plan 050329_DM 05 budgetplanning TV 050429_Wrigley - 05 budget&amp;calendar R1 050525 (21I) internal formate June 15_Wrigley - 05 budget&amp;calendar LE 050728 (25I)_Category Template AC'11 @Cst Fx 52W vs 53W 2" xfId="5604"/>
    <cellStyle name="_Extra media plan 050329_DM 05 budgetplanning TV 050429_Wrigley - 05 budget&amp;calendar R1 050525 (21I) internal formate June 15_Wrigley - 05 budget&amp;calendar LE 050728 (25I)_Category Template AC'11 @Cst Fx 52W vs 53W_P&amp;L KFE" xfId="5605"/>
    <cellStyle name="_Extra media plan 050329_DM 05 budgetplanning TV 050429_Wrigley - 05 budget&amp;calendar R1 050525 (21I) internal formate June 15_Wrigley - 05 budget&amp;calendar LE 050728 (25I)_Category Template AC'11 @Cst Fx 52W vs 53W_Sheet3" xfId="5606"/>
    <cellStyle name="_Extra media plan 050329_DM 05 budgetplanning TV 050429_Wrigley - 05 budget&amp;calendar R1 050525 (21I) internal formate June 15_Wrigley - 05 budget&amp;calendar LE 050728 (25I)_P&amp;L KFE" xfId="5607"/>
    <cellStyle name="_Extra media plan 050329_DM 05 budgetplanning TV 050429_Wrigley - 05 budget&amp;calendar R1 050525 (21I) internal formate June 15_Wrigley - 05 budget&amp;calendar LE 050728 (25I)_Sheet3" xfId="5608"/>
    <cellStyle name="_Extra media plan 050329_DM 05 budgetplanning TV 050429_Wrigley - 05 budget&amp;calendar R1 050525 (21I) internal formate June 15_Wrigley - 05 budget&amp;calendar LE 050728 (25I)_Wrigley - 06 simple chart Sep 14" xfId="5609"/>
    <cellStyle name="_Extra media plan 050329_DM 05 budgetplanning TV 050429_Wrigley - 05 budget&amp;calendar R1 050525 (21I) internal formate June 15_Wrigley - 05 budget&amp;calendar LE 050728 (25I)_Wrigley - 06 simple chart Sep 14 2" xfId="5610"/>
    <cellStyle name="_Extra media plan 050329_DM 05 budgetplanning TV 050429_Wrigley - 05 budget&amp;calendar R1 050525 (21I) internal formate June 15_Wrigley - 05 budget&amp;calendar LE 050728 (25I)_Wrigley - 06 simple chart Sep 14_Category Template AC'11 @Cst Fx 52W vs 53W" xfId="5611"/>
    <cellStyle name="_Extra media plan 050329_DM 05 budgetplanning TV 050429_Wrigley - 05 budget&amp;calendar R1 050525 (21I) internal formate June 15_Wrigley - 05 budget&amp;calendar LE 050728 (25I)_Wrigley - 06 simple chart Sep 14_Category Template AC'11 @Cst Fx 52W vs 53W 2" xfId="5612"/>
    <cellStyle name="_Extra media plan 050329_DM 05 budgetplanning TV 050429_Wrigley - 05 budget&amp;calendar R1 050525 (21I) internal formate June 15_Wrigley - 05 budget&amp;calendar LE 050728 (25I)_Wrigley - 06 simple chart Sep 14_Category Template AC'11 @Cst Fx 52W vs 53W_P&amp;L KFE" xfId="5613"/>
    <cellStyle name="_Extra media plan 050329_DM 05 budgetplanning TV 050429_Wrigley - 05 budget&amp;calendar R1 050525 (21I) internal formate June 15_Wrigley - 05 budget&amp;calendar LE 050728 (25I)_Wrigley - 06 simple chart Sep 14_Category Template AC'11 @Cst Fx 52W vs 53W_Sheet3" xfId="5614"/>
    <cellStyle name="_Extra media plan 050329_DM 05 budgetplanning TV 050429_Wrigley - 05 budget&amp;calendar R1 050525 (21I) internal formate June 15_Wrigley - 05 budget&amp;calendar LE 050728 (25I)_Wrigley - 06 simple chart Sep 14_P&amp;L KFE" xfId="5615"/>
    <cellStyle name="_Extra media plan 050329_DM 05 budgetplanning TV 050429_Wrigley - 05 budget&amp;calendar R1 050525 (21I) internal formate June 15_Wrigley - 05 budget&amp;calendar LE 050728 (25I)_Wrigley - 06 simple chart Sep 14_Sheet3" xfId="5616"/>
    <cellStyle name="_Extra media plan 050329_DM 05 budgetplanning TV 050429_Wrigley - 05 budget&amp;calendar R1 050525 (21I) internal formate June 15_Wrigley - 05 budget&amp;calendar LE 050824 (25F)" xfId="5617"/>
    <cellStyle name="_Extra media plan 050329_DM 05 budgetplanning TV 050429_Wrigley - 05 budget&amp;calendar R1 050525 (21I) internal formate June 15_Wrigley - 05 budget&amp;calendar LE 050824 (25F) 2" xfId="5618"/>
    <cellStyle name="_Extra media plan 050329_DM 05 budgetplanning TV 050429_Wrigley - 05 budget&amp;calendar R1 050525 (21I) internal formate June 15_Wrigley - 05 budget&amp;calendar LE 050824 (25F)_Category Template AC'11 @Cst Fx 52W vs 53W" xfId="5619"/>
    <cellStyle name="_Extra media plan 050329_DM 05 budgetplanning TV 050429_Wrigley - 05 budget&amp;calendar R1 050525 (21I) internal formate June 15_Wrigley - 05 budget&amp;calendar LE 050824 (25F)_Category Template AC'11 @Cst Fx 52W vs 53W 2" xfId="5620"/>
    <cellStyle name="_Extra media plan 050329_DM 05 budgetplanning TV 050429_Wrigley - 05 budget&amp;calendar R1 050525 (21I) internal formate June 15_Wrigley - 05 budget&amp;calendar LE 050824 (25F)_Category Template AC'11 @Cst Fx 52W vs 53W_P&amp;L KFE" xfId="5621"/>
    <cellStyle name="_Extra media plan 050329_DM 05 budgetplanning TV 050429_Wrigley - 05 budget&amp;calendar R1 050525 (21I) internal formate June 15_Wrigley - 05 budget&amp;calendar LE 050824 (25F)_Category Template AC'11 @Cst Fx 52W vs 53W_Sheet3" xfId="5622"/>
    <cellStyle name="_Extra media plan 050329_DM 05 budgetplanning TV 050429_Wrigley - 05 budget&amp;calendar R1 050525 (21I) internal formate June 15_Wrigley - 05 budget&amp;calendar LE 050824 (25F)_P&amp;L KFE" xfId="5623"/>
    <cellStyle name="_Extra media plan 050329_DM 05 budgetplanning TV 050429_Wrigley - 05 budget&amp;calendar R1 050525 (21I) internal formate June 15_Wrigley - 05 budget&amp;calendar LE 050824 (25F)_Sheet3" xfId="5624"/>
    <cellStyle name="_Extra media plan 050329_DM 05 budgetplanning TV 050429_Wrigley - 05 budget&amp;calendar R1 050525 (21I) internal formate June 15_Wrigley - 05 budget&amp;calendar LE 050824 (25F)_Wrigley - 06 simple chart Sep 14" xfId="5625"/>
    <cellStyle name="_Extra media plan 050329_DM 05 budgetplanning TV 050429_Wrigley - 05 budget&amp;calendar R1 050525 (21I) internal formate June 15_Wrigley - 05 budget&amp;calendar LE 050824 (25F)_Wrigley - 06 simple chart Sep 14 2" xfId="5626"/>
    <cellStyle name="_Extra media plan 050329_DM 05 budgetplanning TV 050429_Wrigley - 05 budget&amp;calendar R1 050525 (21I) internal formate June 15_Wrigley - 05 budget&amp;calendar LE 050824 (25F)_Wrigley - 06 simple chart Sep 14_Category Template AC'11 @Cst Fx 52W vs 53W" xfId="5627"/>
    <cellStyle name="_Extra media plan 050329_DM 05 budgetplanning TV 050429_Wrigley - 05 budget&amp;calendar R1 050525 (21I) internal formate June 15_Wrigley - 05 budget&amp;calendar LE 050824 (25F)_Wrigley - 06 simple chart Sep 14_Category Template AC'11 @Cst Fx 52W vs 53W 2" xfId="5628"/>
    <cellStyle name="_Extra media plan 050329_DM 05 budgetplanning TV 050429_Wrigley - 05 budget&amp;calendar R1 050525 (21I) internal formate June 15_Wrigley - 05 budget&amp;calendar LE 050824 (25F)_Wrigley - 06 simple chart Sep 14_Category Template AC'11 @Cst Fx 52W vs 53W_P&amp;L KFE" xfId="5629"/>
    <cellStyle name="_Extra media plan 050329_DM 05 budgetplanning TV 050429_Wrigley - 05 budget&amp;calendar R1 050525 (21I) internal formate June 15_Wrigley - 05 budget&amp;calendar LE 050824 (25F)_Wrigley - 06 simple chart Sep 14_Category Template AC'11 @Cst Fx 52W vs 53W_Sheet3" xfId="5630"/>
    <cellStyle name="_Extra media plan 050329_DM 05 budgetplanning TV 050429_Wrigley - 05 budget&amp;calendar R1 050525 (21I) internal formate June 15_Wrigley - 05 budget&amp;calendar LE 050824 (25F)_Wrigley - 06 simple chart Sep 14_P&amp;L KFE" xfId="5631"/>
    <cellStyle name="_Extra media plan 050329_DM 05 budgetplanning TV 050429_Wrigley - 05 budget&amp;calendar R1 050525 (21I) internal formate June 15_Wrigley - 05 budget&amp;calendar LE 050824 (25F)_Wrigley - 06 simple chart Sep 14_Sheet3" xfId="5632"/>
    <cellStyle name="_Extra media plan 050329_DM 05 budgetplanning TV 050429_Wrigley - 05 budget&amp;calendar R1 050525 (21I) internal formate June 15_Wrigley - 05 budget&amp;calendar LE 050824 (25I)" xfId="5633"/>
    <cellStyle name="_Extra media plan 050329_DM 05 budgetplanning TV 050429_Wrigley - 05 budget&amp;calendar R1 050525 (21I) internal formate June 15_Wrigley - 05 budget&amp;calendar LE 050824 (25I) 2" xfId="5634"/>
    <cellStyle name="_Extra media plan 050329_DM 05 budgetplanning TV 050429_Wrigley - 05 budget&amp;calendar R1 050525 (21I) internal formate June 15_Wrigley - 05 budget&amp;calendar LE 050824 (25I)_Category Template AC'11 @Cst Fx 52W vs 53W" xfId="5635"/>
    <cellStyle name="_Extra media plan 050329_DM 05 budgetplanning TV 050429_Wrigley - 05 budget&amp;calendar R1 050525 (21I) internal formate June 15_Wrigley - 05 budget&amp;calendar LE 050824 (25I)_Category Template AC'11 @Cst Fx 52W vs 53W 2" xfId="5636"/>
    <cellStyle name="_Extra media plan 050329_DM 05 budgetplanning TV 050429_Wrigley - 05 budget&amp;calendar R1 050525 (21I) internal formate June 15_Wrigley - 05 budget&amp;calendar LE 050824 (25I)_Category Template AC'11 @Cst Fx 52W vs 53W_P&amp;L KFE" xfId="5637"/>
    <cellStyle name="_Extra media plan 050329_DM 05 budgetplanning TV 050429_Wrigley - 05 budget&amp;calendar R1 050525 (21I) internal formate June 15_Wrigley - 05 budget&amp;calendar LE 050824 (25I)_Category Template AC'11 @Cst Fx 52W vs 53W_Sheet3" xfId="5638"/>
    <cellStyle name="_Extra media plan 050329_DM 05 budgetplanning TV 050429_Wrigley - 05 budget&amp;calendar R1 050525 (21I) internal formate June 15_Wrigley - 05 budget&amp;calendar LE 050824 (25I)_P&amp;L KFE" xfId="5639"/>
    <cellStyle name="_Extra media plan 050329_DM 05 budgetplanning TV 050429_Wrigley - 05 budget&amp;calendar R1 050525 (21I) internal formate June 15_Wrigley - 05 budget&amp;calendar LE 050824 (25I)_Sheet3" xfId="5640"/>
    <cellStyle name="_Extra media plan 050329_DM 05 budgetplanning TV 050429_Wrigley - 05 budget&amp;calendar R1 050525 (21I) internal formate June 15_Wrigley - 05 budget&amp;calendar LE 050824 (25I)_Wrigley - 06 simple chart Sep 14" xfId="5641"/>
    <cellStyle name="_Extra media plan 050329_DM 05 budgetplanning TV 050429_Wrigley - 05 budget&amp;calendar R1 050525 (21I) internal formate June 15_Wrigley - 05 budget&amp;calendar LE 050824 (25I)_Wrigley - 06 simple chart Sep 14 2" xfId="5642"/>
    <cellStyle name="_Extra media plan 050329_DM 05 budgetplanning TV 050429_Wrigley - 05 budget&amp;calendar R1 050525 (21I) internal formate June 15_Wrigley - 05 budget&amp;calendar LE 050824 (25I)_Wrigley - 06 simple chart Sep 14_Category Template AC'11 @Cst Fx 52W vs 53W" xfId="5643"/>
    <cellStyle name="_Extra media plan 050329_DM 05 budgetplanning TV 050429_Wrigley - 05 budget&amp;calendar R1 050525 (21I) internal formate June 15_Wrigley - 05 budget&amp;calendar LE 050824 (25I)_Wrigley - 06 simple chart Sep 14_Category Template AC'11 @Cst Fx 52W vs 53W 2" xfId="5644"/>
    <cellStyle name="_Extra media plan 050329_DM 05 budgetplanning TV 050429_Wrigley - 05 budget&amp;calendar R1 050525 (21I) internal formate June 15_Wrigley - 05 budget&amp;calendar LE 050824 (25I)_Wrigley - 06 simple chart Sep 14_Category Template AC'11 @Cst Fx 52W vs 53W_P&amp;L KFE" xfId="5645"/>
    <cellStyle name="_Extra media plan 050329_DM 05 budgetplanning TV 050429_Wrigley - 05 budget&amp;calendar R1 050525 (21I) internal formate June 15_Wrigley - 05 budget&amp;calendar LE 050824 (25I)_Wrigley - 06 simple chart Sep 14_Category Template AC'11 @Cst Fx 52W vs 53W_Sheet3" xfId="5646"/>
    <cellStyle name="_Extra media plan 050329_DM 05 budgetplanning TV 050429_Wrigley - 05 budget&amp;calendar R1 050525 (21I) internal formate June 15_Wrigley - 05 budget&amp;calendar LE 050824 (25I)_Wrigley - 06 simple chart Sep 14_P&amp;L KFE" xfId="5647"/>
    <cellStyle name="_Extra media plan 050329_DM 05 budgetplanning TV 050429_Wrigley - 05 budget&amp;calendar R1 050525 (21I) internal formate June 15_Wrigley - 05 budget&amp;calendar LE 050824 (25I)_Wrigley - 06 simple chart Sep 14_Sheet3" xfId="5648"/>
    <cellStyle name="_Extra media plan 050329_DM 05 budgetplanning TV 050429_Wrigley - 05 budget&amp;calendar R1 050525 (21I) internal formate June 15_Wrigley - 06 simple chart Sep 14" xfId="5649"/>
    <cellStyle name="_Extra media plan 050329_DM 05 budgetplanning TV 050429_Wrigley - 05 budget&amp;calendar R1 050525 (21I) internal formate June 15_Wrigley - 06 simple chart Sep 14 2" xfId="5650"/>
    <cellStyle name="_Extra media plan 050329_DM 05 budgetplanning TV 050429_Wrigley - 05 budget&amp;calendar R1 050525 (21I) internal formate June 15_Wrigley - 06 simple chart Sep 14_Category Template AC'11 @Cst Fx 52W vs 53W" xfId="5651"/>
    <cellStyle name="_Extra media plan 050329_DM 05 budgetplanning TV 050429_Wrigley - 05 budget&amp;calendar R1 050525 (21I) internal formate June 15_Wrigley - 06 simple chart Sep 14_Category Template AC'11 @Cst Fx 52W vs 53W 2" xfId="5652"/>
    <cellStyle name="_Extra media plan 050329_DM 05 budgetplanning TV 050429_Wrigley - 05 budget&amp;calendar R1 050525 (21I) internal formate June 15_Wrigley - 06 simple chart Sep 14_Category Template AC'11 @Cst Fx 52W vs 53W_P&amp;L KFE" xfId="5653"/>
    <cellStyle name="_Extra media plan 050329_DM 05 budgetplanning TV 050429_Wrigley - 05 budget&amp;calendar R1 050525 (21I) internal formate June 15_Wrigley - 06 simple chart Sep 14_Category Template AC'11 @Cst Fx 52W vs 53W_Sheet3" xfId="5654"/>
    <cellStyle name="_Extra media plan 050329_DM 05 budgetplanning TV 050429_Wrigley - 05 budget&amp;calendar R1 050525 (21I) internal formate June 15_Wrigley - 06 simple chart Sep 14_P&amp;L KFE" xfId="5655"/>
    <cellStyle name="_Extra media plan 050329_DM 05 budgetplanning TV 050429_Wrigley - 05 budget&amp;calendar R1 050525 (21I) internal formate June 15_Wrigley - 06 simple chart Sep 14_Sheet3" xfId="5656"/>
    <cellStyle name="_Extra media plan 050329_DM 05 budgetplanning TV 050429_Wrigley - 06 simple chart Sep 14" xfId="5657"/>
    <cellStyle name="_Extra media plan 050329_DM 05 budgetplanning TV 050429_Wrigley - 06 simple chart Sep 14 2" xfId="5658"/>
    <cellStyle name="_Extra media plan 050329_DM 05 budgetplanning TV 050429_Wrigley - 06 simple chart Sep 14_Category Template AC'11 @Cst Fx 52W vs 53W" xfId="5659"/>
    <cellStyle name="_Extra media plan 050329_DM 05 budgetplanning TV 050429_Wrigley - 06 simple chart Sep 14_Category Template AC'11 @Cst Fx 52W vs 53W 2" xfId="5660"/>
    <cellStyle name="_Extra media plan 050329_DM 05 budgetplanning TV 050429_Wrigley - 06 simple chart Sep 14_Category Template AC'11 @Cst Fx 52W vs 53W_P&amp;L KFE" xfId="5661"/>
    <cellStyle name="_Extra media plan 050329_DM 05 budgetplanning TV 050429_Wrigley - 06 simple chart Sep 14_Category Template AC'11 @Cst Fx 52W vs 53W_Sheet3" xfId="5662"/>
    <cellStyle name="_Extra media plan 050329_DM 05 budgetplanning TV 050429_Wrigley - 06 simple chart Sep 14_P&amp;L KFE" xfId="5663"/>
    <cellStyle name="_Extra media plan 050329_DM 05 budgetplanning TV 050429_Wrigley - 06 simple chart Sep 14_Sheet3" xfId="5664"/>
    <cellStyle name="_Extra media plan 050329_DM 05 budgetplanning TV 050512" xfId="5665"/>
    <cellStyle name="_Extra media plan 050329_DM 05 budgetplanning TV 050512 2" xfId="5666"/>
    <cellStyle name="_Extra media plan 050329_DM 05 budgetplanning TV 050512_Book5" xfId="5667"/>
    <cellStyle name="_Extra media plan 050329_DM 05 budgetplanning TV 050512_Book5 2" xfId="5668"/>
    <cellStyle name="_Extra media plan 050329_DM 05 budgetplanning TV 050512_Book5_Category Template AC'11 @Cst Fx 52W vs 53W" xfId="5669"/>
    <cellStyle name="_Extra media plan 050329_DM 05 budgetplanning TV 050512_Book5_Category Template AC'11 @Cst Fx 52W vs 53W 2" xfId="5670"/>
    <cellStyle name="_Extra media plan 050329_DM 05 budgetplanning TV 050512_Book5_Category Template AC'11 @Cst Fx 52W vs 53W_P&amp;L KFE" xfId="5671"/>
    <cellStyle name="_Extra media plan 050329_DM 05 budgetplanning TV 050512_Book5_Category Template AC'11 @Cst Fx 52W vs 53W_Sheet3" xfId="5672"/>
    <cellStyle name="_Extra media plan 050329_DM 05 budgetplanning TV 050512_Book5_P&amp;L KFE" xfId="5673"/>
    <cellStyle name="_Extra media plan 050329_DM 05 budgetplanning TV 050512_Book5_Sheet3" xfId="5674"/>
    <cellStyle name="_Extra media plan 050329_DM 05 budgetplanning TV 050512_CA Masterflow June 15a" xfId="5675"/>
    <cellStyle name="_Extra media plan 050329_DM 05 budgetplanning TV 050512_CA Masterflow June 15a 2" xfId="5676"/>
    <cellStyle name="_Extra media plan 050329_DM 05 budgetplanning TV 050512_CA Masterflow June 15a_Book5" xfId="5677"/>
    <cellStyle name="_Extra media plan 050329_DM 05 budgetplanning TV 050512_CA Masterflow June 15a_Book5 2" xfId="5678"/>
    <cellStyle name="_Extra media plan 050329_DM 05 budgetplanning TV 050512_CA Masterflow June 15a_Book5_Category Template AC'11 @Cst Fx 52W vs 53W" xfId="5679"/>
    <cellStyle name="_Extra media plan 050329_DM 05 budgetplanning TV 050512_CA Masterflow June 15a_Book5_Category Template AC'11 @Cst Fx 52W vs 53W 2" xfId="5680"/>
    <cellStyle name="_Extra media plan 050329_DM 05 budgetplanning TV 050512_CA Masterflow June 15a_Book5_Category Template AC'11 @Cst Fx 52W vs 53W_P&amp;L KFE" xfId="5681"/>
    <cellStyle name="_Extra media plan 050329_DM 05 budgetplanning TV 050512_CA Masterflow June 15a_Book5_Category Template AC'11 @Cst Fx 52W vs 53W_Sheet3" xfId="5682"/>
    <cellStyle name="_Extra media plan 050329_DM 05 budgetplanning TV 050512_CA Masterflow June 15a_Book5_P&amp;L KFE" xfId="5683"/>
    <cellStyle name="_Extra media plan 050329_DM 05 budgetplanning TV 050512_CA Masterflow June 15a_Book5_Sheet3" xfId="5684"/>
    <cellStyle name="_Extra media plan 050329_DM 05 budgetplanning TV 050512_CA Masterflow June 15a_Category Template AC'11 @Cst Fx 52W vs 53W" xfId="5685"/>
    <cellStyle name="_Extra media plan 050329_DM 05 budgetplanning TV 050512_CA Masterflow June 15a_Category Template AC'11 @Cst Fx 52W vs 53W 2" xfId="5686"/>
    <cellStyle name="_Extra media plan 050329_DM 05 budgetplanning TV 050512_CA Masterflow June 15a_Category Template AC'11 @Cst Fx 52W vs 53W_P&amp;L KFE" xfId="5687"/>
    <cellStyle name="_Extra media plan 050329_DM 05 budgetplanning TV 050512_CA Masterflow June 15a_Category Template AC'11 @Cst Fx 52W vs 53W_Sheet3" xfId="5688"/>
    <cellStyle name="_Extra media plan 050329_DM 05 budgetplanning TV 050512_CA Masterflow June 15a_P&amp;L KFE" xfId="5689"/>
    <cellStyle name="_Extra media plan 050329_DM 05 budgetplanning TV 050512_CA Masterflow June 15a_Sheet3" xfId="5690"/>
    <cellStyle name="_Extra media plan 050329_DM 05 budgetplanning TV 050512_CA Masterflow June 15a_Wrigley - 05 budget&amp;calendar LE 050728 (25I)" xfId="5691"/>
    <cellStyle name="_Extra media plan 050329_DM 05 budgetplanning TV 050512_CA Masterflow June 15a_Wrigley - 05 budget&amp;calendar LE 050728 (25I) 2" xfId="5692"/>
    <cellStyle name="_Extra media plan 050329_DM 05 budgetplanning TV 050512_CA Masterflow June 15a_Wrigley - 05 budget&amp;calendar LE 050728 (25I)_Category Template AC'11 @Cst Fx 52W vs 53W" xfId="5693"/>
    <cellStyle name="_Extra media plan 050329_DM 05 budgetplanning TV 050512_CA Masterflow June 15a_Wrigley - 05 budget&amp;calendar LE 050728 (25I)_Category Template AC'11 @Cst Fx 52W vs 53W 2" xfId="5694"/>
    <cellStyle name="_Extra media plan 050329_DM 05 budgetplanning TV 050512_CA Masterflow June 15a_Wrigley - 05 budget&amp;calendar LE 050728 (25I)_Category Template AC'11 @Cst Fx 52W vs 53W_P&amp;L KFE" xfId="5695"/>
    <cellStyle name="_Extra media plan 050329_DM 05 budgetplanning TV 050512_CA Masterflow June 15a_Wrigley - 05 budget&amp;calendar LE 050728 (25I)_Category Template AC'11 @Cst Fx 52W vs 53W_Sheet3" xfId="5696"/>
    <cellStyle name="_Extra media plan 050329_DM 05 budgetplanning TV 050512_CA Masterflow June 15a_Wrigley - 05 budget&amp;calendar LE 050728 (25I)_P&amp;L KFE" xfId="5697"/>
    <cellStyle name="_Extra media plan 050329_DM 05 budgetplanning TV 050512_CA Masterflow June 15a_Wrigley - 05 budget&amp;calendar LE 050728 (25I)_Sheet3" xfId="5698"/>
    <cellStyle name="_Extra media plan 050329_DM 05 budgetplanning TV 050512_CA Masterflow June 15a_Wrigley - 05 budget&amp;calendar LE 050728 (25I)_Wrigley - 06 simple chart Sep 14" xfId="5699"/>
    <cellStyle name="_Extra media plan 050329_DM 05 budgetplanning TV 050512_CA Masterflow June 15a_Wrigley - 05 budget&amp;calendar LE 050728 (25I)_Wrigley - 06 simple chart Sep 14 2" xfId="5700"/>
    <cellStyle name="_Extra media plan 050329_DM 05 budgetplanning TV 050512_CA Masterflow June 15a_Wrigley - 05 budget&amp;calendar LE 050728 (25I)_Wrigley - 06 simple chart Sep 14_Category Template AC'11 @Cst Fx 52W vs 53W" xfId="5701"/>
    <cellStyle name="_Extra media plan 050329_DM 05 budgetplanning TV 050512_CA Masterflow June 15a_Wrigley - 05 budget&amp;calendar LE 050728 (25I)_Wrigley - 06 simple chart Sep 14_Category Template AC'11 @Cst Fx 52W vs 53W 2" xfId="5702"/>
    <cellStyle name="_Extra media plan 050329_DM 05 budgetplanning TV 050512_CA Masterflow June 15a_Wrigley - 05 budget&amp;calendar LE 050728 (25I)_Wrigley - 06 simple chart Sep 14_Category Template AC'11 @Cst Fx 52W vs 53W_P&amp;L KFE" xfId="5703"/>
    <cellStyle name="_Extra media plan 050329_DM 05 budgetplanning TV 050512_CA Masterflow June 15a_Wrigley - 05 budget&amp;calendar LE 050728 (25I)_Wrigley - 06 simple chart Sep 14_Category Template AC'11 @Cst Fx 52W vs 53W_Sheet3" xfId="5704"/>
    <cellStyle name="_Extra media plan 050329_DM 05 budgetplanning TV 050512_CA Masterflow June 15a_Wrigley - 05 budget&amp;calendar LE 050728 (25I)_Wrigley - 06 simple chart Sep 14_P&amp;L KFE" xfId="5705"/>
    <cellStyle name="_Extra media plan 050329_DM 05 budgetplanning TV 050512_CA Masterflow June 15a_Wrigley - 05 budget&amp;calendar LE 050728 (25I)_Wrigley - 06 simple chart Sep 14_Sheet3" xfId="5706"/>
    <cellStyle name="_Extra media plan 050329_DM 05 budgetplanning TV 050512_CA Masterflow June 15a_Wrigley - 05 budget&amp;calendar LE 050824 (25F)" xfId="5707"/>
    <cellStyle name="_Extra media plan 050329_DM 05 budgetplanning TV 050512_CA Masterflow June 15a_Wrigley - 05 budget&amp;calendar LE 050824 (25F) 2" xfId="5708"/>
    <cellStyle name="_Extra media plan 050329_DM 05 budgetplanning TV 050512_CA Masterflow June 15a_Wrigley - 05 budget&amp;calendar LE 050824 (25F)_Category Template AC'11 @Cst Fx 52W vs 53W" xfId="5709"/>
    <cellStyle name="_Extra media plan 050329_DM 05 budgetplanning TV 050512_CA Masterflow June 15a_Wrigley - 05 budget&amp;calendar LE 050824 (25F)_Category Template AC'11 @Cst Fx 52W vs 53W 2" xfId="5710"/>
    <cellStyle name="_Extra media plan 050329_DM 05 budgetplanning TV 050512_CA Masterflow June 15a_Wrigley - 05 budget&amp;calendar LE 050824 (25F)_Category Template AC'11 @Cst Fx 52W vs 53W_P&amp;L KFE" xfId="5711"/>
    <cellStyle name="_Extra media plan 050329_DM 05 budgetplanning TV 050512_CA Masterflow June 15a_Wrigley - 05 budget&amp;calendar LE 050824 (25F)_Category Template AC'11 @Cst Fx 52W vs 53W_Sheet3" xfId="5712"/>
    <cellStyle name="_Extra media plan 050329_DM 05 budgetplanning TV 050512_CA Masterflow June 15a_Wrigley - 05 budget&amp;calendar LE 050824 (25F)_P&amp;L KFE" xfId="5713"/>
    <cellStyle name="_Extra media plan 050329_DM 05 budgetplanning TV 050512_CA Masterflow June 15a_Wrigley - 05 budget&amp;calendar LE 050824 (25F)_Sheet3" xfId="5714"/>
    <cellStyle name="_Extra media plan 050329_DM 05 budgetplanning TV 050512_CA Masterflow June 15a_Wrigley - 05 budget&amp;calendar LE 050824 (25F)_Wrigley - 06 simple chart Sep 14" xfId="5715"/>
    <cellStyle name="_Extra media plan 050329_DM 05 budgetplanning TV 050512_CA Masterflow June 15a_Wrigley - 05 budget&amp;calendar LE 050824 (25F)_Wrigley - 06 simple chart Sep 14 2" xfId="5716"/>
    <cellStyle name="_Extra media plan 050329_DM 05 budgetplanning TV 050512_CA Masterflow June 15a_Wrigley - 05 budget&amp;calendar LE 050824 (25F)_Wrigley - 06 simple chart Sep 14_Category Template AC'11 @Cst Fx 52W vs 53W" xfId="5717"/>
    <cellStyle name="_Extra media plan 050329_DM 05 budgetplanning TV 050512_CA Masterflow June 15a_Wrigley - 05 budget&amp;calendar LE 050824 (25F)_Wrigley - 06 simple chart Sep 14_Category Template AC'11 @Cst Fx 52W vs 53W 2" xfId="5718"/>
    <cellStyle name="_Extra media plan 050329_DM 05 budgetplanning TV 050512_CA Masterflow June 15a_Wrigley - 05 budget&amp;calendar LE 050824 (25F)_Wrigley - 06 simple chart Sep 14_Category Template AC'11 @Cst Fx 52W vs 53W_P&amp;L KFE" xfId="5719"/>
    <cellStyle name="_Extra media plan 050329_DM 05 budgetplanning TV 050512_CA Masterflow June 15a_Wrigley - 05 budget&amp;calendar LE 050824 (25F)_Wrigley - 06 simple chart Sep 14_Category Template AC'11 @Cst Fx 52W vs 53W_Sheet3" xfId="5720"/>
    <cellStyle name="_Extra media plan 050329_DM 05 budgetplanning TV 050512_CA Masterflow June 15a_Wrigley - 05 budget&amp;calendar LE 050824 (25F)_Wrigley - 06 simple chart Sep 14_P&amp;L KFE" xfId="5721"/>
    <cellStyle name="_Extra media plan 050329_DM 05 budgetplanning TV 050512_CA Masterflow June 15a_Wrigley - 05 budget&amp;calendar LE 050824 (25F)_Wrigley - 06 simple chart Sep 14_Sheet3" xfId="5722"/>
    <cellStyle name="_Extra media plan 050329_DM 05 budgetplanning TV 050512_CA Masterflow June 15a_Wrigley - 05 budget&amp;calendar LE 050824 (25I)" xfId="5723"/>
    <cellStyle name="_Extra media plan 050329_DM 05 budgetplanning TV 050512_CA Masterflow June 15a_Wrigley - 05 budget&amp;calendar LE 050824 (25I) 2" xfId="5724"/>
    <cellStyle name="_Extra media plan 050329_DM 05 budgetplanning TV 050512_CA Masterflow June 15a_Wrigley - 05 budget&amp;calendar LE 050824 (25I)_Category Template AC'11 @Cst Fx 52W vs 53W" xfId="5725"/>
    <cellStyle name="_Extra media plan 050329_DM 05 budgetplanning TV 050512_CA Masterflow June 15a_Wrigley - 05 budget&amp;calendar LE 050824 (25I)_Category Template AC'11 @Cst Fx 52W vs 53W 2" xfId="5726"/>
    <cellStyle name="_Extra media plan 050329_DM 05 budgetplanning TV 050512_CA Masterflow June 15a_Wrigley - 05 budget&amp;calendar LE 050824 (25I)_Category Template AC'11 @Cst Fx 52W vs 53W_P&amp;L KFE" xfId="5727"/>
    <cellStyle name="_Extra media plan 050329_DM 05 budgetplanning TV 050512_CA Masterflow June 15a_Wrigley - 05 budget&amp;calendar LE 050824 (25I)_Category Template AC'11 @Cst Fx 52W vs 53W_Sheet3" xfId="5728"/>
    <cellStyle name="_Extra media plan 050329_DM 05 budgetplanning TV 050512_CA Masterflow June 15a_Wrigley - 05 budget&amp;calendar LE 050824 (25I)_P&amp;L KFE" xfId="5729"/>
    <cellStyle name="_Extra media plan 050329_DM 05 budgetplanning TV 050512_CA Masterflow June 15a_Wrigley - 05 budget&amp;calendar LE 050824 (25I)_Sheet3" xfId="5730"/>
    <cellStyle name="_Extra media plan 050329_DM 05 budgetplanning TV 050512_CA Masterflow June 15a_Wrigley - 05 budget&amp;calendar LE 050824 (25I)_Wrigley - 06 simple chart Sep 14" xfId="5731"/>
    <cellStyle name="_Extra media plan 050329_DM 05 budgetplanning TV 050512_CA Masterflow June 15a_Wrigley - 05 budget&amp;calendar LE 050824 (25I)_Wrigley - 06 simple chart Sep 14 2" xfId="5732"/>
    <cellStyle name="_Extra media plan 050329_DM 05 budgetplanning TV 050512_CA Masterflow June 15a_Wrigley - 05 budget&amp;calendar LE 050824 (25I)_Wrigley - 06 simple chart Sep 14_Category Template AC'11 @Cst Fx 52W vs 53W" xfId="5733"/>
    <cellStyle name="_Extra media plan 050329_DM 05 budgetplanning TV 050512_CA Masterflow June 15a_Wrigley - 05 budget&amp;calendar LE 050824 (25I)_Wrigley - 06 simple chart Sep 14_Category Template AC'11 @Cst Fx 52W vs 53W 2" xfId="5734"/>
    <cellStyle name="_Extra media plan 050329_DM 05 budgetplanning TV 050512_CA Masterflow June 15a_Wrigley - 05 budget&amp;calendar LE 050824 (25I)_Wrigley - 06 simple chart Sep 14_Category Template AC'11 @Cst Fx 52W vs 53W_P&amp;L KFE" xfId="5735"/>
    <cellStyle name="_Extra media plan 050329_DM 05 budgetplanning TV 050512_CA Masterflow June 15a_Wrigley - 05 budget&amp;calendar LE 050824 (25I)_Wrigley - 06 simple chart Sep 14_Category Template AC'11 @Cst Fx 52W vs 53W_Sheet3" xfId="5736"/>
    <cellStyle name="_Extra media plan 050329_DM 05 budgetplanning TV 050512_CA Masterflow June 15a_Wrigley - 05 budget&amp;calendar LE 050824 (25I)_Wrigley - 06 simple chart Sep 14_P&amp;L KFE" xfId="5737"/>
    <cellStyle name="_Extra media plan 050329_DM 05 budgetplanning TV 050512_CA Masterflow June 15a_Wrigley - 05 budget&amp;calendar LE 050824 (25I)_Wrigley - 06 simple chart Sep 14_Sheet3" xfId="5738"/>
    <cellStyle name="_Extra media plan 050329_DM 05 budgetplanning TV 050512_CA Masterflow June 15a_Wrigley - 06 simple chart Sep 14" xfId="5739"/>
    <cellStyle name="_Extra media plan 050329_DM 05 budgetplanning TV 050512_CA Masterflow June 15a_Wrigley - 06 simple chart Sep 14 2" xfId="5740"/>
    <cellStyle name="_Extra media plan 050329_DM 05 budgetplanning TV 050512_CA Masterflow June 15a_Wrigley - 06 simple chart Sep 14_Category Template AC'11 @Cst Fx 52W vs 53W" xfId="5741"/>
    <cellStyle name="_Extra media plan 050329_DM 05 budgetplanning TV 050512_CA Masterflow June 15a_Wrigley - 06 simple chart Sep 14_Category Template AC'11 @Cst Fx 52W vs 53W 2" xfId="5742"/>
    <cellStyle name="_Extra media plan 050329_DM 05 budgetplanning TV 050512_CA Masterflow June 15a_Wrigley - 06 simple chart Sep 14_Category Template AC'11 @Cst Fx 52W vs 53W_P&amp;L KFE" xfId="5743"/>
    <cellStyle name="_Extra media plan 050329_DM 05 budgetplanning TV 050512_CA Masterflow June 15a_Wrigley - 06 simple chart Sep 14_Category Template AC'11 @Cst Fx 52W vs 53W_Sheet3" xfId="5744"/>
    <cellStyle name="_Extra media plan 050329_DM 05 budgetplanning TV 050512_CA Masterflow June 15a_Wrigley - 06 simple chart Sep 14_P&amp;L KFE" xfId="5745"/>
    <cellStyle name="_Extra media plan 050329_DM 05 budgetplanning TV 050512_CA Masterflow June 15a_Wrigley - 06 simple chart Sep 14_Sheet3" xfId="5746"/>
    <cellStyle name="_Extra media plan 050329_DM 05 budgetplanning TV 050512_Category Template AC'11 @Cst Fx 52W vs 53W" xfId="5747"/>
    <cellStyle name="_Extra media plan 050329_DM 05 budgetplanning TV 050512_Category Template AC'11 @Cst Fx 52W vs 53W 2" xfId="5748"/>
    <cellStyle name="_Extra media plan 050329_DM 05 budgetplanning TV 050512_Category Template AC'11 @Cst Fx 52W vs 53W_P&amp;L KFE" xfId="5749"/>
    <cellStyle name="_Extra media plan 050329_DM 05 budgetplanning TV 050512_Category Template AC'11 @Cst Fx 52W vs 53W_Sheet3" xfId="5750"/>
    <cellStyle name="_Extra media plan 050329_DM 05 budgetplanning TV 050512_CG Masterflow June 15a" xfId="5751"/>
    <cellStyle name="_Extra media plan 050329_DM 05 budgetplanning TV 050512_CG Masterflow June 15a 2" xfId="5752"/>
    <cellStyle name="_Extra media plan 050329_DM 05 budgetplanning TV 050512_CG Masterflow June 15a_Book5" xfId="5753"/>
    <cellStyle name="_Extra media plan 050329_DM 05 budgetplanning TV 050512_CG Masterflow June 15a_Book5 2" xfId="5754"/>
    <cellStyle name="_Extra media plan 050329_DM 05 budgetplanning TV 050512_CG Masterflow June 15a_Book5_Category Template AC'11 @Cst Fx 52W vs 53W" xfId="5755"/>
    <cellStyle name="_Extra media plan 050329_DM 05 budgetplanning TV 050512_CG Masterflow June 15a_Book5_Category Template AC'11 @Cst Fx 52W vs 53W 2" xfId="5756"/>
    <cellStyle name="_Extra media plan 050329_DM 05 budgetplanning TV 050512_CG Masterflow June 15a_Book5_Category Template AC'11 @Cst Fx 52W vs 53W_P&amp;L KFE" xfId="5757"/>
    <cellStyle name="_Extra media plan 050329_DM 05 budgetplanning TV 050512_CG Masterflow June 15a_Book5_Category Template AC'11 @Cst Fx 52W vs 53W_Sheet3" xfId="5758"/>
    <cellStyle name="_Extra media plan 050329_DM 05 budgetplanning TV 050512_CG Masterflow June 15a_Book5_P&amp;L KFE" xfId="5759"/>
    <cellStyle name="_Extra media plan 050329_DM 05 budgetplanning TV 050512_CG Masterflow June 15a_Book5_Sheet3" xfId="5760"/>
    <cellStyle name="_Extra media plan 050329_DM 05 budgetplanning TV 050512_CG Masterflow June 15a_Category Template AC'11 @Cst Fx 52W vs 53W" xfId="5761"/>
    <cellStyle name="_Extra media plan 050329_DM 05 budgetplanning TV 050512_CG Masterflow June 15a_Category Template AC'11 @Cst Fx 52W vs 53W 2" xfId="5762"/>
    <cellStyle name="_Extra media plan 050329_DM 05 budgetplanning TV 050512_CG Masterflow June 15a_Category Template AC'11 @Cst Fx 52W vs 53W_P&amp;L KFE" xfId="5763"/>
    <cellStyle name="_Extra media plan 050329_DM 05 budgetplanning TV 050512_CG Masterflow June 15a_Category Template AC'11 @Cst Fx 52W vs 53W_Sheet3" xfId="5764"/>
    <cellStyle name="_Extra media plan 050329_DM 05 budgetplanning TV 050512_CG Masterflow June 15a_P&amp;L KFE" xfId="5765"/>
    <cellStyle name="_Extra media plan 050329_DM 05 budgetplanning TV 050512_CG Masterflow June 15a_Sheet3" xfId="5766"/>
    <cellStyle name="_Extra media plan 050329_DM 05 budgetplanning TV 050512_CG Masterflow June 15a_Wrigley - 05 budget&amp;calendar LE 050728 (25I)" xfId="5767"/>
    <cellStyle name="_Extra media plan 050329_DM 05 budgetplanning TV 050512_CG Masterflow June 15a_Wrigley - 05 budget&amp;calendar LE 050728 (25I) 2" xfId="5768"/>
    <cellStyle name="_Extra media plan 050329_DM 05 budgetplanning TV 050512_CG Masterflow June 15a_Wrigley - 05 budget&amp;calendar LE 050728 (25I)_Category Template AC'11 @Cst Fx 52W vs 53W" xfId="5769"/>
    <cellStyle name="_Extra media plan 050329_DM 05 budgetplanning TV 050512_CG Masterflow June 15a_Wrigley - 05 budget&amp;calendar LE 050728 (25I)_Category Template AC'11 @Cst Fx 52W vs 53W 2" xfId="5770"/>
    <cellStyle name="_Extra media plan 050329_DM 05 budgetplanning TV 050512_CG Masterflow June 15a_Wrigley - 05 budget&amp;calendar LE 050728 (25I)_Category Template AC'11 @Cst Fx 52W vs 53W_P&amp;L KFE" xfId="5771"/>
    <cellStyle name="_Extra media plan 050329_DM 05 budgetplanning TV 050512_CG Masterflow June 15a_Wrigley - 05 budget&amp;calendar LE 050728 (25I)_Category Template AC'11 @Cst Fx 52W vs 53W_Sheet3" xfId="5772"/>
    <cellStyle name="_Extra media plan 050329_DM 05 budgetplanning TV 050512_CG Masterflow June 15a_Wrigley - 05 budget&amp;calendar LE 050728 (25I)_P&amp;L KFE" xfId="5773"/>
    <cellStyle name="_Extra media plan 050329_DM 05 budgetplanning TV 050512_CG Masterflow June 15a_Wrigley - 05 budget&amp;calendar LE 050728 (25I)_Sheet3" xfId="5774"/>
    <cellStyle name="_Extra media plan 050329_DM 05 budgetplanning TV 050512_CG Masterflow June 15a_Wrigley - 05 budget&amp;calendar LE 050728 (25I)_Wrigley - 06 simple chart Sep 14" xfId="5775"/>
    <cellStyle name="_Extra media plan 050329_DM 05 budgetplanning TV 050512_CG Masterflow June 15a_Wrigley - 05 budget&amp;calendar LE 050728 (25I)_Wrigley - 06 simple chart Sep 14 2" xfId="5776"/>
    <cellStyle name="_Extra media plan 050329_DM 05 budgetplanning TV 050512_CG Masterflow June 15a_Wrigley - 05 budget&amp;calendar LE 050728 (25I)_Wrigley - 06 simple chart Sep 14_Category Template AC'11 @Cst Fx 52W vs 53W" xfId="5777"/>
    <cellStyle name="_Extra media plan 050329_DM 05 budgetplanning TV 050512_CG Masterflow June 15a_Wrigley - 05 budget&amp;calendar LE 050728 (25I)_Wrigley - 06 simple chart Sep 14_Category Template AC'11 @Cst Fx 52W vs 53W 2" xfId="5778"/>
    <cellStyle name="_Extra media plan 050329_DM 05 budgetplanning TV 050512_CG Masterflow June 15a_Wrigley - 05 budget&amp;calendar LE 050728 (25I)_Wrigley - 06 simple chart Sep 14_Category Template AC'11 @Cst Fx 52W vs 53W_P&amp;L KFE" xfId="5779"/>
    <cellStyle name="_Extra media plan 050329_DM 05 budgetplanning TV 050512_CG Masterflow June 15a_Wrigley - 05 budget&amp;calendar LE 050728 (25I)_Wrigley - 06 simple chart Sep 14_Category Template AC'11 @Cst Fx 52W vs 53W_Sheet3" xfId="5780"/>
    <cellStyle name="_Extra media plan 050329_DM 05 budgetplanning TV 050512_CG Masterflow June 15a_Wrigley - 05 budget&amp;calendar LE 050728 (25I)_Wrigley - 06 simple chart Sep 14_P&amp;L KFE" xfId="5781"/>
    <cellStyle name="_Extra media plan 050329_DM 05 budgetplanning TV 050512_CG Masterflow June 15a_Wrigley - 05 budget&amp;calendar LE 050728 (25I)_Wrigley - 06 simple chart Sep 14_Sheet3" xfId="5782"/>
    <cellStyle name="_Extra media plan 050329_DM 05 budgetplanning TV 050512_CG Masterflow June 15a_Wrigley - 05 budget&amp;calendar LE 050824 (25F)" xfId="5783"/>
    <cellStyle name="_Extra media plan 050329_DM 05 budgetplanning TV 050512_CG Masterflow June 15a_Wrigley - 05 budget&amp;calendar LE 050824 (25F) 2" xfId="5784"/>
    <cellStyle name="_Extra media plan 050329_DM 05 budgetplanning TV 050512_CG Masterflow June 15a_Wrigley - 05 budget&amp;calendar LE 050824 (25F)_Category Template AC'11 @Cst Fx 52W vs 53W" xfId="5785"/>
    <cellStyle name="_Extra media plan 050329_DM 05 budgetplanning TV 050512_CG Masterflow June 15a_Wrigley - 05 budget&amp;calendar LE 050824 (25F)_Category Template AC'11 @Cst Fx 52W vs 53W 2" xfId="5786"/>
    <cellStyle name="_Extra media plan 050329_DM 05 budgetplanning TV 050512_CG Masterflow June 15a_Wrigley - 05 budget&amp;calendar LE 050824 (25F)_Category Template AC'11 @Cst Fx 52W vs 53W_P&amp;L KFE" xfId="5787"/>
    <cellStyle name="_Extra media plan 050329_DM 05 budgetplanning TV 050512_CG Masterflow June 15a_Wrigley - 05 budget&amp;calendar LE 050824 (25F)_Category Template AC'11 @Cst Fx 52W vs 53W_Sheet3" xfId="5788"/>
    <cellStyle name="_Extra media plan 050329_DM 05 budgetplanning TV 050512_CG Masterflow June 15a_Wrigley - 05 budget&amp;calendar LE 050824 (25F)_P&amp;L KFE" xfId="5789"/>
    <cellStyle name="_Extra media plan 050329_DM 05 budgetplanning TV 050512_CG Masterflow June 15a_Wrigley - 05 budget&amp;calendar LE 050824 (25F)_Sheet3" xfId="5790"/>
    <cellStyle name="_Extra media plan 050329_DM 05 budgetplanning TV 050512_CG Masterflow June 15a_Wrigley - 05 budget&amp;calendar LE 050824 (25F)_Wrigley - 06 simple chart Sep 14" xfId="5791"/>
    <cellStyle name="_Extra media plan 050329_DM 05 budgetplanning TV 050512_CG Masterflow June 15a_Wrigley - 05 budget&amp;calendar LE 050824 (25F)_Wrigley - 06 simple chart Sep 14 2" xfId="5792"/>
    <cellStyle name="_Extra media plan 050329_DM 05 budgetplanning TV 050512_CG Masterflow June 15a_Wrigley - 05 budget&amp;calendar LE 050824 (25F)_Wrigley - 06 simple chart Sep 14_Category Template AC'11 @Cst Fx 52W vs 53W" xfId="5793"/>
    <cellStyle name="_Extra media plan 050329_DM 05 budgetplanning TV 050512_CG Masterflow June 15a_Wrigley - 05 budget&amp;calendar LE 050824 (25F)_Wrigley - 06 simple chart Sep 14_Category Template AC'11 @Cst Fx 52W vs 53W 2" xfId="5794"/>
    <cellStyle name="_Extra media plan 050329_DM 05 budgetplanning TV 050512_CG Masterflow June 15a_Wrigley - 05 budget&amp;calendar LE 050824 (25F)_Wrigley - 06 simple chart Sep 14_Category Template AC'11 @Cst Fx 52W vs 53W_P&amp;L KFE" xfId="5795"/>
    <cellStyle name="_Extra media plan 050329_DM 05 budgetplanning TV 050512_CG Masterflow June 15a_Wrigley - 05 budget&amp;calendar LE 050824 (25F)_Wrigley - 06 simple chart Sep 14_Category Template AC'11 @Cst Fx 52W vs 53W_Sheet3" xfId="5796"/>
    <cellStyle name="_Extra media plan 050329_DM 05 budgetplanning TV 050512_CG Masterflow June 15a_Wrigley - 05 budget&amp;calendar LE 050824 (25F)_Wrigley - 06 simple chart Sep 14_P&amp;L KFE" xfId="5797"/>
    <cellStyle name="_Extra media plan 050329_DM 05 budgetplanning TV 050512_CG Masterflow June 15a_Wrigley - 05 budget&amp;calendar LE 050824 (25F)_Wrigley - 06 simple chart Sep 14_Sheet3" xfId="5798"/>
    <cellStyle name="_Extra media plan 050329_DM 05 budgetplanning TV 050512_CG Masterflow June 15a_Wrigley - 05 budget&amp;calendar LE 050824 (25I)" xfId="5799"/>
    <cellStyle name="_Extra media plan 050329_DM 05 budgetplanning TV 050512_CG Masterflow June 15a_Wrigley - 05 budget&amp;calendar LE 050824 (25I) 2" xfId="5800"/>
    <cellStyle name="_Extra media plan 050329_DM 05 budgetplanning TV 050512_CG Masterflow June 15a_Wrigley - 05 budget&amp;calendar LE 050824 (25I)_Category Template AC'11 @Cst Fx 52W vs 53W" xfId="5801"/>
    <cellStyle name="_Extra media plan 050329_DM 05 budgetplanning TV 050512_CG Masterflow June 15a_Wrigley - 05 budget&amp;calendar LE 050824 (25I)_Category Template AC'11 @Cst Fx 52W vs 53W 2" xfId="5802"/>
    <cellStyle name="_Extra media plan 050329_DM 05 budgetplanning TV 050512_CG Masterflow June 15a_Wrigley - 05 budget&amp;calendar LE 050824 (25I)_Category Template AC'11 @Cst Fx 52W vs 53W_P&amp;L KFE" xfId="5803"/>
    <cellStyle name="_Extra media plan 050329_DM 05 budgetplanning TV 050512_CG Masterflow June 15a_Wrigley - 05 budget&amp;calendar LE 050824 (25I)_Category Template AC'11 @Cst Fx 52W vs 53W_Sheet3" xfId="5804"/>
    <cellStyle name="_Extra media plan 050329_DM 05 budgetplanning TV 050512_CG Masterflow June 15a_Wrigley - 05 budget&amp;calendar LE 050824 (25I)_P&amp;L KFE" xfId="5805"/>
    <cellStyle name="_Extra media plan 050329_DM 05 budgetplanning TV 050512_CG Masterflow June 15a_Wrigley - 05 budget&amp;calendar LE 050824 (25I)_Sheet3" xfId="5806"/>
    <cellStyle name="_Extra media plan 050329_DM 05 budgetplanning TV 050512_CG Masterflow June 15a_Wrigley - 05 budget&amp;calendar LE 050824 (25I)_Wrigley - 06 simple chart Sep 14" xfId="5807"/>
    <cellStyle name="_Extra media plan 050329_DM 05 budgetplanning TV 050512_CG Masterflow June 15a_Wrigley - 05 budget&amp;calendar LE 050824 (25I)_Wrigley - 06 simple chart Sep 14 2" xfId="5808"/>
    <cellStyle name="_Extra media plan 050329_DM 05 budgetplanning TV 050512_CG Masterflow June 15a_Wrigley - 05 budget&amp;calendar LE 050824 (25I)_Wrigley - 06 simple chart Sep 14_Category Template AC'11 @Cst Fx 52W vs 53W" xfId="5809"/>
    <cellStyle name="_Extra media plan 050329_DM 05 budgetplanning TV 050512_CG Masterflow June 15a_Wrigley - 05 budget&amp;calendar LE 050824 (25I)_Wrigley - 06 simple chart Sep 14_Category Template AC'11 @Cst Fx 52W vs 53W 2" xfId="5810"/>
    <cellStyle name="_Extra media plan 050329_DM 05 budgetplanning TV 050512_CG Masterflow June 15a_Wrigley - 05 budget&amp;calendar LE 050824 (25I)_Wrigley - 06 simple chart Sep 14_Category Template AC'11 @Cst Fx 52W vs 53W_P&amp;L KFE" xfId="5811"/>
    <cellStyle name="_Extra media plan 050329_DM 05 budgetplanning TV 050512_CG Masterflow June 15a_Wrigley - 05 budget&amp;calendar LE 050824 (25I)_Wrigley - 06 simple chart Sep 14_Category Template AC'11 @Cst Fx 52W vs 53W_Sheet3" xfId="5812"/>
    <cellStyle name="_Extra media plan 050329_DM 05 budgetplanning TV 050512_CG Masterflow June 15a_Wrigley - 05 budget&amp;calendar LE 050824 (25I)_Wrigley - 06 simple chart Sep 14_P&amp;L KFE" xfId="5813"/>
    <cellStyle name="_Extra media plan 050329_DM 05 budgetplanning TV 050512_CG Masterflow June 15a_Wrigley - 05 budget&amp;calendar LE 050824 (25I)_Wrigley - 06 simple chart Sep 14_Sheet3" xfId="5814"/>
    <cellStyle name="_Extra media plan 050329_DM 05 budgetplanning TV 050512_CG Masterflow June 15a_Wrigley - 06 simple chart Sep 14" xfId="5815"/>
    <cellStyle name="_Extra media plan 050329_DM 05 budgetplanning TV 050512_CG Masterflow June 15a_Wrigley - 06 simple chart Sep 14 2" xfId="5816"/>
    <cellStyle name="_Extra media plan 050329_DM 05 budgetplanning TV 050512_CG Masterflow June 15a_Wrigley - 06 simple chart Sep 14_Category Template AC'11 @Cst Fx 52W vs 53W" xfId="5817"/>
    <cellStyle name="_Extra media plan 050329_DM 05 budgetplanning TV 050512_CG Masterflow June 15a_Wrigley - 06 simple chart Sep 14_Category Template AC'11 @Cst Fx 52W vs 53W 2" xfId="5818"/>
    <cellStyle name="_Extra media plan 050329_DM 05 budgetplanning TV 050512_CG Masterflow June 15a_Wrigley - 06 simple chart Sep 14_Category Template AC'11 @Cst Fx 52W vs 53W_P&amp;L KFE" xfId="5819"/>
    <cellStyle name="_Extra media plan 050329_DM 05 budgetplanning TV 050512_CG Masterflow June 15a_Wrigley - 06 simple chart Sep 14_Category Template AC'11 @Cst Fx 52W vs 53W_Sheet3" xfId="5820"/>
    <cellStyle name="_Extra media plan 050329_DM 05 budgetplanning TV 050512_CG Masterflow June 15a_Wrigley - 06 simple chart Sep 14_P&amp;L KFE" xfId="5821"/>
    <cellStyle name="_Extra media plan 050329_DM 05 budgetplanning TV 050512_CG Masterflow June 15a_Wrigley - 06 simple chart Sep 14_Sheet3" xfId="5822"/>
    <cellStyle name="_Extra media plan 050329_DM 05 budgetplanning TV 050512_Copy of DM Masterflow - Jun 15a" xfId="5823"/>
    <cellStyle name="_Extra media plan 050329_DM 05 budgetplanning TV 050512_Copy of DM Masterflow - Jun 15a 2" xfId="5824"/>
    <cellStyle name="_Extra media plan 050329_DM 05 budgetplanning TV 050512_Copy of DM Masterflow - Jun 15a_Book5" xfId="5825"/>
    <cellStyle name="_Extra media plan 050329_DM 05 budgetplanning TV 050512_Copy of DM Masterflow - Jun 15a_Book5 2" xfId="5826"/>
    <cellStyle name="_Extra media plan 050329_DM 05 budgetplanning TV 050512_Copy of DM Masterflow - Jun 15a_Book5_Category Template AC'11 @Cst Fx 52W vs 53W" xfId="5827"/>
    <cellStyle name="_Extra media plan 050329_DM 05 budgetplanning TV 050512_Copy of DM Masterflow - Jun 15a_Book5_Category Template AC'11 @Cst Fx 52W vs 53W 2" xfId="5828"/>
    <cellStyle name="_Extra media plan 050329_DM 05 budgetplanning TV 050512_Copy of DM Masterflow - Jun 15a_Book5_Category Template AC'11 @Cst Fx 52W vs 53W_P&amp;L KFE" xfId="5829"/>
    <cellStyle name="_Extra media plan 050329_DM 05 budgetplanning TV 050512_Copy of DM Masterflow - Jun 15a_Book5_Category Template AC'11 @Cst Fx 52W vs 53W_Sheet3" xfId="5830"/>
    <cellStyle name="_Extra media plan 050329_DM 05 budgetplanning TV 050512_Copy of DM Masterflow - Jun 15a_Book5_P&amp;L KFE" xfId="5831"/>
    <cellStyle name="_Extra media plan 050329_DM 05 budgetplanning TV 050512_Copy of DM Masterflow - Jun 15a_Book5_Sheet3" xfId="5832"/>
    <cellStyle name="_Extra media plan 050329_DM 05 budgetplanning TV 050512_Copy of DM Masterflow - Jun 15a_Category Template AC'11 @Cst Fx 52W vs 53W" xfId="5833"/>
    <cellStyle name="_Extra media plan 050329_DM 05 budgetplanning TV 050512_Copy of DM Masterflow - Jun 15a_Category Template AC'11 @Cst Fx 52W vs 53W 2" xfId="5834"/>
    <cellStyle name="_Extra media plan 050329_DM 05 budgetplanning TV 050512_Copy of DM Masterflow - Jun 15a_Category Template AC'11 @Cst Fx 52W vs 53W_P&amp;L KFE" xfId="5835"/>
    <cellStyle name="_Extra media plan 050329_DM 05 budgetplanning TV 050512_Copy of DM Masterflow - Jun 15a_Category Template AC'11 @Cst Fx 52W vs 53W_Sheet3" xfId="5836"/>
    <cellStyle name="_Extra media plan 050329_DM 05 budgetplanning TV 050512_Copy of DM Masterflow - Jun 15a_P&amp;L KFE" xfId="5837"/>
    <cellStyle name="_Extra media plan 050329_DM 05 budgetplanning TV 050512_Copy of DM Masterflow - Jun 15a_Sheet3" xfId="5838"/>
    <cellStyle name="_Extra media plan 050329_DM 05 budgetplanning TV 050512_Copy of DM Masterflow - Jun 15a_Wrigley - 05 budget&amp;calendar LE 050728 (25I)" xfId="5839"/>
    <cellStyle name="_Extra media plan 050329_DM 05 budgetplanning TV 050512_Copy of DM Masterflow - Jun 15a_Wrigley - 05 budget&amp;calendar LE 050728 (25I) 2" xfId="5840"/>
    <cellStyle name="_Extra media plan 050329_DM 05 budgetplanning TV 050512_Copy of DM Masterflow - Jun 15a_Wrigley - 05 budget&amp;calendar LE 050728 (25I)_Category Template AC'11 @Cst Fx 52W vs 53W" xfId="5841"/>
    <cellStyle name="_Extra media plan 050329_DM 05 budgetplanning TV 050512_Copy of DM Masterflow - Jun 15a_Wrigley - 05 budget&amp;calendar LE 050728 (25I)_Category Template AC'11 @Cst Fx 52W vs 53W 2" xfId="5842"/>
    <cellStyle name="_Extra media plan 050329_DM 05 budgetplanning TV 050512_Copy of DM Masterflow - Jun 15a_Wrigley - 05 budget&amp;calendar LE 050728 (25I)_Category Template AC'11 @Cst Fx 52W vs 53W_P&amp;L KFE" xfId="5843"/>
    <cellStyle name="_Extra media plan 050329_DM 05 budgetplanning TV 050512_Copy of DM Masterflow - Jun 15a_Wrigley - 05 budget&amp;calendar LE 050728 (25I)_Category Template AC'11 @Cst Fx 52W vs 53W_Sheet3" xfId="5844"/>
    <cellStyle name="_Extra media plan 050329_DM 05 budgetplanning TV 050512_Copy of DM Masterflow - Jun 15a_Wrigley - 05 budget&amp;calendar LE 050728 (25I)_P&amp;L KFE" xfId="5845"/>
    <cellStyle name="_Extra media plan 050329_DM 05 budgetplanning TV 050512_Copy of DM Masterflow - Jun 15a_Wrigley - 05 budget&amp;calendar LE 050728 (25I)_Sheet3" xfId="5846"/>
    <cellStyle name="_Extra media plan 050329_DM 05 budgetplanning TV 050512_Copy of DM Masterflow - Jun 15a_Wrigley - 05 budget&amp;calendar LE 050728 (25I)_Wrigley - 06 simple chart Sep 14" xfId="5847"/>
    <cellStyle name="_Extra media plan 050329_DM 05 budgetplanning TV 050512_Copy of DM Masterflow - Jun 15a_Wrigley - 05 budget&amp;calendar LE 050728 (25I)_Wrigley - 06 simple chart Sep 14 2" xfId="5848"/>
    <cellStyle name="_Extra media plan 050329_DM 05 budgetplanning TV 050512_Copy of DM Masterflow - Jun 15a_Wrigley - 05 budget&amp;calendar LE 050728 (25I)_Wrigley - 06 simple chart Sep 14_Category Template AC'11 @Cst Fx 52W vs 53W" xfId="5849"/>
    <cellStyle name="_Extra media plan 050329_DM 05 budgetplanning TV 050512_Copy of DM Masterflow - Jun 15a_Wrigley - 05 budget&amp;calendar LE 050728 (25I)_Wrigley - 06 simple chart Sep 14_Category Template AC'11 @Cst Fx 52W vs 53W 2" xfId="5850"/>
    <cellStyle name="_Extra media plan 050329_DM 05 budgetplanning TV 050512_Copy of DM Masterflow - Jun 15a_Wrigley - 05 budget&amp;calendar LE 050728 (25I)_Wrigley - 06 simple chart Sep 14_Category Template AC'11 @Cst Fx 52W vs 53W_P&amp;L KFE" xfId="5851"/>
    <cellStyle name="_Extra media plan 050329_DM 05 budgetplanning TV 050512_Copy of DM Masterflow - Jun 15a_Wrigley - 05 budget&amp;calendar LE 050728 (25I)_Wrigley - 06 simple chart Sep 14_Category Template AC'11 @Cst Fx 52W vs 53W_Sheet3" xfId="5852"/>
    <cellStyle name="_Extra media plan 050329_DM 05 budgetplanning TV 050512_Copy of DM Masterflow - Jun 15a_Wrigley - 05 budget&amp;calendar LE 050728 (25I)_Wrigley - 06 simple chart Sep 14_P&amp;L KFE" xfId="5853"/>
    <cellStyle name="_Extra media plan 050329_DM 05 budgetplanning TV 050512_Copy of DM Masterflow - Jun 15a_Wrigley - 05 budget&amp;calendar LE 050728 (25I)_Wrigley - 06 simple chart Sep 14_Sheet3" xfId="5854"/>
    <cellStyle name="_Extra media plan 050329_DM 05 budgetplanning TV 050512_Copy of DM Masterflow - Jun 15a_Wrigley - 05 budget&amp;calendar LE 050824 (25F)" xfId="5855"/>
    <cellStyle name="_Extra media plan 050329_DM 05 budgetplanning TV 050512_Copy of DM Masterflow - Jun 15a_Wrigley - 05 budget&amp;calendar LE 050824 (25F) 2" xfId="5856"/>
    <cellStyle name="_Extra media plan 050329_DM 05 budgetplanning TV 050512_Copy of DM Masterflow - Jun 15a_Wrigley - 05 budget&amp;calendar LE 050824 (25F)_Category Template AC'11 @Cst Fx 52W vs 53W" xfId="5857"/>
    <cellStyle name="_Extra media plan 050329_DM 05 budgetplanning TV 050512_Copy of DM Masterflow - Jun 15a_Wrigley - 05 budget&amp;calendar LE 050824 (25F)_Category Template AC'11 @Cst Fx 52W vs 53W 2" xfId="5858"/>
    <cellStyle name="_Extra media plan 050329_DM 05 budgetplanning TV 050512_Copy of DM Masterflow - Jun 15a_Wrigley - 05 budget&amp;calendar LE 050824 (25F)_Category Template AC'11 @Cst Fx 52W vs 53W_P&amp;L KFE" xfId="5859"/>
    <cellStyle name="_Extra media plan 050329_DM 05 budgetplanning TV 050512_Copy of DM Masterflow - Jun 15a_Wrigley - 05 budget&amp;calendar LE 050824 (25F)_Category Template AC'11 @Cst Fx 52W vs 53W_Sheet3" xfId="5860"/>
    <cellStyle name="_Extra media plan 050329_DM 05 budgetplanning TV 050512_Copy of DM Masterflow - Jun 15a_Wrigley - 05 budget&amp;calendar LE 050824 (25F)_P&amp;L KFE" xfId="5861"/>
    <cellStyle name="_Extra media plan 050329_DM 05 budgetplanning TV 050512_Copy of DM Masterflow - Jun 15a_Wrigley - 05 budget&amp;calendar LE 050824 (25F)_Sheet3" xfId="5862"/>
    <cellStyle name="_Extra media plan 050329_DM 05 budgetplanning TV 050512_Copy of DM Masterflow - Jun 15a_Wrigley - 05 budget&amp;calendar LE 050824 (25F)_Wrigley - 06 simple chart Sep 14" xfId="5863"/>
    <cellStyle name="_Extra media plan 050329_DM 05 budgetplanning TV 050512_Copy of DM Masterflow - Jun 15a_Wrigley - 05 budget&amp;calendar LE 050824 (25F)_Wrigley - 06 simple chart Sep 14 2" xfId="5864"/>
    <cellStyle name="_Extra media plan 050329_DM 05 budgetplanning TV 050512_Copy of DM Masterflow - Jun 15a_Wrigley - 05 budget&amp;calendar LE 050824 (25F)_Wrigley - 06 simple chart Sep 14_Category Template AC'11 @Cst Fx 52W vs 53W" xfId="5865"/>
    <cellStyle name="_Extra media plan 050329_DM 05 budgetplanning TV 050512_Copy of DM Masterflow - Jun 15a_Wrigley - 05 budget&amp;calendar LE 050824 (25F)_Wrigley - 06 simple chart Sep 14_Category Template AC'11 @Cst Fx 52W vs 53W 2" xfId="5866"/>
    <cellStyle name="_Extra media plan 050329_DM 05 budgetplanning TV 050512_Copy of DM Masterflow - Jun 15a_Wrigley - 05 budget&amp;calendar LE 050824 (25F)_Wrigley - 06 simple chart Sep 14_Category Template AC'11 @Cst Fx 52W vs 53W_P&amp;L KFE" xfId="5867"/>
    <cellStyle name="_Extra media plan 050329_DM 05 budgetplanning TV 050512_Copy of DM Masterflow - Jun 15a_Wrigley - 05 budget&amp;calendar LE 050824 (25F)_Wrigley - 06 simple chart Sep 14_Category Template AC'11 @Cst Fx 52W vs 53W_Sheet3" xfId="5868"/>
    <cellStyle name="_Extra media plan 050329_DM 05 budgetplanning TV 050512_Copy of DM Masterflow - Jun 15a_Wrigley - 05 budget&amp;calendar LE 050824 (25F)_Wrigley - 06 simple chart Sep 14_P&amp;L KFE" xfId="5869"/>
    <cellStyle name="_Extra media plan 050329_DM 05 budgetplanning TV 050512_Copy of DM Masterflow - Jun 15a_Wrigley - 05 budget&amp;calendar LE 050824 (25F)_Wrigley - 06 simple chart Sep 14_Sheet3" xfId="5870"/>
    <cellStyle name="_Extra media plan 050329_DM 05 budgetplanning TV 050512_Copy of DM Masterflow - Jun 15a_Wrigley - 05 budget&amp;calendar LE 050824 (25I)" xfId="5871"/>
    <cellStyle name="_Extra media plan 050329_DM 05 budgetplanning TV 050512_Copy of DM Masterflow - Jun 15a_Wrigley - 05 budget&amp;calendar LE 050824 (25I) 2" xfId="5872"/>
    <cellStyle name="_Extra media plan 050329_DM 05 budgetplanning TV 050512_Copy of DM Masterflow - Jun 15a_Wrigley - 05 budget&amp;calendar LE 050824 (25I)_Category Template AC'11 @Cst Fx 52W vs 53W" xfId="5873"/>
    <cellStyle name="_Extra media plan 050329_DM 05 budgetplanning TV 050512_Copy of DM Masterflow - Jun 15a_Wrigley - 05 budget&amp;calendar LE 050824 (25I)_Category Template AC'11 @Cst Fx 52W vs 53W 2" xfId="5874"/>
    <cellStyle name="_Extra media plan 050329_DM 05 budgetplanning TV 050512_Copy of DM Masterflow - Jun 15a_Wrigley - 05 budget&amp;calendar LE 050824 (25I)_Category Template AC'11 @Cst Fx 52W vs 53W_P&amp;L KFE" xfId="5875"/>
    <cellStyle name="_Extra media plan 050329_DM 05 budgetplanning TV 050512_Copy of DM Masterflow - Jun 15a_Wrigley - 05 budget&amp;calendar LE 050824 (25I)_Category Template AC'11 @Cst Fx 52W vs 53W_Sheet3" xfId="5876"/>
    <cellStyle name="_Extra media plan 050329_DM 05 budgetplanning TV 050512_Copy of DM Masterflow - Jun 15a_Wrigley - 05 budget&amp;calendar LE 050824 (25I)_P&amp;L KFE" xfId="5877"/>
    <cellStyle name="_Extra media plan 050329_DM 05 budgetplanning TV 050512_Copy of DM Masterflow - Jun 15a_Wrigley - 05 budget&amp;calendar LE 050824 (25I)_Sheet3" xfId="5878"/>
    <cellStyle name="_Extra media plan 050329_DM 05 budgetplanning TV 050512_Copy of DM Masterflow - Jun 15a_Wrigley - 05 budget&amp;calendar LE 050824 (25I)_Wrigley - 06 simple chart Sep 14" xfId="5879"/>
    <cellStyle name="_Extra media plan 050329_DM 05 budgetplanning TV 050512_Copy of DM Masterflow - Jun 15a_Wrigley - 05 budget&amp;calendar LE 050824 (25I)_Wrigley - 06 simple chart Sep 14 2" xfId="5880"/>
    <cellStyle name="_Extra media plan 050329_DM 05 budgetplanning TV 050512_Copy of DM Masterflow - Jun 15a_Wrigley - 05 budget&amp;calendar LE 050824 (25I)_Wrigley - 06 simple chart Sep 14_Category Template AC'11 @Cst Fx 52W vs 53W" xfId="5881"/>
    <cellStyle name="_Extra media plan 050329_DM 05 budgetplanning TV 050512_Copy of DM Masterflow - Jun 15a_Wrigley - 05 budget&amp;calendar LE 050824 (25I)_Wrigley - 06 simple chart Sep 14_Category Template AC'11 @Cst Fx 52W vs 53W 2" xfId="5882"/>
    <cellStyle name="_Extra media plan 050329_DM 05 budgetplanning TV 050512_Copy of DM Masterflow - Jun 15a_Wrigley - 05 budget&amp;calendar LE 050824 (25I)_Wrigley - 06 simple chart Sep 14_Category Template AC'11 @Cst Fx 52W vs 53W_P&amp;L KFE" xfId="5883"/>
    <cellStyle name="_Extra media plan 050329_DM 05 budgetplanning TV 050512_Copy of DM Masterflow - Jun 15a_Wrigley - 05 budget&amp;calendar LE 050824 (25I)_Wrigley - 06 simple chart Sep 14_Category Template AC'11 @Cst Fx 52W vs 53W_Sheet3" xfId="5884"/>
    <cellStyle name="_Extra media plan 050329_DM 05 budgetplanning TV 050512_Copy of DM Masterflow - Jun 15a_Wrigley - 05 budget&amp;calendar LE 050824 (25I)_Wrigley - 06 simple chart Sep 14_P&amp;L KFE" xfId="5885"/>
    <cellStyle name="_Extra media plan 050329_DM 05 budgetplanning TV 050512_Copy of DM Masterflow - Jun 15a_Wrigley - 05 budget&amp;calendar LE 050824 (25I)_Wrigley - 06 simple chart Sep 14_Sheet3" xfId="5886"/>
    <cellStyle name="_Extra media plan 050329_DM 05 budgetplanning TV 050512_Copy of DM Masterflow - Jun 15a_Wrigley - 06 simple chart Sep 14" xfId="5887"/>
    <cellStyle name="_Extra media plan 050329_DM 05 budgetplanning TV 050512_Copy of DM Masterflow - Jun 15a_Wrigley - 06 simple chart Sep 14 2" xfId="5888"/>
    <cellStyle name="_Extra media plan 050329_DM 05 budgetplanning TV 050512_Copy of DM Masterflow - Jun 15a_Wrigley - 06 simple chart Sep 14_Category Template AC'11 @Cst Fx 52W vs 53W" xfId="5889"/>
    <cellStyle name="_Extra media plan 050329_DM 05 budgetplanning TV 050512_Copy of DM Masterflow - Jun 15a_Wrigley - 06 simple chart Sep 14_Category Template AC'11 @Cst Fx 52W vs 53W 2" xfId="5890"/>
    <cellStyle name="_Extra media plan 050329_DM 05 budgetplanning TV 050512_Copy of DM Masterflow - Jun 15a_Wrigley - 06 simple chart Sep 14_Category Template AC'11 @Cst Fx 52W vs 53W_P&amp;L KFE" xfId="5891"/>
    <cellStyle name="_Extra media plan 050329_DM 05 budgetplanning TV 050512_Copy of DM Masterflow - Jun 15a_Wrigley - 06 simple chart Sep 14_Category Template AC'11 @Cst Fx 52W vs 53W_Sheet3" xfId="5892"/>
    <cellStyle name="_Extra media plan 050329_DM 05 budgetplanning TV 050512_Copy of DM Masterflow - Jun 15a_Wrigley - 06 simple chart Sep 14_P&amp;L KFE" xfId="5893"/>
    <cellStyle name="_Extra media plan 050329_DM 05 budgetplanning TV 050512_Copy of DM Masterflow - Jun 15a_Wrigley - 06 simple chart Sep 14_Sheet3" xfId="5894"/>
    <cellStyle name="_Extra media plan 050329_DM 05 budgetplanning TV 050512_Copy of TR Masterflow June 15-a" xfId="5895"/>
    <cellStyle name="_Extra media plan 050329_DM 05 budgetplanning TV 050512_Copy of TR Masterflow June 15-a 2" xfId="5896"/>
    <cellStyle name="_Extra media plan 050329_DM 05 budgetplanning TV 050512_Copy of TR Masterflow June 15-a_Book5" xfId="5897"/>
    <cellStyle name="_Extra media plan 050329_DM 05 budgetplanning TV 050512_Copy of TR Masterflow June 15-a_Book5 2" xfId="5898"/>
    <cellStyle name="_Extra media plan 050329_DM 05 budgetplanning TV 050512_Copy of TR Masterflow June 15-a_Book5_Category Template AC'11 @Cst Fx 52W vs 53W" xfId="5899"/>
    <cellStyle name="_Extra media plan 050329_DM 05 budgetplanning TV 050512_Copy of TR Masterflow June 15-a_Book5_Category Template AC'11 @Cst Fx 52W vs 53W 2" xfId="5900"/>
    <cellStyle name="_Extra media plan 050329_DM 05 budgetplanning TV 050512_Copy of TR Masterflow June 15-a_Book5_Category Template AC'11 @Cst Fx 52W vs 53W_P&amp;L KFE" xfId="5901"/>
    <cellStyle name="_Extra media plan 050329_DM 05 budgetplanning TV 050512_Copy of TR Masterflow June 15-a_Book5_Category Template AC'11 @Cst Fx 52W vs 53W_Sheet3" xfId="5902"/>
    <cellStyle name="_Extra media plan 050329_DM 05 budgetplanning TV 050512_Copy of TR Masterflow June 15-a_Book5_P&amp;L KFE" xfId="5903"/>
    <cellStyle name="_Extra media plan 050329_DM 05 budgetplanning TV 050512_Copy of TR Masterflow June 15-a_Book5_Sheet3" xfId="5904"/>
    <cellStyle name="_Extra media plan 050329_DM 05 budgetplanning TV 050512_Copy of TR Masterflow June 15-a_Category Template AC'11 @Cst Fx 52W vs 53W" xfId="5905"/>
    <cellStyle name="_Extra media plan 050329_DM 05 budgetplanning TV 050512_Copy of TR Masterflow June 15-a_Category Template AC'11 @Cst Fx 52W vs 53W 2" xfId="5906"/>
    <cellStyle name="_Extra media plan 050329_DM 05 budgetplanning TV 050512_Copy of TR Masterflow June 15-a_Category Template AC'11 @Cst Fx 52W vs 53W_P&amp;L KFE" xfId="5907"/>
    <cellStyle name="_Extra media plan 050329_DM 05 budgetplanning TV 050512_Copy of TR Masterflow June 15-a_Category Template AC'11 @Cst Fx 52W vs 53W_Sheet3" xfId="5908"/>
    <cellStyle name="_Extra media plan 050329_DM 05 budgetplanning TV 050512_Copy of TR Masterflow June 15-a_P&amp;L KFE" xfId="5909"/>
    <cellStyle name="_Extra media plan 050329_DM 05 budgetplanning TV 050512_Copy of TR Masterflow June 15-a_Sheet3" xfId="5910"/>
    <cellStyle name="_Extra media plan 050329_DM 05 budgetplanning TV 050512_Copy of TR Masterflow June 15-a_Wrigley - 05 budget&amp;calendar LE 050728 (25I)" xfId="5911"/>
    <cellStyle name="_Extra media plan 050329_DM 05 budgetplanning TV 050512_Copy of TR Masterflow June 15-a_Wrigley - 05 budget&amp;calendar LE 050728 (25I) 2" xfId="5912"/>
    <cellStyle name="_Extra media plan 050329_DM 05 budgetplanning TV 050512_Copy of TR Masterflow June 15-a_Wrigley - 05 budget&amp;calendar LE 050728 (25I)_Category Template AC'11 @Cst Fx 52W vs 53W" xfId="5913"/>
    <cellStyle name="_Extra media plan 050329_DM 05 budgetplanning TV 050512_Copy of TR Masterflow June 15-a_Wrigley - 05 budget&amp;calendar LE 050728 (25I)_Category Template AC'11 @Cst Fx 52W vs 53W 2" xfId="5914"/>
    <cellStyle name="_Extra media plan 050329_DM 05 budgetplanning TV 050512_Copy of TR Masterflow June 15-a_Wrigley - 05 budget&amp;calendar LE 050728 (25I)_Category Template AC'11 @Cst Fx 52W vs 53W_P&amp;L KFE" xfId="5915"/>
    <cellStyle name="_Extra media plan 050329_DM 05 budgetplanning TV 050512_Copy of TR Masterflow June 15-a_Wrigley - 05 budget&amp;calendar LE 050728 (25I)_Category Template AC'11 @Cst Fx 52W vs 53W_Sheet3" xfId="5916"/>
    <cellStyle name="_Extra media plan 050329_DM 05 budgetplanning TV 050512_Copy of TR Masterflow June 15-a_Wrigley - 05 budget&amp;calendar LE 050728 (25I)_P&amp;L KFE" xfId="5917"/>
    <cellStyle name="_Extra media plan 050329_DM 05 budgetplanning TV 050512_Copy of TR Masterflow June 15-a_Wrigley - 05 budget&amp;calendar LE 050728 (25I)_Sheet3" xfId="5918"/>
    <cellStyle name="_Extra media plan 050329_DM 05 budgetplanning TV 050512_Copy of TR Masterflow June 15-a_Wrigley - 05 budget&amp;calendar LE 050728 (25I)_Wrigley - 06 simple chart Sep 14" xfId="5919"/>
    <cellStyle name="_Extra media plan 050329_DM 05 budgetplanning TV 050512_Copy of TR Masterflow June 15-a_Wrigley - 05 budget&amp;calendar LE 050728 (25I)_Wrigley - 06 simple chart Sep 14 2" xfId="5920"/>
    <cellStyle name="_Extra media plan 050329_DM 05 budgetplanning TV 050512_Copy of TR Masterflow June 15-a_Wrigley - 05 budget&amp;calendar LE 050728 (25I)_Wrigley - 06 simple chart Sep 14_Category Template AC'11 @Cst Fx 52W vs 53W" xfId="5921"/>
    <cellStyle name="_Extra media plan 050329_DM 05 budgetplanning TV 050512_Copy of TR Masterflow June 15-a_Wrigley - 05 budget&amp;calendar LE 050728 (25I)_Wrigley - 06 simple chart Sep 14_Category Template AC'11 @Cst Fx 52W vs 53W 2" xfId="5922"/>
    <cellStyle name="_Extra media plan 050329_DM 05 budgetplanning TV 050512_Copy of TR Masterflow June 15-a_Wrigley - 05 budget&amp;calendar LE 050728 (25I)_Wrigley - 06 simple chart Sep 14_Category Template AC'11 @Cst Fx 52W vs 53W_P&amp;L KFE" xfId="5923"/>
    <cellStyle name="_Extra media plan 050329_DM 05 budgetplanning TV 050512_Copy of TR Masterflow June 15-a_Wrigley - 05 budget&amp;calendar LE 050728 (25I)_Wrigley - 06 simple chart Sep 14_Category Template AC'11 @Cst Fx 52W vs 53W_Sheet3" xfId="5924"/>
    <cellStyle name="_Extra media plan 050329_DM 05 budgetplanning TV 050512_Copy of TR Masterflow June 15-a_Wrigley - 05 budget&amp;calendar LE 050728 (25I)_Wrigley - 06 simple chart Sep 14_P&amp;L KFE" xfId="5925"/>
    <cellStyle name="_Extra media plan 050329_DM 05 budgetplanning TV 050512_Copy of TR Masterflow June 15-a_Wrigley - 05 budget&amp;calendar LE 050728 (25I)_Wrigley - 06 simple chart Sep 14_Sheet3" xfId="5926"/>
    <cellStyle name="_Extra media plan 050329_DM 05 budgetplanning TV 050512_Copy of TR Masterflow June 15-a_Wrigley - 05 budget&amp;calendar LE 050824 (25F)" xfId="5927"/>
    <cellStyle name="_Extra media plan 050329_DM 05 budgetplanning TV 050512_Copy of TR Masterflow June 15-a_Wrigley - 05 budget&amp;calendar LE 050824 (25F) 2" xfId="5928"/>
    <cellStyle name="_Extra media plan 050329_DM 05 budgetplanning TV 050512_Copy of TR Masterflow June 15-a_Wrigley - 05 budget&amp;calendar LE 050824 (25F)_Category Template AC'11 @Cst Fx 52W vs 53W" xfId="5929"/>
    <cellStyle name="_Extra media plan 050329_DM 05 budgetplanning TV 050512_Copy of TR Masterflow June 15-a_Wrigley - 05 budget&amp;calendar LE 050824 (25F)_Category Template AC'11 @Cst Fx 52W vs 53W 2" xfId="5930"/>
    <cellStyle name="_Extra media plan 050329_DM 05 budgetplanning TV 050512_Copy of TR Masterflow June 15-a_Wrigley - 05 budget&amp;calendar LE 050824 (25F)_Category Template AC'11 @Cst Fx 52W vs 53W_P&amp;L KFE" xfId="5931"/>
    <cellStyle name="_Extra media plan 050329_DM 05 budgetplanning TV 050512_Copy of TR Masterflow June 15-a_Wrigley - 05 budget&amp;calendar LE 050824 (25F)_Category Template AC'11 @Cst Fx 52W vs 53W_Sheet3" xfId="5932"/>
    <cellStyle name="_Extra media plan 050329_DM 05 budgetplanning TV 050512_Copy of TR Masterflow June 15-a_Wrigley - 05 budget&amp;calendar LE 050824 (25F)_P&amp;L KFE" xfId="5933"/>
    <cellStyle name="_Extra media plan 050329_DM 05 budgetplanning TV 050512_Copy of TR Masterflow June 15-a_Wrigley - 05 budget&amp;calendar LE 050824 (25F)_Sheet3" xfId="5934"/>
    <cellStyle name="_Extra media plan 050329_DM 05 budgetplanning TV 050512_Copy of TR Masterflow June 15-a_Wrigley - 05 budget&amp;calendar LE 050824 (25F)_Wrigley - 06 simple chart Sep 14" xfId="5935"/>
    <cellStyle name="_Extra media plan 050329_DM 05 budgetplanning TV 050512_Copy of TR Masterflow June 15-a_Wrigley - 05 budget&amp;calendar LE 050824 (25F)_Wrigley - 06 simple chart Sep 14 2" xfId="5936"/>
    <cellStyle name="_Extra media plan 050329_DM 05 budgetplanning TV 050512_Copy of TR Masterflow June 15-a_Wrigley - 05 budget&amp;calendar LE 050824 (25F)_Wrigley - 06 simple chart Sep 14_Category Template AC'11 @Cst Fx 52W vs 53W" xfId="5937"/>
    <cellStyle name="_Extra media plan 050329_DM 05 budgetplanning TV 050512_Copy of TR Masterflow June 15-a_Wrigley - 05 budget&amp;calendar LE 050824 (25F)_Wrigley - 06 simple chart Sep 14_Category Template AC'11 @Cst Fx 52W vs 53W 2" xfId="5938"/>
    <cellStyle name="_Extra media plan 050329_DM 05 budgetplanning TV 050512_Copy of TR Masterflow June 15-a_Wrigley - 05 budget&amp;calendar LE 050824 (25F)_Wrigley - 06 simple chart Sep 14_Category Template AC'11 @Cst Fx 52W vs 53W_P&amp;L KFE" xfId="5939"/>
    <cellStyle name="_Extra media plan 050329_DM 05 budgetplanning TV 050512_Copy of TR Masterflow June 15-a_Wrigley - 05 budget&amp;calendar LE 050824 (25F)_Wrigley - 06 simple chart Sep 14_Category Template AC'11 @Cst Fx 52W vs 53W_Sheet3" xfId="5940"/>
    <cellStyle name="_Extra media plan 050329_DM 05 budgetplanning TV 050512_Copy of TR Masterflow June 15-a_Wrigley - 05 budget&amp;calendar LE 050824 (25F)_Wrigley - 06 simple chart Sep 14_P&amp;L KFE" xfId="5941"/>
    <cellStyle name="_Extra media plan 050329_DM 05 budgetplanning TV 050512_Copy of TR Masterflow June 15-a_Wrigley - 05 budget&amp;calendar LE 050824 (25F)_Wrigley - 06 simple chart Sep 14_Sheet3" xfId="5942"/>
    <cellStyle name="_Extra media plan 050329_DM 05 budgetplanning TV 050512_Copy of TR Masterflow June 15-a_Wrigley - 05 budget&amp;calendar LE 050824 (25I)" xfId="5943"/>
    <cellStyle name="_Extra media plan 050329_DM 05 budgetplanning TV 050512_Copy of TR Masterflow June 15-a_Wrigley - 05 budget&amp;calendar LE 050824 (25I) 2" xfId="5944"/>
    <cellStyle name="_Extra media plan 050329_DM 05 budgetplanning TV 050512_Copy of TR Masterflow June 15-a_Wrigley - 05 budget&amp;calendar LE 050824 (25I)_Category Template AC'11 @Cst Fx 52W vs 53W" xfId="5945"/>
    <cellStyle name="_Extra media plan 050329_DM 05 budgetplanning TV 050512_Copy of TR Masterflow June 15-a_Wrigley - 05 budget&amp;calendar LE 050824 (25I)_Category Template AC'11 @Cst Fx 52W vs 53W 2" xfId="5946"/>
    <cellStyle name="_Extra media plan 050329_DM 05 budgetplanning TV 050512_Copy of TR Masterflow June 15-a_Wrigley - 05 budget&amp;calendar LE 050824 (25I)_Category Template AC'11 @Cst Fx 52W vs 53W_P&amp;L KFE" xfId="5947"/>
    <cellStyle name="_Extra media plan 050329_DM 05 budgetplanning TV 050512_Copy of TR Masterflow June 15-a_Wrigley - 05 budget&amp;calendar LE 050824 (25I)_Category Template AC'11 @Cst Fx 52W vs 53W_Sheet3" xfId="5948"/>
    <cellStyle name="_Extra media plan 050329_DM 05 budgetplanning TV 050512_Copy of TR Masterflow June 15-a_Wrigley - 05 budget&amp;calendar LE 050824 (25I)_P&amp;L KFE" xfId="5949"/>
    <cellStyle name="_Extra media plan 050329_DM 05 budgetplanning TV 050512_Copy of TR Masterflow June 15-a_Wrigley - 05 budget&amp;calendar LE 050824 (25I)_Sheet3" xfId="5950"/>
    <cellStyle name="_Extra media plan 050329_DM 05 budgetplanning TV 050512_Copy of TR Masterflow June 15-a_Wrigley - 05 budget&amp;calendar LE 050824 (25I)_Wrigley - 06 simple chart Sep 14" xfId="5951"/>
    <cellStyle name="_Extra media plan 050329_DM 05 budgetplanning TV 050512_Copy of TR Masterflow June 15-a_Wrigley - 05 budget&amp;calendar LE 050824 (25I)_Wrigley - 06 simple chart Sep 14 2" xfId="5952"/>
    <cellStyle name="_Extra media plan 050329_DM 05 budgetplanning TV 050512_Copy of TR Masterflow June 15-a_Wrigley - 05 budget&amp;calendar LE 050824 (25I)_Wrigley - 06 simple chart Sep 14_Category Template AC'11 @Cst Fx 52W vs 53W" xfId="5953"/>
    <cellStyle name="_Extra media plan 050329_DM 05 budgetplanning TV 050512_Copy of TR Masterflow June 15-a_Wrigley - 05 budget&amp;calendar LE 050824 (25I)_Wrigley - 06 simple chart Sep 14_Category Template AC'11 @Cst Fx 52W vs 53W 2" xfId="5954"/>
    <cellStyle name="_Extra media plan 050329_DM 05 budgetplanning TV 050512_Copy of TR Masterflow June 15-a_Wrigley - 05 budget&amp;calendar LE 050824 (25I)_Wrigley - 06 simple chart Sep 14_Category Template AC'11 @Cst Fx 52W vs 53W_P&amp;L KFE" xfId="5955"/>
    <cellStyle name="_Extra media plan 050329_DM 05 budgetplanning TV 050512_Copy of TR Masterflow June 15-a_Wrigley - 05 budget&amp;calendar LE 050824 (25I)_Wrigley - 06 simple chart Sep 14_Category Template AC'11 @Cst Fx 52W vs 53W_Sheet3" xfId="5956"/>
    <cellStyle name="_Extra media plan 050329_DM 05 budgetplanning TV 050512_Copy of TR Masterflow June 15-a_Wrigley - 05 budget&amp;calendar LE 050824 (25I)_Wrigley - 06 simple chart Sep 14_P&amp;L KFE" xfId="5957"/>
    <cellStyle name="_Extra media plan 050329_DM 05 budgetplanning TV 050512_Copy of TR Masterflow June 15-a_Wrigley - 05 budget&amp;calendar LE 050824 (25I)_Wrigley - 06 simple chart Sep 14_Sheet3" xfId="5958"/>
    <cellStyle name="_Extra media plan 050329_DM 05 budgetplanning TV 050512_Copy of TR Masterflow June 15-a_Wrigley - 06 simple chart Sep 14" xfId="5959"/>
    <cellStyle name="_Extra media plan 050329_DM 05 budgetplanning TV 050512_Copy of TR Masterflow June 15-a_Wrigley - 06 simple chart Sep 14 2" xfId="5960"/>
    <cellStyle name="_Extra media plan 050329_DM 05 budgetplanning TV 050512_Copy of TR Masterflow June 15-a_Wrigley - 06 simple chart Sep 14_Category Template AC'11 @Cst Fx 52W vs 53W" xfId="5961"/>
    <cellStyle name="_Extra media plan 050329_DM 05 budgetplanning TV 050512_Copy of TR Masterflow June 15-a_Wrigley - 06 simple chart Sep 14_Category Template AC'11 @Cst Fx 52W vs 53W 2" xfId="5962"/>
    <cellStyle name="_Extra media plan 050329_DM 05 budgetplanning TV 050512_Copy of TR Masterflow June 15-a_Wrigley - 06 simple chart Sep 14_Category Template AC'11 @Cst Fx 52W vs 53W_P&amp;L KFE" xfId="5963"/>
    <cellStyle name="_Extra media plan 050329_DM 05 budgetplanning TV 050512_Copy of TR Masterflow June 15-a_Wrigley - 06 simple chart Sep 14_Category Template AC'11 @Cst Fx 52W vs 53W_Sheet3" xfId="5964"/>
    <cellStyle name="_Extra media plan 050329_DM 05 budgetplanning TV 050512_Copy of TR Masterflow June 15-a_Wrigley - 06 simple chart Sep 14_P&amp;L KFE" xfId="5965"/>
    <cellStyle name="_Extra media plan 050329_DM 05 budgetplanning TV 050512_Copy of TR Masterflow June 15-a_Wrigley - 06 simple chart Sep 14_Sheet3" xfId="5966"/>
    <cellStyle name="_Extra media plan 050329_DM 05 budgetplanning TV 050512_EX Master Flowchart June 15a" xfId="5967"/>
    <cellStyle name="_Extra media plan 050329_DM 05 budgetplanning TV 050512_EX Master Flowchart June 15a 2" xfId="5968"/>
    <cellStyle name="_Extra media plan 050329_DM 05 budgetplanning TV 050512_EX Master Flowchart June 15a_Book5" xfId="5969"/>
    <cellStyle name="_Extra media plan 050329_DM 05 budgetplanning TV 050512_EX Master Flowchart June 15a_Book5 2" xfId="5970"/>
    <cellStyle name="_Extra media plan 050329_DM 05 budgetplanning TV 050512_EX Master Flowchart June 15a_Book5_Category Template AC'11 @Cst Fx 52W vs 53W" xfId="5971"/>
    <cellStyle name="_Extra media plan 050329_DM 05 budgetplanning TV 050512_EX Master Flowchart June 15a_Book5_Category Template AC'11 @Cst Fx 52W vs 53W 2" xfId="5972"/>
    <cellStyle name="_Extra media plan 050329_DM 05 budgetplanning TV 050512_EX Master Flowchart June 15a_Book5_Category Template AC'11 @Cst Fx 52W vs 53W_P&amp;L KFE" xfId="5973"/>
    <cellStyle name="_Extra media plan 050329_DM 05 budgetplanning TV 050512_EX Master Flowchart June 15a_Book5_Category Template AC'11 @Cst Fx 52W vs 53W_Sheet3" xfId="5974"/>
    <cellStyle name="_Extra media plan 050329_DM 05 budgetplanning TV 050512_EX Master Flowchart June 15a_Book5_P&amp;L KFE" xfId="5975"/>
    <cellStyle name="_Extra media plan 050329_DM 05 budgetplanning TV 050512_EX Master Flowchart June 15a_Book5_Sheet3" xfId="5976"/>
    <cellStyle name="_Extra media plan 050329_DM 05 budgetplanning TV 050512_EX Master Flowchart June 15a_Category Template AC'11 @Cst Fx 52W vs 53W" xfId="5977"/>
    <cellStyle name="_Extra media plan 050329_DM 05 budgetplanning TV 050512_EX Master Flowchart June 15a_Category Template AC'11 @Cst Fx 52W vs 53W 2" xfId="5978"/>
    <cellStyle name="_Extra media plan 050329_DM 05 budgetplanning TV 050512_EX Master Flowchart June 15a_Category Template AC'11 @Cst Fx 52W vs 53W_P&amp;L KFE" xfId="5979"/>
    <cellStyle name="_Extra media plan 050329_DM 05 budgetplanning TV 050512_EX Master Flowchart June 15a_Category Template AC'11 @Cst Fx 52W vs 53W_Sheet3" xfId="5980"/>
    <cellStyle name="_Extra media plan 050329_DM 05 budgetplanning TV 050512_EX Master Flowchart June 15a_P&amp;L KFE" xfId="5981"/>
    <cellStyle name="_Extra media plan 050329_DM 05 budgetplanning TV 050512_EX Master Flowchart June 15a_Sheet3" xfId="5982"/>
    <cellStyle name="_Extra media plan 050329_DM 05 budgetplanning TV 050512_EX Master Flowchart June 15a_Wrigley - 05 budget&amp;calendar LE 050728 (25I)" xfId="5983"/>
    <cellStyle name="_Extra media plan 050329_DM 05 budgetplanning TV 050512_EX Master Flowchart June 15a_Wrigley - 05 budget&amp;calendar LE 050728 (25I) 2" xfId="5984"/>
    <cellStyle name="_Extra media plan 050329_DM 05 budgetplanning TV 050512_EX Master Flowchart June 15a_Wrigley - 05 budget&amp;calendar LE 050728 (25I)_Category Template AC'11 @Cst Fx 52W vs 53W" xfId="5985"/>
    <cellStyle name="_Extra media plan 050329_DM 05 budgetplanning TV 050512_EX Master Flowchart June 15a_Wrigley - 05 budget&amp;calendar LE 050728 (25I)_Category Template AC'11 @Cst Fx 52W vs 53W 2" xfId="5986"/>
    <cellStyle name="_Extra media plan 050329_DM 05 budgetplanning TV 050512_EX Master Flowchart June 15a_Wrigley - 05 budget&amp;calendar LE 050728 (25I)_Category Template AC'11 @Cst Fx 52W vs 53W_P&amp;L KFE" xfId="5987"/>
    <cellStyle name="_Extra media plan 050329_DM 05 budgetplanning TV 050512_EX Master Flowchart June 15a_Wrigley - 05 budget&amp;calendar LE 050728 (25I)_Category Template AC'11 @Cst Fx 52W vs 53W_Sheet3" xfId="5988"/>
    <cellStyle name="_Extra media plan 050329_DM 05 budgetplanning TV 050512_EX Master Flowchart June 15a_Wrigley - 05 budget&amp;calendar LE 050728 (25I)_P&amp;L KFE" xfId="5989"/>
    <cellStyle name="_Extra media plan 050329_DM 05 budgetplanning TV 050512_EX Master Flowchart June 15a_Wrigley - 05 budget&amp;calendar LE 050728 (25I)_Sheet3" xfId="5990"/>
    <cellStyle name="_Extra media plan 050329_DM 05 budgetplanning TV 050512_EX Master Flowchart June 15a_Wrigley - 05 budget&amp;calendar LE 050728 (25I)_Wrigley - 06 simple chart Sep 14" xfId="5991"/>
    <cellStyle name="_Extra media plan 050329_DM 05 budgetplanning TV 050512_EX Master Flowchart June 15a_Wrigley - 05 budget&amp;calendar LE 050728 (25I)_Wrigley - 06 simple chart Sep 14 2" xfId="5992"/>
    <cellStyle name="_Extra media plan 050329_DM 05 budgetplanning TV 050512_EX Master Flowchart June 15a_Wrigley - 05 budget&amp;calendar LE 050728 (25I)_Wrigley - 06 simple chart Sep 14_Category Template AC'11 @Cst Fx 52W vs 53W" xfId="5993"/>
    <cellStyle name="_Extra media plan 050329_DM 05 budgetplanning TV 050512_EX Master Flowchart June 15a_Wrigley - 05 budget&amp;calendar LE 050728 (25I)_Wrigley - 06 simple chart Sep 14_Category Template AC'11 @Cst Fx 52W vs 53W 2" xfId="5994"/>
    <cellStyle name="_Extra media plan 050329_DM 05 budgetplanning TV 050512_EX Master Flowchart June 15a_Wrigley - 05 budget&amp;calendar LE 050728 (25I)_Wrigley - 06 simple chart Sep 14_Category Template AC'11 @Cst Fx 52W vs 53W_P&amp;L KFE" xfId="5995"/>
    <cellStyle name="_Extra media plan 050329_DM 05 budgetplanning TV 050512_EX Master Flowchart June 15a_Wrigley - 05 budget&amp;calendar LE 050728 (25I)_Wrigley - 06 simple chart Sep 14_Category Template AC'11 @Cst Fx 52W vs 53W_Sheet3" xfId="5996"/>
    <cellStyle name="_Extra media plan 050329_DM 05 budgetplanning TV 050512_EX Master Flowchart June 15a_Wrigley - 05 budget&amp;calendar LE 050728 (25I)_Wrigley - 06 simple chart Sep 14_P&amp;L KFE" xfId="5997"/>
    <cellStyle name="_Extra media plan 050329_DM 05 budgetplanning TV 050512_EX Master Flowchart June 15a_Wrigley - 05 budget&amp;calendar LE 050728 (25I)_Wrigley - 06 simple chart Sep 14_Sheet3" xfId="5998"/>
    <cellStyle name="_Extra media plan 050329_DM 05 budgetplanning TV 050512_EX Master Flowchart June 15a_Wrigley - 05 budget&amp;calendar LE 050824 (25F)" xfId="5999"/>
    <cellStyle name="_Extra media plan 050329_DM 05 budgetplanning TV 050512_EX Master Flowchart June 15a_Wrigley - 05 budget&amp;calendar LE 050824 (25F) 2" xfId="6000"/>
    <cellStyle name="_Extra media plan 050329_DM 05 budgetplanning TV 050512_EX Master Flowchart June 15a_Wrigley - 05 budget&amp;calendar LE 050824 (25F)_Category Template AC'11 @Cst Fx 52W vs 53W" xfId="6001"/>
    <cellStyle name="_Extra media plan 050329_DM 05 budgetplanning TV 050512_EX Master Flowchart June 15a_Wrigley - 05 budget&amp;calendar LE 050824 (25F)_Category Template AC'11 @Cst Fx 52W vs 53W 2" xfId="6002"/>
    <cellStyle name="_Extra media plan 050329_DM 05 budgetplanning TV 050512_EX Master Flowchart June 15a_Wrigley - 05 budget&amp;calendar LE 050824 (25F)_Category Template AC'11 @Cst Fx 52W vs 53W_P&amp;L KFE" xfId="6003"/>
    <cellStyle name="_Extra media plan 050329_DM 05 budgetplanning TV 050512_EX Master Flowchart June 15a_Wrigley - 05 budget&amp;calendar LE 050824 (25F)_Category Template AC'11 @Cst Fx 52W vs 53W_Sheet3" xfId="6004"/>
    <cellStyle name="_Extra media plan 050329_DM 05 budgetplanning TV 050512_EX Master Flowchart June 15a_Wrigley - 05 budget&amp;calendar LE 050824 (25F)_P&amp;L KFE" xfId="6005"/>
    <cellStyle name="_Extra media plan 050329_DM 05 budgetplanning TV 050512_EX Master Flowchart June 15a_Wrigley - 05 budget&amp;calendar LE 050824 (25F)_Sheet3" xfId="6006"/>
    <cellStyle name="_Extra media plan 050329_DM 05 budgetplanning TV 050512_EX Master Flowchart June 15a_Wrigley - 05 budget&amp;calendar LE 050824 (25F)_Wrigley - 06 simple chart Sep 14" xfId="6007"/>
    <cellStyle name="_Extra media plan 050329_DM 05 budgetplanning TV 050512_EX Master Flowchart June 15a_Wrigley - 05 budget&amp;calendar LE 050824 (25F)_Wrigley - 06 simple chart Sep 14 2" xfId="6008"/>
    <cellStyle name="_Extra media plan 050329_DM 05 budgetplanning TV 050512_EX Master Flowchart June 15a_Wrigley - 05 budget&amp;calendar LE 050824 (25F)_Wrigley - 06 simple chart Sep 14_Category Template AC'11 @Cst Fx 52W vs 53W" xfId="6009"/>
    <cellStyle name="_Extra media plan 050329_DM 05 budgetplanning TV 050512_EX Master Flowchart June 15a_Wrigley - 05 budget&amp;calendar LE 050824 (25F)_Wrigley - 06 simple chart Sep 14_Category Template AC'11 @Cst Fx 52W vs 53W 2" xfId="6010"/>
    <cellStyle name="_Extra media plan 050329_DM 05 budgetplanning TV 050512_EX Master Flowchart June 15a_Wrigley - 05 budget&amp;calendar LE 050824 (25F)_Wrigley - 06 simple chart Sep 14_Category Template AC'11 @Cst Fx 52W vs 53W_P&amp;L KFE" xfId="6011"/>
    <cellStyle name="_Extra media plan 050329_DM 05 budgetplanning TV 050512_EX Master Flowchart June 15a_Wrigley - 05 budget&amp;calendar LE 050824 (25F)_Wrigley - 06 simple chart Sep 14_Category Template AC'11 @Cst Fx 52W vs 53W_Sheet3" xfId="6012"/>
    <cellStyle name="_Extra media plan 050329_DM 05 budgetplanning TV 050512_EX Master Flowchart June 15a_Wrigley - 05 budget&amp;calendar LE 050824 (25F)_Wrigley - 06 simple chart Sep 14_P&amp;L KFE" xfId="6013"/>
    <cellStyle name="_Extra media plan 050329_DM 05 budgetplanning TV 050512_EX Master Flowchart June 15a_Wrigley - 05 budget&amp;calendar LE 050824 (25F)_Wrigley - 06 simple chart Sep 14_Sheet3" xfId="6014"/>
    <cellStyle name="_Extra media plan 050329_DM 05 budgetplanning TV 050512_EX Master Flowchart June 15a_Wrigley - 05 budget&amp;calendar LE 050824 (25I)" xfId="6015"/>
    <cellStyle name="_Extra media plan 050329_DM 05 budgetplanning TV 050512_EX Master Flowchart June 15a_Wrigley - 05 budget&amp;calendar LE 050824 (25I) 2" xfId="6016"/>
    <cellStyle name="_Extra media plan 050329_DM 05 budgetplanning TV 050512_EX Master Flowchart June 15a_Wrigley - 05 budget&amp;calendar LE 050824 (25I)_Category Template AC'11 @Cst Fx 52W vs 53W" xfId="6017"/>
    <cellStyle name="_Extra media plan 050329_DM 05 budgetplanning TV 050512_EX Master Flowchart June 15a_Wrigley - 05 budget&amp;calendar LE 050824 (25I)_Category Template AC'11 @Cst Fx 52W vs 53W 2" xfId="6018"/>
    <cellStyle name="_Extra media plan 050329_DM 05 budgetplanning TV 050512_EX Master Flowchart June 15a_Wrigley - 05 budget&amp;calendar LE 050824 (25I)_Category Template AC'11 @Cst Fx 52W vs 53W_P&amp;L KFE" xfId="6019"/>
    <cellStyle name="_Extra media plan 050329_DM 05 budgetplanning TV 050512_EX Master Flowchart June 15a_Wrigley - 05 budget&amp;calendar LE 050824 (25I)_Category Template AC'11 @Cst Fx 52W vs 53W_Sheet3" xfId="6020"/>
    <cellStyle name="_Extra media plan 050329_DM 05 budgetplanning TV 050512_EX Master Flowchart June 15a_Wrigley - 05 budget&amp;calendar LE 050824 (25I)_P&amp;L KFE" xfId="6021"/>
    <cellStyle name="_Extra media plan 050329_DM 05 budgetplanning TV 050512_EX Master Flowchart June 15a_Wrigley - 05 budget&amp;calendar LE 050824 (25I)_Sheet3" xfId="6022"/>
    <cellStyle name="_Extra media plan 050329_DM 05 budgetplanning TV 050512_EX Master Flowchart June 15a_Wrigley - 05 budget&amp;calendar LE 050824 (25I)_Wrigley - 06 simple chart Sep 14" xfId="6023"/>
    <cellStyle name="_Extra media plan 050329_DM 05 budgetplanning TV 050512_EX Master Flowchart June 15a_Wrigley - 05 budget&amp;calendar LE 050824 (25I)_Wrigley - 06 simple chart Sep 14 2" xfId="6024"/>
    <cellStyle name="_Extra media plan 050329_DM 05 budgetplanning TV 050512_EX Master Flowchart June 15a_Wrigley - 05 budget&amp;calendar LE 050824 (25I)_Wrigley - 06 simple chart Sep 14_Category Template AC'11 @Cst Fx 52W vs 53W" xfId="6025"/>
    <cellStyle name="_Extra media plan 050329_DM 05 budgetplanning TV 050512_EX Master Flowchart June 15a_Wrigley - 05 budget&amp;calendar LE 050824 (25I)_Wrigley - 06 simple chart Sep 14_Category Template AC'11 @Cst Fx 52W vs 53W 2" xfId="6026"/>
    <cellStyle name="_Extra media plan 050329_DM 05 budgetplanning TV 050512_EX Master Flowchart June 15a_Wrigley - 05 budget&amp;calendar LE 050824 (25I)_Wrigley - 06 simple chart Sep 14_Category Template AC'11 @Cst Fx 52W vs 53W_P&amp;L KFE" xfId="6027"/>
    <cellStyle name="_Extra media plan 050329_DM 05 budgetplanning TV 050512_EX Master Flowchart June 15a_Wrigley - 05 budget&amp;calendar LE 050824 (25I)_Wrigley - 06 simple chart Sep 14_Category Template AC'11 @Cst Fx 52W vs 53W_Sheet3" xfId="6028"/>
    <cellStyle name="_Extra media plan 050329_DM 05 budgetplanning TV 050512_EX Master Flowchart June 15a_Wrigley - 05 budget&amp;calendar LE 050824 (25I)_Wrigley - 06 simple chart Sep 14_P&amp;L KFE" xfId="6029"/>
    <cellStyle name="_Extra media plan 050329_DM 05 budgetplanning TV 050512_EX Master Flowchart June 15a_Wrigley - 05 budget&amp;calendar LE 050824 (25I)_Wrigley - 06 simple chart Sep 14_Sheet3" xfId="6030"/>
    <cellStyle name="_Extra media plan 050329_DM 05 budgetplanning TV 050512_EX Master Flowchart June 15a_Wrigley - 06 simple chart Sep 14" xfId="6031"/>
    <cellStyle name="_Extra media plan 050329_DM 05 budgetplanning TV 050512_EX Master Flowchart June 15a_Wrigley - 06 simple chart Sep 14 2" xfId="6032"/>
    <cellStyle name="_Extra media plan 050329_DM 05 budgetplanning TV 050512_EX Master Flowchart June 15a_Wrigley - 06 simple chart Sep 14_Category Template AC'11 @Cst Fx 52W vs 53W" xfId="6033"/>
    <cellStyle name="_Extra media plan 050329_DM 05 budgetplanning TV 050512_EX Master Flowchart June 15a_Wrigley - 06 simple chart Sep 14_Category Template AC'11 @Cst Fx 52W vs 53W 2" xfId="6034"/>
    <cellStyle name="_Extra media plan 050329_DM 05 budgetplanning TV 050512_EX Master Flowchart June 15a_Wrigley - 06 simple chart Sep 14_Category Template AC'11 @Cst Fx 52W vs 53W_P&amp;L KFE" xfId="6035"/>
    <cellStyle name="_Extra media plan 050329_DM 05 budgetplanning TV 050512_EX Master Flowchart June 15a_Wrigley - 06 simple chart Sep 14_Category Template AC'11 @Cst Fx 52W vs 53W_Sheet3" xfId="6036"/>
    <cellStyle name="_Extra media plan 050329_DM 05 budgetplanning TV 050512_EX Master Flowchart June 15a_Wrigley - 06 simple chart Sep 14_P&amp;L KFE" xfId="6037"/>
    <cellStyle name="_Extra media plan 050329_DM 05 budgetplanning TV 050512_EX Master Flowchart June 15a_Wrigley - 06 simple chart Sep 14_Sheet3" xfId="6038"/>
    <cellStyle name="_Extra media plan 050329_DM 05 budgetplanning TV 050512_JF Masterflow June 15a" xfId="6039"/>
    <cellStyle name="_Extra media plan 050329_DM 05 budgetplanning TV 050512_JF Masterflow June 15a 2" xfId="6040"/>
    <cellStyle name="_Extra media plan 050329_DM 05 budgetplanning TV 050512_JF Masterflow June 15a_Book5" xfId="6041"/>
    <cellStyle name="_Extra media plan 050329_DM 05 budgetplanning TV 050512_JF Masterflow June 15a_Book5 2" xfId="6042"/>
    <cellStyle name="_Extra media plan 050329_DM 05 budgetplanning TV 050512_JF Masterflow June 15a_Book5_Category Template AC'11 @Cst Fx 52W vs 53W" xfId="6043"/>
    <cellStyle name="_Extra media plan 050329_DM 05 budgetplanning TV 050512_JF Masterflow June 15a_Book5_Category Template AC'11 @Cst Fx 52W vs 53W 2" xfId="6044"/>
    <cellStyle name="_Extra media plan 050329_DM 05 budgetplanning TV 050512_JF Masterflow June 15a_Book5_Category Template AC'11 @Cst Fx 52W vs 53W_P&amp;L KFE" xfId="6045"/>
    <cellStyle name="_Extra media plan 050329_DM 05 budgetplanning TV 050512_JF Masterflow June 15a_Book5_Category Template AC'11 @Cst Fx 52W vs 53W_Sheet3" xfId="6046"/>
    <cellStyle name="_Extra media plan 050329_DM 05 budgetplanning TV 050512_JF Masterflow June 15a_Book5_P&amp;L KFE" xfId="6047"/>
    <cellStyle name="_Extra media plan 050329_DM 05 budgetplanning TV 050512_JF Masterflow June 15a_Book5_Sheet3" xfId="6048"/>
    <cellStyle name="_Extra media plan 050329_DM 05 budgetplanning TV 050512_JF Masterflow June 15a_Category Template AC'11 @Cst Fx 52W vs 53W" xfId="6049"/>
    <cellStyle name="_Extra media plan 050329_DM 05 budgetplanning TV 050512_JF Masterflow June 15a_Category Template AC'11 @Cst Fx 52W vs 53W 2" xfId="6050"/>
    <cellStyle name="_Extra media plan 050329_DM 05 budgetplanning TV 050512_JF Masterflow June 15a_Category Template AC'11 @Cst Fx 52W vs 53W_P&amp;L KFE" xfId="6051"/>
    <cellStyle name="_Extra media plan 050329_DM 05 budgetplanning TV 050512_JF Masterflow June 15a_Category Template AC'11 @Cst Fx 52W vs 53W_Sheet3" xfId="6052"/>
    <cellStyle name="_Extra media plan 050329_DM 05 budgetplanning TV 050512_JF Masterflow June 15a_P&amp;L KFE" xfId="6053"/>
    <cellStyle name="_Extra media plan 050329_DM 05 budgetplanning TV 050512_JF Masterflow June 15a_Sheet3" xfId="6054"/>
    <cellStyle name="_Extra media plan 050329_DM 05 budgetplanning TV 050512_JF Masterflow June 15a_Wrigley - 05 budget&amp;calendar LE 050728 (25I)" xfId="6055"/>
    <cellStyle name="_Extra media plan 050329_DM 05 budgetplanning TV 050512_JF Masterflow June 15a_Wrigley - 05 budget&amp;calendar LE 050728 (25I) 2" xfId="6056"/>
    <cellStyle name="_Extra media plan 050329_DM 05 budgetplanning TV 050512_JF Masterflow June 15a_Wrigley - 05 budget&amp;calendar LE 050728 (25I)_Category Template AC'11 @Cst Fx 52W vs 53W" xfId="6057"/>
    <cellStyle name="_Extra media plan 050329_DM 05 budgetplanning TV 050512_JF Masterflow June 15a_Wrigley - 05 budget&amp;calendar LE 050728 (25I)_Category Template AC'11 @Cst Fx 52W vs 53W 2" xfId="6058"/>
    <cellStyle name="_Extra media plan 050329_DM 05 budgetplanning TV 050512_JF Masterflow June 15a_Wrigley - 05 budget&amp;calendar LE 050728 (25I)_Category Template AC'11 @Cst Fx 52W vs 53W_P&amp;L KFE" xfId="6059"/>
    <cellStyle name="_Extra media plan 050329_DM 05 budgetplanning TV 050512_JF Masterflow June 15a_Wrigley - 05 budget&amp;calendar LE 050728 (25I)_Category Template AC'11 @Cst Fx 52W vs 53W_Sheet3" xfId="6060"/>
    <cellStyle name="_Extra media plan 050329_DM 05 budgetplanning TV 050512_JF Masterflow June 15a_Wrigley - 05 budget&amp;calendar LE 050728 (25I)_P&amp;L KFE" xfId="6061"/>
    <cellStyle name="_Extra media plan 050329_DM 05 budgetplanning TV 050512_JF Masterflow June 15a_Wrigley - 05 budget&amp;calendar LE 050728 (25I)_Sheet3" xfId="6062"/>
    <cellStyle name="_Extra media plan 050329_DM 05 budgetplanning TV 050512_JF Masterflow June 15a_Wrigley - 05 budget&amp;calendar LE 050728 (25I)_Wrigley - 06 simple chart Sep 14" xfId="6063"/>
    <cellStyle name="_Extra media plan 050329_DM 05 budgetplanning TV 050512_JF Masterflow June 15a_Wrigley - 05 budget&amp;calendar LE 050728 (25I)_Wrigley - 06 simple chart Sep 14 2" xfId="6064"/>
    <cellStyle name="_Extra media plan 050329_DM 05 budgetplanning TV 050512_JF Masterflow June 15a_Wrigley - 05 budget&amp;calendar LE 050728 (25I)_Wrigley - 06 simple chart Sep 14_Category Template AC'11 @Cst Fx 52W vs 53W" xfId="6065"/>
    <cellStyle name="_Extra media plan 050329_DM 05 budgetplanning TV 050512_JF Masterflow June 15a_Wrigley - 05 budget&amp;calendar LE 050728 (25I)_Wrigley - 06 simple chart Sep 14_Category Template AC'11 @Cst Fx 52W vs 53W 2" xfId="6066"/>
    <cellStyle name="_Extra media plan 050329_DM 05 budgetplanning TV 050512_JF Masterflow June 15a_Wrigley - 05 budget&amp;calendar LE 050728 (25I)_Wrigley - 06 simple chart Sep 14_Category Template AC'11 @Cst Fx 52W vs 53W_P&amp;L KFE" xfId="6067"/>
    <cellStyle name="_Extra media plan 050329_DM 05 budgetplanning TV 050512_JF Masterflow June 15a_Wrigley - 05 budget&amp;calendar LE 050728 (25I)_Wrigley - 06 simple chart Sep 14_Category Template AC'11 @Cst Fx 52W vs 53W_Sheet3" xfId="6068"/>
    <cellStyle name="_Extra media plan 050329_DM 05 budgetplanning TV 050512_JF Masterflow June 15a_Wrigley - 05 budget&amp;calendar LE 050728 (25I)_Wrigley - 06 simple chart Sep 14_P&amp;L KFE" xfId="6069"/>
    <cellStyle name="_Extra media plan 050329_DM 05 budgetplanning TV 050512_JF Masterflow June 15a_Wrigley - 05 budget&amp;calendar LE 050728 (25I)_Wrigley - 06 simple chart Sep 14_Sheet3" xfId="6070"/>
    <cellStyle name="_Extra media plan 050329_DM 05 budgetplanning TV 050512_JF Masterflow June 15a_Wrigley - 05 budget&amp;calendar LE 050824 (25F)" xfId="6071"/>
    <cellStyle name="_Extra media plan 050329_DM 05 budgetplanning TV 050512_JF Masterflow June 15a_Wrigley - 05 budget&amp;calendar LE 050824 (25F) 2" xfId="6072"/>
    <cellStyle name="_Extra media plan 050329_DM 05 budgetplanning TV 050512_JF Masterflow June 15a_Wrigley - 05 budget&amp;calendar LE 050824 (25F)_Category Template AC'11 @Cst Fx 52W vs 53W" xfId="6073"/>
    <cellStyle name="_Extra media plan 050329_DM 05 budgetplanning TV 050512_JF Masterflow June 15a_Wrigley - 05 budget&amp;calendar LE 050824 (25F)_Category Template AC'11 @Cst Fx 52W vs 53W 2" xfId="6074"/>
    <cellStyle name="_Extra media plan 050329_DM 05 budgetplanning TV 050512_JF Masterflow June 15a_Wrigley - 05 budget&amp;calendar LE 050824 (25F)_Category Template AC'11 @Cst Fx 52W vs 53W_P&amp;L KFE" xfId="6075"/>
    <cellStyle name="_Extra media plan 050329_DM 05 budgetplanning TV 050512_JF Masterflow June 15a_Wrigley - 05 budget&amp;calendar LE 050824 (25F)_Category Template AC'11 @Cst Fx 52W vs 53W_Sheet3" xfId="6076"/>
    <cellStyle name="_Extra media plan 050329_DM 05 budgetplanning TV 050512_JF Masterflow June 15a_Wrigley - 05 budget&amp;calendar LE 050824 (25F)_P&amp;L KFE" xfId="6077"/>
    <cellStyle name="_Extra media plan 050329_DM 05 budgetplanning TV 050512_JF Masterflow June 15a_Wrigley - 05 budget&amp;calendar LE 050824 (25F)_Sheet3" xfId="6078"/>
    <cellStyle name="_Extra media plan 050329_DM 05 budgetplanning TV 050512_JF Masterflow June 15a_Wrigley - 05 budget&amp;calendar LE 050824 (25F)_Wrigley - 06 simple chart Sep 14" xfId="6079"/>
    <cellStyle name="_Extra media plan 050329_DM 05 budgetplanning TV 050512_JF Masterflow June 15a_Wrigley - 05 budget&amp;calendar LE 050824 (25F)_Wrigley - 06 simple chart Sep 14 2" xfId="6080"/>
    <cellStyle name="_Extra media plan 050329_DM 05 budgetplanning TV 050512_JF Masterflow June 15a_Wrigley - 05 budget&amp;calendar LE 050824 (25F)_Wrigley - 06 simple chart Sep 14_Category Template AC'11 @Cst Fx 52W vs 53W" xfId="6081"/>
    <cellStyle name="_Extra media plan 050329_DM 05 budgetplanning TV 050512_JF Masterflow June 15a_Wrigley - 05 budget&amp;calendar LE 050824 (25F)_Wrigley - 06 simple chart Sep 14_Category Template AC'11 @Cst Fx 52W vs 53W 2" xfId="6082"/>
    <cellStyle name="_Extra media plan 050329_DM 05 budgetplanning TV 050512_JF Masterflow June 15a_Wrigley - 05 budget&amp;calendar LE 050824 (25F)_Wrigley - 06 simple chart Sep 14_Category Template AC'11 @Cst Fx 52W vs 53W_P&amp;L KFE" xfId="6083"/>
    <cellStyle name="_Extra media plan 050329_DM 05 budgetplanning TV 050512_JF Masterflow June 15a_Wrigley - 05 budget&amp;calendar LE 050824 (25F)_Wrigley - 06 simple chart Sep 14_Category Template AC'11 @Cst Fx 52W vs 53W_Sheet3" xfId="6084"/>
    <cellStyle name="_Extra media plan 050329_DM 05 budgetplanning TV 050512_JF Masterflow June 15a_Wrigley - 05 budget&amp;calendar LE 050824 (25F)_Wrigley - 06 simple chart Sep 14_P&amp;L KFE" xfId="6085"/>
    <cellStyle name="_Extra media plan 050329_DM 05 budgetplanning TV 050512_JF Masterflow June 15a_Wrigley - 05 budget&amp;calendar LE 050824 (25F)_Wrigley - 06 simple chart Sep 14_Sheet3" xfId="6086"/>
    <cellStyle name="_Extra media plan 050329_DM 05 budgetplanning TV 050512_JF Masterflow June 15a_Wrigley - 05 budget&amp;calendar LE 050824 (25I)" xfId="6087"/>
    <cellStyle name="_Extra media plan 050329_DM 05 budgetplanning TV 050512_JF Masterflow June 15a_Wrigley - 05 budget&amp;calendar LE 050824 (25I) 2" xfId="6088"/>
    <cellStyle name="_Extra media plan 050329_DM 05 budgetplanning TV 050512_JF Masterflow June 15a_Wrigley - 05 budget&amp;calendar LE 050824 (25I)_Category Template AC'11 @Cst Fx 52W vs 53W" xfId="6089"/>
    <cellStyle name="_Extra media plan 050329_DM 05 budgetplanning TV 050512_JF Masterflow June 15a_Wrigley - 05 budget&amp;calendar LE 050824 (25I)_Category Template AC'11 @Cst Fx 52W vs 53W 2" xfId="6090"/>
    <cellStyle name="_Extra media plan 050329_DM 05 budgetplanning TV 050512_JF Masterflow June 15a_Wrigley - 05 budget&amp;calendar LE 050824 (25I)_Category Template AC'11 @Cst Fx 52W vs 53W_P&amp;L KFE" xfId="6091"/>
    <cellStyle name="_Extra media plan 050329_DM 05 budgetplanning TV 050512_JF Masterflow June 15a_Wrigley - 05 budget&amp;calendar LE 050824 (25I)_Category Template AC'11 @Cst Fx 52W vs 53W_Sheet3" xfId="6092"/>
    <cellStyle name="_Extra media plan 050329_DM 05 budgetplanning TV 050512_JF Masterflow June 15a_Wrigley - 05 budget&amp;calendar LE 050824 (25I)_P&amp;L KFE" xfId="6093"/>
    <cellStyle name="_Extra media plan 050329_DM 05 budgetplanning TV 050512_JF Masterflow June 15a_Wrigley - 05 budget&amp;calendar LE 050824 (25I)_Sheet3" xfId="6094"/>
    <cellStyle name="_Extra media plan 050329_DM 05 budgetplanning TV 050512_JF Masterflow June 15a_Wrigley - 05 budget&amp;calendar LE 050824 (25I)_Wrigley - 06 simple chart Sep 14" xfId="6095"/>
    <cellStyle name="_Extra media plan 050329_DM 05 budgetplanning TV 050512_JF Masterflow June 15a_Wrigley - 05 budget&amp;calendar LE 050824 (25I)_Wrigley - 06 simple chart Sep 14 2" xfId="6096"/>
    <cellStyle name="_Extra media plan 050329_DM 05 budgetplanning TV 050512_JF Masterflow June 15a_Wrigley - 05 budget&amp;calendar LE 050824 (25I)_Wrigley - 06 simple chart Sep 14_Category Template AC'11 @Cst Fx 52W vs 53W" xfId="6097"/>
    <cellStyle name="_Extra media plan 050329_DM 05 budgetplanning TV 050512_JF Masterflow June 15a_Wrigley - 05 budget&amp;calendar LE 050824 (25I)_Wrigley - 06 simple chart Sep 14_Category Template AC'11 @Cst Fx 52W vs 53W 2" xfId="6098"/>
    <cellStyle name="_Extra media plan 050329_DM 05 budgetplanning TV 050512_JF Masterflow June 15a_Wrigley - 05 budget&amp;calendar LE 050824 (25I)_Wrigley - 06 simple chart Sep 14_Category Template AC'11 @Cst Fx 52W vs 53W_P&amp;L KFE" xfId="6099"/>
    <cellStyle name="_Extra media plan 050329_DM 05 budgetplanning TV 050512_JF Masterflow June 15a_Wrigley - 05 budget&amp;calendar LE 050824 (25I)_Wrigley - 06 simple chart Sep 14_Category Template AC'11 @Cst Fx 52W vs 53W_Sheet3" xfId="6100"/>
    <cellStyle name="_Extra media plan 050329_DM 05 budgetplanning TV 050512_JF Masterflow June 15a_Wrigley - 05 budget&amp;calendar LE 050824 (25I)_Wrigley - 06 simple chart Sep 14_P&amp;L KFE" xfId="6101"/>
    <cellStyle name="_Extra media plan 050329_DM 05 budgetplanning TV 050512_JF Masterflow June 15a_Wrigley - 05 budget&amp;calendar LE 050824 (25I)_Wrigley - 06 simple chart Sep 14_Sheet3" xfId="6102"/>
    <cellStyle name="_Extra media plan 050329_DM 05 budgetplanning TV 050512_JF Masterflow June 15a_Wrigley - 06 simple chart Sep 14" xfId="6103"/>
    <cellStyle name="_Extra media plan 050329_DM 05 budgetplanning TV 050512_JF Masterflow June 15a_Wrigley - 06 simple chart Sep 14 2" xfId="6104"/>
    <cellStyle name="_Extra media plan 050329_DM 05 budgetplanning TV 050512_JF Masterflow June 15a_Wrigley - 06 simple chart Sep 14_Category Template AC'11 @Cst Fx 52W vs 53W" xfId="6105"/>
    <cellStyle name="_Extra media plan 050329_DM 05 budgetplanning TV 050512_JF Masterflow June 15a_Wrigley - 06 simple chart Sep 14_Category Template AC'11 @Cst Fx 52W vs 53W 2" xfId="6106"/>
    <cellStyle name="_Extra media plan 050329_DM 05 budgetplanning TV 050512_JF Masterflow June 15a_Wrigley - 06 simple chart Sep 14_Category Template AC'11 @Cst Fx 52W vs 53W_P&amp;L KFE" xfId="6107"/>
    <cellStyle name="_Extra media plan 050329_DM 05 budgetplanning TV 050512_JF Masterflow June 15a_Wrigley - 06 simple chart Sep 14_Category Template AC'11 @Cst Fx 52W vs 53W_Sheet3" xfId="6108"/>
    <cellStyle name="_Extra media plan 050329_DM 05 budgetplanning TV 050512_JF Masterflow June 15a_Wrigley - 06 simple chart Sep 14_P&amp;L KFE" xfId="6109"/>
    <cellStyle name="_Extra media plan 050329_DM 05 budgetplanning TV 050512_JF Masterflow June 15a_Wrigley - 06 simple chart Sep 14_Sheet3" xfId="6110"/>
    <cellStyle name="_Extra media plan 050329_DM 05 budgetplanning TV 050512_P&amp;L KFE" xfId="6111"/>
    <cellStyle name="_Extra media plan 050329_DM 05 budgetplanning TV 050512_PP Masterflow June 15a" xfId="6112"/>
    <cellStyle name="_Extra media plan 050329_DM 05 budgetplanning TV 050512_PP Masterflow June 15a 2" xfId="6113"/>
    <cellStyle name="_Extra media plan 050329_DM 05 budgetplanning TV 050512_PP Masterflow June 15a_Book5" xfId="6114"/>
    <cellStyle name="_Extra media plan 050329_DM 05 budgetplanning TV 050512_PP Masterflow June 15a_Book5 2" xfId="6115"/>
    <cellStyle name="_Extra media plan 050329_DM 05 budgetplanning TV 050512_PP Masterflow June 15a_Book5_Category Template AC'11 @Cst Fx 52W vs 53W" xfId="6116"/>
    <cellStyle name="_Extra media plan 050329_DM 05 budgetplanning TV 050512_PP Masterflow June 15a_Book5_Category Template AC'11 @Cst Fx 52W vs 53W 2" xfId="6117"/>
    <cellStyle name="_Extra media plan 050329_DM 05 budgetplanning TV 050512_PP Masterflow June 15a_Book5_Category Template AC'11 @Cst Fx 52W vs 53W_P&amp;L KFE" xfId="6118"/>
    <cellStyle name="_Extra media plan 050329_DM 05 budgetplanning TV 050512_PP Masterflow June 15a_Book5_Category Template AC'11 @Cst Fx 52W vs 53W_Sheet3" xfId="6119"/>
    <cellStyle name="_Extra media plan 050329_DM 05 budgetplanning TV 050512_PP Masterflow June 15a_Book5_P&amp;L KFE" xfId="6120"/>
    <cellStyle name="_Extra media plan 050329_DM 05 budgetplanning TV 050512_PP Masterflow June 15a_Book5_Sheet3" xfId="6121"/>
    <cellStyle name="_Extra media plan 050329_DM 05 budgetplanning TV 050512_PP Masterflow June 15a_Category Template AC'11 @Cst Fx 52W vs 53W" xfId="6122"/>
    <cellStyle name="_Extra media plan 050329_DM 05 budgetplanning TV 050512_PP Masterflow June 15a_Category Template AC'11 @Cst Fx 52W vs 53W 2" xfId="6123"/>
    <cellStyle name="_Extra media plan 050329_DM 05 budgetplanning TV 050512_PP Masterflow June 15a_Category Template AC'11 @Cst Fx 52W vs 53W_P&amp;L KFE" xfId="6124"/>
    <cellStyle name="_Extra media plan 050329_DM 05 budgetplanning TV 050512_PP Masterflow June 15a_Category Template AC'11 @Cst Fx 52W vs 53W_Sheet3" xfId="6125"/>
    <cellStyle name="_Extra media plan 050329_DM 05 budgetplanning TV 050512_PP Masterflow June 15a_P&amp;L KFE" xfId="6126"/>
    <cellStyle name="_Extra media plan 050329_DM 05 budgetplanning TV 050512_PP Masterflow June 15a_Sheet3" xfId="6127"/>
    <cellStyle name="_Extra media plan 050329_DM 05 budgetplanning TV 050512_PP Masterflow June 15a_Wrigley - 05 budget&amp;calendar LE 050728 (25I)" xfId="6128"/>
    <cellStyle name="_Extra media plan 050329_DM 05 budgetplanning TV 050512_PP Masterflow June 15a_Wrigley - 05 budget&amp;calendar LE 050728 (25I) 2" xfId="6129"/>
    <cellStyle name="_Extra media plan 050329_DM 05 budgetplanning TV 050512_PP Masterflow June 15a_Wrigley - 05 budget&amp;calendar LE 050728 (25I)_Category Template AC'11 @Cst Fx 52W vs 53W" xfId="6130"/>
    <cellStyle name="_Extra media plan 050329_DM 05 budgetplanning TV 050512_PP Masterflow June 15a_Wrigley - 05 budget&amp;calendar LE 050728 (25I)_Category Template AC'11 @Cst Fx 52W vs 53W 2" xfId="6131"/>
    <cellStyle name="_Extra media plan 050329_DM 05 budgetplanning TV 050512_PP Masterflow June 15a_Wrigley - 05 budget&amp;calendar LE 050728 (25I)_Category Template AC'11 @Cst Fx 52W vs 53W_P&amp;L KFE" xfId="6132"/>
    <cellStyle name="_Extra media plan 050329_DM 05 budgetplanning TV 050512_PP Masterflow June 15a_Wrigley - 05 budget&amp;calendar LE 050728 (25I)_Category Template AC'11 @Cst Fx 52W vs 53W_Sheet3" xfId="6133"/>
    <cellStyle name="_Extra media plan 050329_DM 05 budgetplanning TV 050512_PP Masterflow June 15a_Wrigley - 05 budget&amp;calendar LE 050728 (25I)_P&amp;L KFE" xfId="6134"/>
    <cellStyle name="_Extra media plan 050329_DM 05 budgetplanning TV 050512_PP Masterflow June 15a_Wrigley - 05 budget&amp;calendar LE 050728 (25I)_Sheet3" xfId="6135"/>
    <cellStyle name="_Extra media plan 050329_DM 05 budgetplanning TV 050512_PP Masterflow June 15a_Wrigley - 05 budget&amp;calendar LE 050728 (25I)_Wrigley - 06 simple chart Sep 14" xfId="6136"/>
    <cellStyle name="_Extra media plan 050329_DM 05 budgetplanning TV 050512_PP Masterflow June 15a_Wrigley - 05 budget&amp;calendar LE 050728 (25I)_Wrigley - 06 simple chart Sep 14 2" xfId="6137"/>
    <cellStyle name="_Extra media plan 050329_DM 05 budgetplanning TV 050512_PP Masterflow June 15a_Wrigley - 05 budget&amp;calendar LE 050728 (25I)_Wrigley - 06 simple chart Sep 14_Category Template AC'11 @Cst Fx 52W vs 53W" xfId="6138"/>
    <cellStyle name="_Extra media plan 050329_DM 05 budgetplanning TV 050512_PP Masterflow June 15a_Wrigley - 05 budget&amp;calendar LE 050728 (25I)_Wrigley - 06 simple chart Sep 14_Category Template AC'11 @Cst Fx 52W vs 53W 2" xfId="6139"/>
    <cellStyle name="_Extra media plan 050329_DM 05 budgetplanning TV 050512_PP Masterflow June 15a_Wrigley - 05 budget&amp;calendar LE 050728 (25I)_Wrigley - 06 simple chart Sep 14_Category Template AC'11 @Cst Fx 52W vs 53W_P&amp;L KFE" xfId="6140"/>
    <cellStyle name="_Extra media plan 050329_DM 05 budgetplanning TV 050512_PP Masterflow June 15a_Wrigley - 05 budget&amp;calendar LE 050728 (25I)_Wrigley - 06 simple chart Sep 14_Category Template AC'11 @Cst Fx 52W vs 53W_Sheet3" xfId="6141"/>
    <cellStyle name="_Extra media plan 050329_DM 05 budgetplanning TV 050512_PP Masterflow June 15a_Wrigley - 05 budget&amp;calendar LE 050728 (25I)_Wrigley - 06 simple chart Sep 14_P&amp;L KFE" xfId="6142"/>
    <cellStyle name="_Extra media plan 050329_DM 05 budgetplanning TV 050512_PP Masterflow June 15a_Wrigley - 05 budget&amp;calendar LE 050728 (25I)_Wrigley - 06 simple chart Sep 14_Sheet3" xfId="6143"/>
    <cellStyle name="_Extra media plan 050329_DM 05 budgetplanning TV 050512_PP Masterflow June 15a_Wrigley - 05 budget&amp;calendar LE 050824 (25F)" xfId="6144"/>
    <cellStyle name="_Extra media plan 050329_DM 05 budgetplanning TV 050512_PP Masterflow June 15a_Wrigley - 05 budget&amp;calendar LE 050824 (25F) 2" xfId="6145"/>
    <cellStyle name="_Extra media plan 050329_DM 05 budgetplanning TV 050512_PP Masterflow June 15a_Wrigley - 05 budget&amp;calendar LE 050824 (25F)_Category Template AC'11 @Cst Fx 52W vs 53W" xfId="6146"/>
    <cellStyle name="_Extra media plan 050329_DM 05 budgetplanning TV 050512_PP Masterflow June 15a_Wrigley - 05 budget&amp;calendar LE 050824 (25F)_Category Template AC'11 @Cst Fx 52W vs 53W 2" xfId="6147"/>
    <cellStyle name="_Extra media plan 050329_DM 05 budgetplanning TV 050512_PP Masterflow June 15a_Wrigley - 05 budget&amp;calendar LE 050824 (25F)_Category Template AC'11 @Cst Fx 52W vs 53W_P&amp;L KFE" xfId="6148"/>
    <cellStyle name="_Extra media plan 050329_DM 05 budgetplanning TV 050512_PP Masterflow June 15a_Wrigley - 05 budget&amp;calendar LE 050824 (25F)_Category Template AC'11 @Cst Fx 52W vs 53W_Sheet3" xfId="6149"/>
    <cellStyle name="_Extra media plan 050329_DM 05 budgetplanning TV 050512_PP Masterflow June 15a_Wrigley - 05 budget&amp;calendar LE 050824 (25F)_P&amp;L KFE" xfId="6150"/>
    <cellStyle name="_Extra media plan 050329_DM 05 budgetplanning TV 050512_PP Masterflow June 15a_Wrigley - 05 budget&amp;calendar LE 050824 (25F)_Sheet3" xfId="6151"/>
    <cellStyle name="_Extra media plan 050329_DM 05 budgetplanning TV 050512_PP Masterflow June 15a_Wrigley - 05 budget&amp;calendar LE 050824 (25F)_Wrigley - 06 simple chart Sep 14" xfId="6152"/>
    <cellStyle name="_Extra media plan 050329_DM 05 budgetplanning TV 050512_PP Masterflow June 15a_Wrigley - 05 budget&amp;calendar LE 050824 (25F)_Wrigley - 06 simple chart Sep 14 2" xfId="6153"/>
    <cellStyle name="_Extra media plan 050329_DM 05 budgetplanning TV 050512_PP Masterflow June 15a_Wrigley - 05 budget&amp;calendar LE 050824 (25F)_Wrigley - 06 simple chart Sep 14_Category Template AC'11 @Cst Fx 52W vs 53W" xfId="6154"/>
    <cellStyle name="_Extra media plan 050329_DM 05 budgetplanning TV 050512_PP Masterflow June 15a_Wrigley - 05 budget&amp;calendar LE 050824 (25F)_Wrigley - 06 simple chart Sep 14_Category Template AC'11 @Cst Fx 52W vs 53W 2" xfId="6155"/>
    <cellStyle name="_Extra media plan 050329_DM 05 budgetplanning TV 050512_PP Masterflow June 15a_Wrigley - 05 budget&amp;calendar LE 050824 (25F)_Wrigley - 06 simple chart Sep 14_Category Template AC'11 @Cst Fx 52W vs 53W_P&amp;L KFE" xfId="6156"/>
    <cellStyle name="_Extra media plan 050329_DM 05 budgetplanning TV 050512_PP Masterflow June 15a_Wrigley - 05 budget&amp;calendar LE 050824 (25F)_Wrigley - 06 simple chart Sep 14_Category Template AC'11 @Cst Fx 52W vs 53W_Sheet3" xfId="6157"/>
    <cellStyle name="_Extra media plan 050329_DM 05 budgetplanning TV 050512_PP Masterflow June 15a_Wrigley - 05 budget&amp;calendar LE 050824 (25F)_Wrigley - 06 simple chart Sep 14_P&amp;L KFE" xfId="6158"/>
    <cellStyle name="_Extra media plan 050329_DM 05 budgetplanning TV 050512_PP Masterflow June 15a_Wrigley - 05 budget&amp;calendar LE 050824 (25F)_Wrigley - 06 simple chart Sep 14_Sheet3" xfId="6159"/>
    <cellStyle name="_Extra media plan 050329_DM 05 budgetplanning TV 050512_PP Masterflow June 15a_Wrigley - 05 budget&amp;calendar LE 050824 (25I)" xfId="6160"/>
    <cellStyle name="_Extra media plan 050329_DM 05 budgetplanning TV 050512_PP Masterflow June 15a_Wrigley - 05 budget&amp;calendar LE 050824 (25I) 2" xfId="6161"/>
    <cellStyle name="_Extra media plan 050329_DM 05 budgetplanning TV 050512_PP Masterflow June 15a_Wrigley - 05 budget&amp;calendar LE 050824 (25I)_Category Template AC'11 @Cst Fx 52W vs 53W" xfId="6162"/>
    <cellStyle name="_Extra media plan 050329_DM 05 budgetplanning TV 050512_PP Masterflow June 15a_Wrigley - 05 budget&amp;calendar LE 050824 (25I)_Category Template AC'11 @Cst Fx 52W vs 53W 2" xfId="6163"/>
    <cellStyle name="_Extra media plan 050329_DM 05 budgetplanning TV 050512_PP Masterflow June 15a_Wrigley - 05 budget&amp;calendar LE 050824 (25I)_Category Template AC'11 @Cst Fx 52W vs 53W_P&amp;L KFE" xfId="6164"/>
    <cellStyle name="_Extra media plan 050329_DM 05 budgetplanning TV 050512_PP Masterflow June 15a_Wrigley - 05 budget&amp;calendar LE 050824 (25I)_Category Template AC'11 @Cst Fx 52W vs 53W_Sheet3" xfId="6165"/>
    <cellStyle name="_Extra media plan 050329_DM 05 budgetplanning TV 050512_PP Masterflow June 15a_Wrigley - 05 budget&amp;calendar LE 050824 (25I)_P&amp;L KFE" xfId="6166"/>
    <cellStyle name="_Extra media plan 050329_DM 05 budgetplanning TV 050512_PP Masterflow June 15a_Wrigley - 05 budget&amp;calendar LE 050824 (25I)_Sheet3" xfId="6167"/>
    <cellStyle name="_Extra media plan 050329_DM 05 budgetplanning TV 050512_PP Masterflow June 15a_Wrigley - 05 budget&amp;calendar LE 050824 (25I)_Wrigley - 06 simple chart Sep 14" xfId="6168"/>
    <cellStyle name="_Extra media plan 050329_DM 05 budgetplanning TV 050512_PP Masterflow June 15a_Wrigley - 05 budget&amp;calendar LE 050824 (25I)_Wrigley - 06 simple chart Sep 14 2" xfId="6169"/>
    <cellStyle name="_Extra media plan 050329_DM 05 budgetplanning TV 050512_PP Masterflow June 15a_Wrigley - 05 budget&amp;calendar LE 050824 (25I)_Wrigley - 06 simple chart Sep 14_Category Template AC'11 @Cst Fx 52W vs 53W" xfId="6170"/>
    <cellStyle name="_Extra media plan 050329_DM 05 budgetplanning TV 050512_PP Masterflow June 15a_Wrigley - 05 budget&amp;calendar LE 050824 (25I)_Wrigley - 06 simple chart Sep 14_Category Template AC'11 @Cst Fx 52W vs 53W 2" xfId="6171"/>
    <cellStyle name="_Extra media plan 050329_DM 05 budgetplanning TV 050512_PP Masterflow June 15a_Wrigley - 05 budget&amp;calendar LE 050824 (25I)_Wrigley - 06 simple chart Sep 14_Category Template AC'11 @Cst Fx 52W vs 53W_P&amp;L KFE" xfId="6172"/>
    <cellStyle name="_Extra media plan 050329_DM 05 budgetplanning TV 050512_PP Masterflow June 15a_Wrigley - 05 budget&amp;calendar LE 050824 (25I)_Wrigley - 06 simple chart Sep 14_Category Template AC'11 @Cst Fx 52W vs 53W_Sheet3" xfId="6173"/>
    <cellStyle name="_Extra media plan 050329_DM 05 budgetplanning TV 050512_PP Masterflow June 15a_Wrigley - 05 budget&amp;calendar LE 050824 (25I)_Wrigley - 06 simple chart Sep 14_P&amp;L KFE" xfId="6174"/>
    <cellStyle name="_Extra media plan 050329_DM 05 budgetplanning TV 050512_PP Masterflow June 15a_Wrigley - 05 budget&amp;calendar LE 050824 (25I)_Wrigley - 06 simple chart Sep 14_Sheet3" xfId="6175"/>
    <cellStyle name="_Extra media plan 050329_DM 05 budgetplanning TV 050512_PP Masterflow June 15a_Wrigley - 06 simple chart Sep 14" xfId="6176"/>
    <cellStyle name="_Extra media plan 050329_DM 05 budgetplanning TV 050512_PP Masterflow June 15a_Wrigley - 06 simple chart Sep 14 2" xfId="6177"/>
    <cellStyle name="_Extra media plan 050329_DM 05 budgetplanning TV 050512_PP Masterflow June 15a_Wrigley - 06 simple chart Sep 14_Category Template AC'11 @Cst Fx 52W vs 53W" xfId="6178"/>
    <cellStyle name="_Extra media plan 050329_DM 05 budgetplanning TV 050512_PP Masterflow June 15a_Wrigley - 06 simple chart Sep 14_Category Template AC'11 @Cst Fx 52W vs 53W 2" xfId="6179"/>
    <cellStyle name="_Extra media plan 050329_DM 05 budgetplanning TV 050512_PP Masterflow June 15a_Wrigley - 06 simple chart Sep 14_Category Template AC'11 @Cst Fx 52W vs 53W_P&amp;L KFE" xfId="6180"/>
    <cellStyle name="_Extra media plan 050329_DM 05 budgetplanning TV 050512_PP Masterflow June 15a_Wrigley - 06 simple chart Sep 14_Category Template AC'11 @Cst Fx 52W vs 53W_Sheet3" xfId="6181"/>
    <cellStyle name="_Extra media plan 050329_DM 05 budgetplanning TV 050512_PP Masterflow June 15a_Wrigley - 06 simple chart Sep 14_P&amp;L KFE" xfId="6182"/>
    <cellStyle name="_Extra media plan 050329_DM 05 budgetplanning TV 050512_PP Masterflow June 15a_Wrigley - 06 simple chart Sep 14_Sheet3" xfId="6183"/>
    <cellStyle name="_Extra media plan 050329_DM 05 budgetplanning TV 050512_Sheet3" xfId="6184"/>
    <cellStyle name="_Extra media plan 050329_DM 05 budgetplanning TV 050512_TJ Masterflow June 15" xfId="6185"/>
    <cellStyle name="_Extra media plan 050329_DM 05 budgetplanning TV 050512_TJ Masterflow June 15 2" xfId="6186"/>
    <cellStyle name="_Extra media plan 050329_DM 05 budgetplanning TV 050512_TJ Masterflow June 15_Book5" xfId="6187"/>
    <cellStyle name="_Extra media plan 050329_DM 05 budgetplanning TV 050512_TJ Masterflow June 15_Book5 2" xfId="6188"/>
    <cellStyle name="_Extra media plan 050329_DM 05 budgetplanning TV 050512_TJ Masterflow June 15_Book5_Category Template AC'11 @Cst Fx 52W vs 53W" xfId="6189"/>
    <cellStyle name="_Extra media plan 050329_DM 05 budgetplanning TV 050512_TJ Masterflow June 15_Book5_Category Template AC'11 @Cst Fx 52W vs 53W 2" xfId="6190"/>
    <cellStyle name="_Extra media plan 050329_DM 05 budgetplanning TV 050512_TJ Masterflow June 15_Book5_Category Template AC'11 @Cst Fx 52W vs 53W_P&amp;L KFE" xfId="6191"/>
    <cellStyle name="_Extra media plan 050329_DM 05 budgetplanning TV 050512_TJ Masterflow June 15_Book5_Category Template AC'11 @Cst Fx 52W vs 53W_Sheet3" xfId="6192"/>
    <cellStyle name="_Extra media plan 050329_DM 05 budgetplanning TV 050512_TJ Masterflow June 15_Book5_P&amp;L KFE" xfId="6193"/>
    <cellStyle name="_Extra media plan 050329_DM 05 budgetplanning TV 050512_TJ Masterflow June 15_Book5_Sheet3" xfId="6194"/>
    <cellStyle name="_Extra media plan 050329_DM 05 budgetplanning TV 050512_TJ Masterflow June 15_Category Template AC'11 @Cst Fx 52W vs 53W" xfId="6195"/>
    <cellStyle name="_Extra media plan 050329_DM 05 budgetplanning TV 050512_TJ Masterflow June 15_Category Template AC'11 @Cst Fx 52W vs 53W 2" xfId="6196"/>
    <cellStyle name="_Extra media plan 050329_DM 05 budgetplanning TV 050512_TJ Masterflow June 15_Category Template AC'11 @Cst Fx 52W vs 53W_P&amp;L KFE" xfId="6197"/>
    <cellStyle name="_Extra media plan 050329_DM 05 budgetplanning TV 050512_TJ Masterflow June 15_Category Template AC'11 @Cst Fx 52W vs 53W_Sheet3" xfId="6198"/>
    <cellStyle name="_Extra media plan 050329_DM 05 budgetplanning TV 050512_TJ Masterflow June 15_P&amp;L KFE" xfId="6199"/>
    <cellStyle name="_Extra media plan 050329_DM 05 budgetplanning TV 050512_TJ Masterflow June 15_Sheet3" xfId="6200"/>
    <cellStyle name="_Extra media plan 050329_DM 05 budgetplanning TV 050512_TJ Masterflow June 15_Wrigley - 05 budget&amp;calendar LE 050728 (25I)" xfId="6201"/>
    <cellStyle name="_Extra media plan 050329_DM 05 budgetplanning TV 050512_TJ Masterflow June 15_Wrigley - 05 budget&amp;calendar LE 050728 (25I) 2" xfId="6202"/>
    <cellStyle name="_Extra media plan 050329_DM 05 budgetplanning TV 050512_TJ Masterflow June 15_Wrigley - 05 budget&amp;calendar LE 050728 (25I)_Category Template AC'11 @Cst Fx 52W vs 53W" xfId="6203"/>
    <cellStyle name="_Extra media plan 050329_DM 05 budgetplanning TV 050512_TJ Masterflow June 15_Wrigley - 05 budget&amp;calendar LE 050728 (25I)_Category Template AC'11 @Cst Fx 52W vs 53W 2" xfId="6204"/>
    <cellStyle name="_Extra media plan 050329_DM 05 budgetplanning TV 050512_TJ Masterflow June 15_Wrigley - 05 budget&amp;calendar LE 050728 (25I)_Category Template AC'11 @Cst Fx 52W vs 53W_P&amp;L KFE" xfId="6205"/>
    <cellStyle name="_Extra media plan 050329_DM 05 budgetplanning TV 050512_TJ Masterflow June 15_Wrigley - 05 budget&amp;calendar LE 050728 (25I)_Category Template AC'11 @Cst Fx 52W vs 53W_Sheet3" xfId="6206"/>
    <cellStyle name="_Extra media plan 050329_DM 05 budgetplanning TV 050512_TJ Masterflow June 15_Wrigley - 05 budget&amp;calendar LE 050728 (25I)_P&amp;L KFE" xfId="6207"/>
    <cellStyle name="_Extra media plan 050329_DM 05 budgetplanning TV 050512_TJ Masterflow June 15_Wrigley - 05 budget&amp;calendar LE 050728 (25I)_Sheet3" xfId="6208"/>
    <cellStyle name="_Extra media plan 050329_DM 05 budgetplanning TV 050512_TJ Masterflow June 15_Wrigley - 05 budget&amp;calendar LE 050728 (25I)_Wrigley - 06 simple chart Sep 14" xfId="6209"/>
    <cellStyle name="_Extra media plan 050329_DM 05 budgetplanning TV 050512_TJ Masterflow June 15_Wrigley - 05 budget&amp;calendar LE 050728 (25I)_Wrigley - 06 simple chart Sep 14 2" xfId="6210"/>
    <cellStyle name="_Extra media plan 050329_DM 05 budgetplanning TV 050512_TJ Masterflow June 15_Wrigley - 05 budget&amp;calendar LE 050728 (25I)_Wrigley - 06 simple chart Sep 14_Category Template AC'11 @Cst Fx 52W vs 53W" xfId="6211"/>
    <cellStyle name="_Extra media plan 050329_DM 05 budgetplanning TV 050512_TJ Masterflow June 15_Wrigley - 05 budget&amp;calendar LE 050728 (25I)_Wrigley - 06 simple chart Sep 14_Category Template AC'11 @Cst Fx 52W vs 53W 2" xfId="6212"/>
    <cellStyle name="_Extra media plan 050329_DM 05 budgetplanning TV 050512_TJ Masterflow June 15_Wrigley - 05 budget&amp;calendar LE 050728 (25I)_Wrigley - 06 simple chart Sep 14_Category Template AC'11 @Cst Fx 52W vs 53W_P&amp;L KFE" xfId="6213"/>
    <cellStyle name="_Extra media plan 050329_DM 05 budgetplanning TV 050512_TJ Masterflow June 15_Wrigley - 05 budget&amp;calendar LE 050728 (25I)_Wrigley - 06 simple chart Sep 14_Category Template AC'11 @Cst Fx 52W vs 53W_Sheet3" xfId="6214"/>
    <cellStyle name="_Extra media plan 050329_DM 05 budgetplanning TV 050512_TJ Masterflow June 15_Wrigley - 05 budget&amp;calendar LE 050728 (25I)_Wrigley - 06 simple chart Sep 14_P&amp;L KFE" xfId="6215"/>
    <cellStyle name="_Extra media plan 050329_DM 05 budgetplanning TV 050512_TJ Masterflow June 15_Wrigley - 05 budget&amp;calendar LE 050728 (25I)_Wrigley - 06 simple chart Sep 14_Sheet3" xfId="6216"/>
    <cellStyle name="_Extra media plan 050329_DM 05 budgetplanning TV 050512_TJ Masterflow June 15_Wrigley - 05 budget&amp;calendar LE 050824 (25F)" xfId="6217"/>
    <cellStyle name="_Extra media plan 050329_DM 05 budgetplanning TV 050512_TJ Masterflow June 15_Wrigley - 05 budget&amp;calendar LE 050824 (25F) 2" xfId="6218"/>
    <cellStyle name="_Extra media plan 050329_DM 05 budgetplanning TV 050512_TJ Masterflow June 15_Wrigley - 05 budget&amp;calendar LE 050824 (25F)_Category Template AC'11 @Cst Fx 52W vs 53W" xfId="6219"/>
    <cellStyle name="_Extra media plan 050329_DM 05 budgetplanning TV 050512_TJ Masterflow June 15_Wrigley - 05 budget&amp;calendar LE 050824 (25F)_Category Template AC'11 @Cst Fx 52W vs 53W 2" xfId="6220"/>
    <cellStyle name="_Extra media plan 050329_DM 05 budgetplanning TV 050512_TJ Masterflow June 15_Wrigley - 05 budget&amp;calendar LE 050824 (25F)_Category Template AC'11 @Cst Fx 52W vs 53W_P&amp;L KFE" xfId="6221"/>
    <cellStyle name="_Extra media plan 050329_DM 05 budgetplanning TV 050512_TJ Masterflow June 15_Wrigley - 05 budget&amp;calendar LE 050824 (25F)_Category Template AC'11 @Cst Fx 52W vs 53W_Sheet3" xfId="6222"/>
    <cellStyle name="_Extra media plan 050329_DM 05 budgetplanning TV 050512_TJ Masterflow June 15_Wrigley - 05 budget&amp;calendar LE 050824 (25F)_P&amp;L KFE" xfId="6223"/>
    <cellStyle name="_Extra media plan 050329_DM 05 budgetplanning TV 050512_TJ Masterflow June 15_Wrigley - 05 budget&amp;calendar LE 050824 (25F)_Sheet3" xfId="6224"/>
    <cellStyle name="_Extra media plan 050329_DM 05 budgetplanning TV 050512_TJ Masterflow June 15_Wrigley - 05 budget&amp;calendar LE 050824 (25F)_Wrigley - 06 simple chart Sep 14" xfId="6225"/>
    <cellStyle name="_Extra media plan 050329_DM 05 budgetplanning TV 050512_TJ Masterflow June 15_Wrigley - 05 budget&amp;calendar LE 050824 (25F)_Wrigley - 06 simple chart Sep 14 2" xfId="6226"/>
    <cellStyle name="_Extra media plan 050329_DM 05 budgetplanning TV 050512_TJ Masterflow June 15_Wrigley - 05 budget&amp;calendar LE 050824 (25F)_Wrigley - 06 simple chart Sep 14_Category Template AC'11 @Cst Fx 52W vs 53W" xfId="6227"/>
    <cellStyle name="_Extra media plan 050329_DM 05 budgetplanning TV 050512_TJ Masterflow June 15_Wrigley - 05 budget&amp;calendar LE 050824 (25F)_Wrigley - 06 simple chart Sep 14_Category Template AC'11 @Cst Fx 52W vs 53W 2" xfId="6228"/>
    <cellStyle name="_Extra media plan 050329_DM 05 budgetplanning TV 050512_TJ Masterflow June 15_Wrigley - 05 budget&amp;calendar LE 050824 (25F)_Wrigley - 06 simple chart Sep 14_Category Template AC'11 @Cst Fx 52W vs 53W_P&amp;L KFE" xfId="6229"/>
    <cellStyle name="_Extra media plan 050329_DM 05 budgetplanning TV 050512_TJ Masterflow June 15_Wrigley - 05 budget&amp;calendar LE 050824 (25F)_Wrigley - 06 simple chart Sep 14_Category Template AC'11 @Cst Fx 52W vs 53W_Sheet3" xfId="6230"/>
    <cellStyle name="_Extra media plan 050329_DM 05 budgetplanning TV 050512_TJ Masterflow June 15_Wrigley - 05 budget&amp;calendar LE 050824 (25F)_Wrigley - 06 simple chart Sep 14_P&amp;L KFE" xfId="6231"/>
    <cellStyle name="_Extra media plan 050329_DM 05 budgetplanning TV 050512_TJ Masterflow June 15_Wrigley - 05 budget&amp;calendar LE 050824 (25F)_Wrigley - 06 simple chart Sep 14_Sheet3" xfId="6232"/>
    <cellStyle name="_Extra media plan 050329_DM 05 budgetplanning TV 050512_TJ Masterflow June 15_Wrigley - 05 budget&amp;calendar LE 050824 (25I)" xfId="6233"/>
    <cellStyle name="_Extra media plan 050329_DM 05 budgetplanning TV 050512_TJ Masterflow June 15_Wrigley - 05 budget&amp;calendar LE 050824 (25I) 2" xfId="6234"/>
    <cellStyle name="_Extra media plan 050329_DM 05 budgetplanning TV 050512_TJ Masterflow June 15_Wrigley - 05 budget&amp;calendar LE 050824 (25I)_Category Template AC'11 @Cst Fx 52W vs 53W" xfId="6235"/>
    <cellStyle name="_Extra media plan 050329_DM 05 budgetplanning TV 050512_TJ Masterflow June 15_Wrigley - 05 budget&amp;calendar LE 050824 (25I)_Category Template AC'11 @Cst Fx 52W vs 53W 2" xfId="6236"/>
    <cellStyle name="_Extra media plan 050329_DM 05 budgetplanning TV 050512_TJ Masterflow June 15_Wrigley - 05 budget&amp;calendar LE 050824 (25I)_Category Template AC'11 @Cst Fx 52W vs 53W_P&amp;L KFE" xfId="6237"/>
    <cellStyle name="_Extra media plan 050329_DM 05 budgetplanning TV 050512_TJ Masterflow June 15_Wrigley - 05 budget&amp;calendar LE 050824 (25I)_Category Template AC'11 @Cst Fx 52W vs 53W_Sheet3" xfId="6238"/>
    <cellStyle name="_Extra media plan 050329_DM 05 budgetplanning TV 050512_TJ Masterflow June 15_Wrigley - 05 budget&amp;calendar LE 050824 (25I)_P&amp;L KFE" xfId="6239"/>
    <cellStyle name="_Extra media plan 050329_DM 05 budgetplanning TV 050512_TJ Masterflow June 15_Wrigley - 05 budget&amp;calendar LE 050824 (25I)_Sheet3" xfId="6240"/>
    <cellStyle name="_Extra media plan 050329_DM 05 budgetplanning TV 050512_TJ Masterflow June 15_Wrigley - 05 budget&amp;calendar LE 050824 (25I)_Wrigley - 06 simple chart Sep 14" xfId="6241"/>
    <cellStyle name="_Extra media plan 050329_DM 05 budgetplanning TV 050512_TJ Masterflow June 15_Wrigley - 05 budget&amp;calendar LE 050824 (25I)_Wrigley - 06 simple chart Sep 14 2" xfId="6242"/>
    <cellStyle name="_Extra media plan 050329_DM 05 budgetplanning TV 050512_TJ Masterflow June 15_Wrigley - 05 budget&amp;calendar LE 050824 (25I)_Wrigley - 06 simple chart Sep 14_Category Template AC'11 @Cst Fx 52W vs 53W" xfId="6243"/>
    <cellStyle name="_Extra media plan 050329_DM 05 budgetplanning TV 050512_TJ Masterflow June 15_Wrigley - 05 budget&amp;calendar LE 050824 (25I)_Wrigley - 06 simple chart Sep 14_Category Template AC'11 @Cst Fx 52W vs 53W 2" xfId="6244"/>
    <cellStyle name="_Extra media plan 050329_DM 05 budgetplanning TV 050512_TJ Masterflow June 15_Wrigley - 05 budget&amp;calendar LE 050824 (25I)_Wrigley - 06 simple chart Sep 14_Category Template AC'11 @Cst Fx 52W vs 53W_P&amp;L KFE" xfId="6245"/>
    <cellStyle name="_Extra media plan 050329_DM 05 budgetplanning TV 050512_TJ Masterflow June 15_Wrigley - 05 budget&amp;calendar LE 050824 (25I)_Wrigley - 06 simple chart Sep 14_Category Template AC'11 @Cst Fx 52W vs 53W_Sheet3" xfId="6246"/>
    <cellStyle name="_Extra media plan 050329_DM 05 budgetplanning TV 050512_TJ Masterflow June 15_Wrigley - 05 budget&amp;calendar LE 050824 (25I)_Wrigley - 06 simple chart Sep 14_P&amp;L KFE" xfId="6247"/>
    <cellStyle name="_Extra media plan 050329_DM 05 budgetplanning TV 050512_TJ Masterflow June 15_Wrigley - 05 budget&amp;calendar LE 050824 (25I)_Wrigley - 06 simple chart Sep 14_Sheet3" xfId="6248"/>
    <cellStyle name="_Extra media plan 050329_DM 05 budgetplanning TV 050512_TJ Masterflow June 15_Wrigley - 06 simple chart Sep 14" xfId="6249"/>
    <cellStyle name="_Extra media plan 050329_DM 05 budgetplanning TV 050512_TJ Masterflow June 15_Wrigley - 06 simple chart Sep 14 2" xfId="6250"/>
    <cellStyle name="_Extra media plan 050329_DM 05 budgetplanning TV 050512_TJ Masterflow June 15_Wrigley - 06 simple chart Sep 14_Category Template AC'11 @Cst Fx 52W vs 53W" xfId="6251"/>
    <cellStyle name="_Extra media plan 050329_DM 05 budgetplanning TV 050512_TJ Masterflow June 15_Wrigley - 06 simple chart Sep 14_Category Template AC'11 @Cst Fx 52W vs 53W 2" xfId="6252"/>
    <cellStyle name="_Extra media plan 050329_DM 05 budgetplanning TV 050512_TJ Masterflow June 15_Wrigley - 06 simple chart Sep 14_Category Template AC'11 @Cst Fx 52W vs 53W_P&amp;L KFE" xfId="6253"/>
    <cellStyle name="_Extra media plan 050329_DM 05 budgetplanning TV 050512_TJ Masterflow June 15_Wrigley - 06 simple chart Sep 14_Category Template AC'11 @Cst Fx 52W vs 53W_Sheet3" xfId="6254"/>
    <cellStyle name="_Extra media plan 050329_DM 05 budgetplanning TV 050512_TJ Masterflow June 15_Wrigley - 06 simple chart Sep 14_P&amp;L KFE" xfId="6255"/>
    <cellStyle name="_Extra media plan 050329_DM 05 budgetplanning TV 050512_TJ Masterflow June 15_Wrigley - 06 simple chart Sep 14_Sheet3" xfId="6256"/>
    <cellStyle name="_Extra media plan 050329_DM 05 budgetplanning TV 050512_TP Masterflow June 15a" xfId="6257"/>
    <cellStyle name="_Extra media plan 050329_DM 05 budgetplanning TV 050512_TP Masterflow June 15a 2" xfId="6258"/>
    <cellStyle name="_Extra media plan 050329_DM 05 budgetplanning TV 050512_TP Masterflow June 15a_Book5" xfId="6259"/>
    <cellStyle name="_Extra media plan 050329_DM 05 budgetplanning TV 050512_TP Masterflow June 15a_Book5 2" xfId="6260"/>
    <cellStyle name="_Extra media plan 050329_DM 05 budgetplanning TV 050512_TP Masterflow June 15a_Book5_Category Template AC'11 @Cst Fx 52W vs 53W" xfId="6261"/>
    <cellStyle name="_Extra media plan 050329_DM 05 budgetplanning TV 050512_TP Masterflow June 15a_Book5_Category Template AC'11 @Cst Fx 52W vs 53W 2" xfId="6262"/>
    <cellStyle name="_Extra media plan 050329_DM 05 budgetplanning TV 050512_TP Masterflow June 15a_Book5_Category Template AC'11 @Cst Fx 52W vs 53W_P&amp;L KFE" xfId="6263"/>
    <cellStyle name="_Extra media plan 050329_DM 05 budgetplanning TV 050512_TP Masterflow June 15a_Book5_Category Template AC'11 @Cst Fx 52W vs 53W_Sheet3" xfId="6264"/>
    <cellStyle name="_Extra media plan 050329_DM 05 budgetplanning TV 050512_TP Masterflow June 15a_Book5_P&amp;L KFE" xfId="6265"/>
    <cellStyle name="_Extra media plan 050329_DM 05 budgetplanning TV 050512_TP Masterflow June 15a_Book5_Sheet3" xfId="6266"/>
    <cellStyle name="_Extra media plan 050329_DM 05 budgetplanning TV 050512_TP Masterflow June 15a_Category Template AC'11 @Cst Fx 52W vs 53W" xfId="6267"/>
    <cellStyle name="_Extra media plan 050329_DM 05 budgetplanning TV 050512_TP Masterflow June 15a_Category Template AC'11 @Cst Fx 52W vs 53W 2" xfId="6268"/>
    <cellStyle name="_Extra media plan 050329_DM 05 budgetplanning TV 050512_TP Masterflow June 15a_Category Template AC'11 @Cst Fx 52W vs 53W_P&amp;L KFE" xfId="6269"/>
    <cellStyle name="_Extra media plan 050329_DM 05 budgetplanning TV 050512_TP Masterflow June 15a_Category Template AC'11 @Cst Fx 52W vs 53W_Sheet3" xfId="6270"/>
    <cellStyle name="_Extra media plan 050329_DM 05 budgetplanning TV 050512_TP Masterflow June 15a_P&amp;L KFE" xfId="6271"/>
    <cellStyle name="_Extra media plan 050329_DM 05 budgetplanning TV 050512_TP Masterflow June 15a_Sheet3" xfId="6272"/>
    <cellStyle name="_Extra media plan 050329_DM 05 budgetplanning TV 050512_TP Masterflow June 15a_Wrigley - 05 budget&amp;calendar LE 050728 (25I)" xfId="6273"/>
    <cellStyle name="_Extra media plan 050329_DM 05 budgetplanning TV 050512_TP Masterflow June 15a_Wrigley - 05 budget&amp;calendar LE 050728 (25I) 2" xfId="6274"/>
    <cellStyle name="_Extra media plan 050329_DM 05 budgetplanning TV 050512_TP Masterflow June 15a_Wrigley - 05 budget&amp;calendar LE 050728 (25I)_Category Template AC'11 @Cst Fx 52W vs 53W" xfId="6275"/>
    <cellStyle name="_Extra media plan 050329_DM 05 budgetplanning TV 050512_TP Masterflow June 15a_Wrigley - 05 budget&amp;calendar LE 050728 (25I)_Category Template AC'11 @Cst Fx 52W vs 53W 2" xfId="6276"/>
    <cellStyle name="_Extra media plan 050329_DM 05 budgetplanning TV 050512_TP Masterflow June 15a_Wrigley - 05 budget&amp;calendar LE 050728 (25I)_Category Template AC'11 @Cst Fx 52W vs 53W_P&amp;L KFE" xfId="6277"/>
    <cellStyle name="_Extra media plan 050329_DM 05 budgetplanning TV 050512_TP Masterflow June 15a_Wrigley - 05 budget&amp;calendar LE 050728 (25I)_Category Template AC'11 @Cst Fx 52W vs 53W_Sheet3" xfId="6278"/>
    <cellStyle name="_Extra media plan 050329_DM 05 budgetplanning TV 050512_TP Masterflow June 15a_Wrigley - 05 budget&amp;calendar LE 050728 (25I)_P&amp;L KFE" xfId="6279"/>
    <cellStyle name="_Extra media plan 050329_DM 05 budgetplanning TV 050512_TP Masterflow June 15a_Wrigley - 05 budget&amp;calendar LE 050728 (25I)_Sheet3" xfId="6280"/>
    <cellStyle name="_Extra media plan 050329_DM 05 budgetplanning TV 050512_TP Masterflow June 15a_Wrigley - 05 budget&amp;calendar LE 050728 (25I)_Wrigley - 06 simple chart Sep 14" xfId="6281"/>
    <cellStyle name="_Extra media plan 050329_DM 05 budgetplanning TV 050512_TP Masterflow June 15a_Wrigley - 05 budget&amp;calendar LE 050728 (25I)_Wrigley - 06 simple chart Sep 14 2" xfId="6282"/>
    <cellStyle name="_Extra media plan 050329_DM 05 budgetplanning TV 050512_TP Masterflow June 15a_Wrigley - 05 budget&amp;calendar LE 050728 (25I)_Wrigley - 06 simple chart Sep 14_Category Template AC'11 @Cst Fx 52W vs 53W" xfId="6283"/>
    <cellStyle name="_Extra media plan 050329_DM 05 budgetplanning TV 050512_TP Masterflow June 15a_Wrigley - 05 budget&amp;calendar LE 050728 (25I)_Wrigley - 06 simple chart Sep 14_Category Template AC'11 @Cst Fx 52W vs 53W 2" xfId="6284"/>
    <cellStyle name="_Extra media plan 050329_DM 05 budgetplanning TV 050512_TP Masterflow June 15a_Wrigley - 05 budget&amp;calendar LE 050728 (25I)_Wrigley - 06 simple chart Sep 14_Category Template AC'11 @Cst Fx 52W vs 53W_P&amp;L KFE" xfId="6285"/>
    <cellStyle name="_Extra media plan 050329_DM 05 budgetplanning TV 050512_TP Masterflow June 15a_Wrigley - 05 budget&amp;calendar LE 050728 (25I)_Wrigley - 06 simple chart Sep 14_Category Template AC'11 @Cst Fx 52W vs 53W_Sheet3" xfId="6286"/>
    <cellStyle name="_Extra media plan 050329_DM 05 budgetplanning TV 050512_TP Masterflow June 15a_Wrigley - 05 budget&amp;calendar LE 050728 (25I)_Wrigley - 06 simple chart Sep 14_P&amp;L KFE" xfId="6287"/>
    <cellStyle name="_Extra media plan 050329_DM 05 budgetplanning TV 050512_TP Masterflow June 15a_Wrigley - 05 budget&amp;calendar LE 050728 (25I)_Wrigley - 06 simple chart Sep 14_Sheet3" xfId="6288"/>
    <cellStyle name="_Extra media plan 050329_DM 05 budgetplanning TV 050512_TP Masterflow June 15a_Wrigley - 05 budget&amp;calendar LE 050824 (25F)" xfId="6289"/>
    <cellStyle name="_Extra media plan 050329_DM 05 budgetplanning TV 050512_TP Masterflow June 15a_Wrigley - 05 budget&amp;calendar LE 050824 (25F) 2" xfId="6290"/>
    <cellStyle name="_Extra media plan 050329_DM 05 budgetplanning TV 050512_TP Masterflow June 15a_Wrigley - 05 budget&amp;calendar LE 050824 (25F)_Category Template AC'11 @Cst Fx 52W vs 53W" xfId="6291"/>
    <cellStyle name="_Extra media plan 050329_DM 05 budgetplanning TV 050512_TP Masterflow June 15a_Wrigley - 05 budget&amp;calendar LE 050824 (25F)_Category Template AC'11 @Cst Fx 52W vs 53W 2" xfId="6292"/>
    <cellStyle name="_Extra media plan 050329_DM 05 budgetplanning TV 050512_TP Masterflow June 15a_Wrigley - 05 budget&amp;calendar LE 050824 (25F)_Category Template AC'11 @Cst Fx 52W vs 53W_P&amp;L KFE" xfId="6293"/>
    <cellStyle name="_Extra media plan 050329_DM 05 budgetplanning TV 050512_TP Masterflow June 15a_Wrigley - 05 budget&amp;calendar LE 050824 (25F)_Category Template AC'11 @Cst Fx 52W vs 53W_Sheet3" xfId="6294"/>
    <cellStyle name="_Extra media plan 050329_DM 05 budgetplanning TV 050512_TP Masterflow June 15a_Wrigley - 05 budget&amp;calendar LE 050824 (25F)_P&amp;L KFE" xfId="6295"/>
    <cellStyle name="_Extra media plan 050329_DM 05 budgetplanning TV 050512_TP Masterflow June 15a_Wrigley - 05 budget&amp;calendar LE 050824 (25F)_Sheet3" xfId="6296"/>
    <cellStyle name="_Extra media plan 050329_DM 05 budgetplanning TV 050512_TP Masterflow June 15a_Wrigley - 05 budget&amp;calendar LE 050824 (25F)_Wrigley - 06 simple chart Sep 14" xfId="6297"/>
    <cellStyle name="_Extra media plan 050329_DM 05 budgetplanning TV 050512_TP Masterflow June 15a_Wrigley - 05 budget&amp;calendar LE 050824 (25F)_Wrigley - 06 simple chart Sep 14 2" xfId="6298"/>
    <cellStyle name="_Extra media plan 050329_DM 05 budgetplanning TV 050512_TP Masterflow June 15a_Wrigley - 05 budget&amp;calendar LE 050824 (25F)_Wrigley - 06 simple chart Sep 14_Category Template AC'11 @Cst Fx 52W vs 53W" xfId="6299"/>
    <cellStyle name="_Extra media plan 050329_DM 05 budgetplanning TV 050512_TP Masterflow June 15a_Wrigley - 05 budget&amp;calendar LE 050824 (25F)_Wrigley - 06 simple chart Sep 14_Category Template AC'11 @Cst Fx 52W vs 53W 2" xfId="6300"/>
    <cellStyle name="_Extra media plan 050329_DM 05 budgetplanning TV 050512_TP Masterflow June 15a_Wrigley - 05 budget&amp;calendar LE 050824 (25F)_Wrigley - 06 simple chart Sep 14_Category Template AC'11 @Cst Fx 52W vs 53W_P&amp;L KFE" xfId="6301"/>
    <cellStyle name="_Extra media plan 050329_DM 05 budgetplanning TV 050512_TP Masterflow June 15a_Wrigley - 05 budget&amp;calendar LE 050824 (25F)_Wrigley - 06 simple chart Sep 14_Category Template AC'11 @Cst Fx 52W vs 53W_Sheet3" xfId="6302"/>
    <cellStyle name="_Extra media plan 050329_DM 05 budgetplanning TV 050512_TP Masterflow June 15a_Wrigley - 05 budget&amp;calendar LE 050824 (25F)_Wrigley - 06 simple chart Sep 14_P&amp;L KFE" xfId="6303"/>
    <cellStyle name="_Extra media plan 050329_DM 05 budgetplanning TV 050512_TP Masterflow June 15a_Wrigley - 05 budget&amp;calendar LE 050824 (25F)_Wrigley - 06 simple chart Sep 14_Sheet3" xfId="6304"/>
    <cellStyle name="_Extra media plan 050329_DM 05 budgetplanning TV 050512_TP Masterflow June 15a_Wrigley - 05 budget&amp;calendar LE 050824 (25I)" xfId="6305"/>
    <cellStyle name="_Extra media plan 050329_DM 05 budgetplanning TV 050512_TP Masterflow June 15a_Wrigley - 05 budget&amp;calendar LE 050824 (25I) 2" xfId="6306"/>
    <cellStyle name="_Extra media plan 050329_DM 05 budgetplanning TV 050512_TP Masterflow June 15a_Wrigley - 05 budget&amp;calendar LE 050824 (25I)_Category Template AC'11 @Cst Fx 52W vs 53W" xfId="6307"/>
    <cellStyle name="_Extra media plan 050329_DM 05 budgetplanning TV 050512_TP Masterflow June 15a_Wrigley - 05 budget&amp;calendar LE 050824 (25I)_Category Template AC'11 @Cst Fx 52W vs 53W 2" xfId="6308"/>
    <cellStyle name="_Extra media plan 050329_DM 05 budgetplanning TV 050512_TP Masterflow June 15a_Wrigley - 05 budget&amp;calendar LE 050824 (25I)_Category Template AC'11 @Cst Fx 52W vs 53W_P&amp;L KFE" xfId="6309"/>
    <cellStyle name="_Extra media plan 050329_DM 05 budgetplanning TV 050512_TP Masterflow June 15a_Wrigley - 05 budget&amp;calendar LE 050824 (25I)_Category Template AC'11 @Cst Fx 52W vs 53W_Sheet3" xfId="6310"/>
    <cellStyle name="_Extra media plan 050329_DM 05 budgetplanning TV 050512_TP Masterflow June 15a_Wrigley - 05 budget&amp;calendar LE 050824 (25I)_P&amp;L KFE" xfId="6311"/>
    <cellStyle name="_Extra media plan 050329_DM 05 budgetplanning TV 050512_TP Masterflow June 15a_Wrigley - 05 budget&amp;calendar LE 050824 (25I)_Sheet3" xfId="6312"/>
    <cellStyle name="_Extra media plan 050329_DM 05 budgetplanning TV 050512_TP Masterflow June 15a_Wrigley - 05 budget&amp;calendar LE 050824 (25I)_Wrigley - 06 simple chart Sep 14" xfId="6313"/>
    <cellStyle name="_Extra media plan 050329_DM 05 budgetplanning TV 050512_TP Masterflow June 15a_Wrigley - 05 budget&amp;calendar LE 050824 (25I)_Wrigley - 06 simple chart Sep 14 2" xfId="6314"/>
    <cellStyle name="_Extra media plan 050329_DM 05 budgetplanning TV 050512_TP Masterflow June 15a_Wrigley - 05 budget&amp;calendar LE 050824 (25I)_Wrigley - 06 simple chart Sep 14_Category Template AC'11 @Cst Fx 52W vs 53W" xfId="6315"/>
    <cellStyle name="_Extra media plan 050329_DM 05 budgetplanning TV 050512_TP Masterflow June 15a_Wrigley - 05 budget&amp;calendar LE 050824 (25I)_Wrigley - 06 simple chart Sep 14_Category Template AC'11 @Cst Fx 52W vs 53W 2" xfId="6316"/>
    <cellStyle name="_Extra media plan 050329_DM 05 budgetplanning TV 050512_TP Masterflow June 15a_Wrigley - 05 budget&amp;calendar LE 050824 (25I)_Wrigley - 06 simple chart Sep 14_Category Template AC'11 @Cst Fx 52W vs 53W_P&amp;L KFE" xfId="6317"/>
    <cellStyle name="_Extra media plan 050329_DM 05 budgetplanning TV 050512_TP Masterflow June 15a_Wrigley - 05 budget&amp;calendar LE 050824 (25I)_Wrigley - 06 simple chart Sep 14_Category Template AC'11 @Cst Fx 52W vs 53W_Sheet3" xfId="6318"/>
    <cellStyle name="_Extra media plan 050329_DM 05 budgetplanning TV 050512_TP Masterflow June 15a_Wrigley - 05 budget&amp;calendar LE 050824 (25I)_Wrigley - 06 simple chart Sep 14_P&amp;L KFE" xfId="6319"/>
    <cellStyle name="_Extra media plan 050329_DM 05 budgetplanning TV 050512_TP Masterflow June 15a_Wrigley - 05 budget&amp;calendar LE 050824 (25I)_Wrigley - 06 simple chart Sep 14_Sheet3" xfId="6320"/>
    <cellStyle name="_Extra media plan 050329_DM 05 budgetplanning TV 050512_TP Masterflow June 15a_Wrigley - 06 simple chart Sep 14" xfId="6321"/>
    <cellStyle name="_Extra media plan 050329_DM 05 budgetplanning TV 050512_TP Masterflow June 15a_Wrigley - 06 simple chart Sep 14 2" xfId="6322"/>
    <cellStyle name="_Extra media plan 050329_DM 05 budgetplanning TV 050512_TP Masterflow June 15a_Wrigley - 06 simple chart Sep 14_Category Template AC'11 @Cst Fx 52W vs 53W" xfId="6323"/>
    <cellStyle name="_Extra media plan 050329_DM 05 budgetplanning TV 050512_TP Masterflow June 15a_Wrigley - 06 simple chart Sep 14_Category Template AC'11 @Cst Fx 52W vs 53W 2" xfId="6324"/>
    <cellStyle name="_Extra media plan 050329_DM 05 budgetplanning TV 050512_TP Masterflow June 15a_Wrigley - 06 simple chart Sep 14_Category Template AC'11 @Cst Fx 52W vs 53W_P&amp;L KFE" xfId="6325"/>
    <cellStyle name="_Extra media plan 050329_DM 05 budgetplanning TV 050512_TP Masterflow June 15a_Wrigley - 06 simple chart Sep 14_Category Template AC'11 @Cst Fx 52W vs 53W_Sheet3" xfId="6326"/>
    <cellStyle name="_Extra media plan 050329_DM 05 budgetplanning TV 050512_TP Masterflow June 15a_Wrigley - 06 simple chart Sep 14_P&amp;L KFE" xfId="6327"/>
    <cellStyle name="_Extra media plan 050329_DM 05 budgetplanning TV 050512_TP Masterflow June 15a_Wrigley - 06 simple chart Sep 14_Sheet3" xfId="6328"/>
    <cellStyle name="_Extra media plan 050329_DM 05 budgetplanning TV 050512_Wrigley - 05 budget&amp;calendar 1R 050609 (23I)_Jun 16b" xfId="6329"/>
    <cellStyle name="_Extra media plan 050329_DM 05 budgetplanning TV 050512_Wrigley - 05 budget&amp;calendar 1R 050609 (23I)_Jun 16b 2" xfId="6330"/>
    <cellStyle name="_Extra media plan 050329_DM 05 budgetplanning TV 050512_Wrigley - 05 budget&amp;calendar 1R 050609 (23I)_Jun 16b_Book5" xfId="6331"/>
    <cellStyle name="_Extra media plan 050329_DM 05 budgetplanning TV 050512_Wrigley - 05 budget&amp;calendar 1R 050609 (23I)_Jun 16b_Book5 2" xfId="6332"/>
    <cellStyle name="_Extra media plan 050329_DM 05 budgetplanning TV 050512_Wrigley - 05 budget&amp;calendar 1R 050609 (23I)_Jun 16b_Book5_Category Template AC'11 @Cst Fx 52W vs 53W" xfId="6333"/>
    <cellStyle name="_Extra media plan 050329_DM 05 budgetplanning TV 050512_Wrigley - 05 budget&amp;calendar 1R 050609 (23I)_Jun 16b_Book5_Category Template AC'11 @Cst Fx 52W vs 53W 2" xfId="6334"/>
    <cellStyle name="_Extra media plan 050329_DM 05 budgetplanning TV 050512_Wrigley - 05 budget&amp;calendar 1R 050609 (23I)_Jun 16b_Book5_Category Template AC'11 @Cst Fx 52W vs 53W_P&amp;L KFE" xfId="6335"/>
    <cellStyle name="_Extra media plan 050329_DM 05 budgetplanning TV 050512_Wrigley - 05 budget&amp;calendar 1R 050609 (23I)_Jun 16b_Book5_Category Template AC'11 @Cst Fx 52W vs 53W_Sheet3" xfId="6336"/>
    <cellStyle name="_Extra media plan 050329_DM 05 budgetplanning TV 050512_Wrigley - 05 budget&amp;calendar 1R 050609 (23I)_Jun 16b_Book5_P&amp;L KFE" xfId="6337"/>
    <cellStyle name="_Extra media plan 050329_DM 05 budgetplanning TV 050512_Wrigley - 05 budget&amp;calendar 1R 050609 (23I)_Jun 16b_Book5_Sheet3" xfId="6338"/>
    <cellStyle name="_Extra media plan 050329_DM 05 budgetplanning TV 050512_Wrigley - 05 budget&amp;calendar 1R 050609 (23I)_Jun 16b_Category Template AC'11 @Cst Fx 52W vs 53W" xfId="6339"/>
    <cellStyle name="_Extra media plan 050329_DM 05 budgetplanning TV 050512_Wrigley - 05 budget&amp;calendar 1R 050609 (23I)_Jun 16b_Category Template AC'11 @Cst Fx 52W vs 53W 2" xfId="6340"/>
    <cellStyle name="_Extra media plan 050329_DM 05 budgetplanning TV 050512_Wrigley - 05 budget&amp;calendar 1R 050609 (23I)_Jun 16b_Category Template AC'11 @Cst Fx 52W vs 53W_P&amp;L KFE" xfId="6341"/>
    <cellStyle name="_Extra media plan 050329_DM 05 budgetplanning TV 050512_Wrigley - 05 budget&amp;calendar 1R 050609 (23I)_Jun 16b_Category Template AC'11 @Cst Fx 52W vs 53W_Sheet3" xfId="6342"/>
    <cellStyle name="_Extra media plan 050329_DM 05 budgetplanning TV 050512_Wrigley - 05 budget&amp;calendar 1R 050609 (23I)_Jun 16b_P&amp;L KFE" xfId="6343"/>
    <cellStyle name="_Extra media plan 050329_DM 05 budgetplanning TV 050512_Wrigley - 05 budget&amp;calendar 1R 050609 (23I)_Jun 16b_Sheet3" xfId="6344"/>
    <cellStyle name="_Extra media plan 050329_DM 05 budgetplanning TV 050512_Wrigley - 05 budget&amp;calendar 1R 050609 (23I)_Jun 16b_Wrigley - 05 budget&amp;calendar LE 050728 (25I)" xfId="6345"/>
    <cellStyle name="_Extra media plan 050329_DM 05 budgetplanning TV 050512_Wrigley - 05 budget&amp;calendar 1R 050609 (23I)_Jun 16b_Wrigley - 05 budget&amp;calendar LE 050728 (25I) 2" xfId="6346"/>
    <cellStyle name="_Extra media plan 050329_DM 05 budgetplanning TV 050512_Wrigley - 05 budget&amp;calendar 1R 050609 (23I)_Jun 16b_Wrigley - 05 budget&amp;calendar LE 050728 (25I)_Category Template AC'11 @Cst Fx 52W vs 53W" xfId="6347"/>
    <cellStyle name="_Extra media plan 050329_DM 05 budgetplanning TV 050512_Wrigley - 05 budget&amp;calendar 1R 050609 (23I)_Jun 16b_Wrigley - 05 budget&amp;calendar LE 050728 (25I)_Category Template AC'11 @Cst Fx 52W vs 53W 2" xfId="6348"/>
    <cellStyle name="_Extra media plan 050329_DM 05 budgetplanning TV 050512_Wrigley - 05 budget&amp;calendar 1R 050609 (23I)_Jun 16b_Wrigley - 05 budget&amp;calendar LE 050728 (25I)_Category Template AC'11 @Cst Fx 52W vs 53W_P&amp;L KFE" xfId="6349"/>
    <cellStyle name="_Extra media plan 050329_DM 05 budgetplanning TV 050512_Wrigley - 05 budget&amp;calendar 1R 050609 (23I)_Jun 16b_Wrigley - 05 budget&amp;calendar LE 050728 (25I)_Category Template AC'11 @Cst Fx 52W vs 53W_Sheet3" xfId="6350"/>
    <cellStyle name="_Extra media plan 050329_DM 05 budgetplanning TV 050512_Wrigley - 05 budget&amp;calendar 1R 050609 (23I)_Jun 16b_Wrigley - 05 budget&amp;calendar LE 050728 (25I)_P&amp;L KFE" xfId="6351"/>
    <cellStyle name="_Extra media plan 050329_DM 05 budgetplanning TV 050512_Wrigley - 05 budget&amp;calendar 1R 050609 (23I)_Jun 16b_Wrigley - 05 budget&amp;calendar LE 050728 (25I)_Sheet3" xfId="6352"/>
    <cellStyle name="_Extra media plan 050329_DM 05 budgetplanning TV 050512_Wrigley - 05 budget&amp;calendar 1R 050609 (23I)_Jun 16b_Wrigley - 05 budget&amp;calendar LE 050728 (25I)_Wrigley - 06 simple chart Sep 14" xfId="6353"/>
    <cellStyle name="_Extra media plan 050329_DM 05 budgetplanning TV 050512_Wrigley - 05 budget&amp;calendar 1R 050609 (23I)_Jun 16b_Wrigley - 05 budget&amp;calendar LE 050728 (25I)_Wrigley - 06 simple chart Sep 14 2" xfId="6354"/>
    <cellStyle name="_Extra media plan 050329_DM 05 budgetplanning TV 050512_Wrigley - 05 budget&amp;calendar 1R 050609 (23I)_Jun 16b_Wrigley - 05 budget&amp;calendar LE 050728 (25I)_Wrigley - 06 simple chart Sep 14_Category Template AC'11 @Cst Fx 52W vs 53W" xfId="6355"/>
    <cellStyle name="_Extra media plan 050329_DM 05 budgetplanning TV 050512_Wrigley - 05 budget&amp;calendar 1R 050609 (23I)_Jun 16b_Wrigley - 05 budget&amp;calendar LE 050728 (25I)_Wrigley - 06 simple chart Sep 14_Category Template AC'11 @Cst Fx 52W vs 53W 2" xfId="6356"/>
    <cellStyle name="_Extra media plan 050329_DM 05 budgetplanning TV 050512_Wrigley - 05 budget&amp;calendar 1R 050609 (23I)_Jun 16b_Wrigley - 05 budget&amp;calendar LE 050728 (25I)_Wrigley - 06 simple chart Sep 14_Category Template AC'11 @Cst Fx 52W vs 53W_P&amp;L KFE" xfId="6357"/>
    <cellStyle name="_Extra media plan 050329_DM 05 budgetplanning TV 050512_Wrigley - 05 budget&amp;calendar 1R 050609 (23I)_Jun 16b_Wrigley - 05 budget&amp;calendar LE 050728 (25I)_Wrigley - 06 simple chart Sep 14_Category Template AC'11 @Cst Fx 52W vs 53W_Sheet3" xfId="6358"/>
    <cellStyle name="_Extra media plan 050329_DM 05 budgetplanning TV 050512_Wrigley - 05 budget&amp;calendar 1R 050609 (23I)_Jun 16b_Wrigley - 05 budget&amp;calendar LE 050728 (25I)_Wrigley - 06 simple chart Sep 14_P&amp;L KFE" xfId="6359"/>
    <cellStyle name="_Extra media plan 050329_DM 05 budgetplanning TV 050512_Wrigley - 05 budget&amp;calendar 1R 050609 (23I)_Jun 16b_Wrigley - 05 budget&amp;calendar LE 050728 (25I)_Wrigley - 06 simple chart Sep 14_Sheet3" xfId="6360"/>
    <cellStyle name="_Extra media plan 050329_DM 05 budgetplanning TV 050512_Wrigley - 05 budget&amp;calendar 1R 050609 (23I)_Jun 16b_Wrigley - 05 budget&amp;calendar LE 050824 (25F)" xfId="6361"/>
    <cellStyle name="_Extra media plan 050329_DM 05 budgetplanning TV 050512_Wrigley - 05 budget&amp;calendar 1R 050609 (23I)_Jun 16b_Wrigley - 05 budget&amp;calendar LE 050824 (25F) 2" xfId="6362"/>
    <cellStyle name="_Extra media plan 050329_DM 05 budgetplanning TV 050512_Wrigley - 05 budget&amp;calendar 1R 050609 (23I)_Jun 16b_Wrigley - 05 budget&amp;calendar LE 050824 (25F)_Category Template AC'11 @Cst Fx 52W vs 53W" xfId="6363"/>
    <cellStyle name="_Extra media plan 050329_DM 05 budgetplanning TV 050512_Wrigley - 05 budget&amp;calendar 1R 050609 (23I)_Jun 16b_Wrigley - 05 budget&amp;calendar LE 050824 (25F)_Category Template AC'11 @Cst Fx 52W vs 53W 2" xfId="6364"/>
    <cellStyle name="_Extra media plan 050329_DM 05 budgetplanning TV 050512_Wrigley - 05 budget&amp;calendar 1R 050609 (23I)_Jun 16b_Wrigley - 05 budget&amp;calendar LE 050824 (25F)_Category Template AC'11 @Cst Fx 52W vs 53W_P&amp;L KFE" xfId="6365"/>
    <cellStyle name="_Extra media plan 050329_DM 05 budgetplanning TV 050512_Wrigley - 05 budget&amp;calendar 1R 050609 (23I)_Jun 16b_Wrigley - 05 budget&amp;calendar LE 050824 (25F)_Category Template AC'11 @Cst Fx 52W vs 53W_Sheet3" xfId="6366"/>
    <cellStyle name="_Extra media plan 050329_DM 05 budgetplanning TV 050512_Wrigley - 05 budget&amp;calendar 1R 050609 (23I)_Jun 16b_Wrigley - 05 budget&amp;calendar LE 050824 (25F)_P&amp;L KFE" xfId="6367"/>
    <cellStyle name="_Extra media plan 050329_DM 05 budgetplanning TV 050512_Wrigley - 05 budget&amp;calendar 1R 050609 (23I)_Jun 16b_Wrigley - 05 budget&amp;calendar LE 050824 (25F)_Sheet3" xfId="6368"/>
    <cellStyle name="_Extra media plan 050329_DM 05 budgetplanning TV 050512_Wrigley - 05 budget&amp;calendar 1R 050609 (23I)_Jun 16b_Wrigley - 05 budget&amp;calendar LE 050824 (25F)_Wrigley - 06 simple chart Sep 14" xfId="6369"/>
    <cellStyle name="_Extra media plan 050329_DM 05 budgetplanning TV 050512_Wrigley - 05 budget&amp;calendar 1R 050609 (23I)_Jun 16b_Wrigley - 05 budget&amp;calendar LE 050824 (25F)_Wrigley - 06 simple chart Sep 14 2" xfId="6370"/>
    <cellStyle name="_Extra media plan 050329_DM 05 budgetplanning TV 050512_Wrigley - 05 budget&amp;calendar 1R 050609 (23I)_Jun 16b_Wrigley - 05 budget&amp;calendar LE 050824 (25F)_Wrigley - 06 simple chart Sep 14_Category Template AC'11 @Cst Fx 52W vs 53W" xfId="6371"/>
    <cellStyle name="_Extra media plan 050329_DM 05 budgetplanning TV 050512_Wrigley - 05 budget&amp;calendar 1R 050609 (23I)_Jun 16b_Wrigley - 05 budget&amp;calendar LE 050824 (25F)_Wrigley - 06 simple chart Sep 14_Category Template AC'11 @Cst Fx 52W vs 53W 2" xfId="6372"/>
    <cellStyle name="_Extra media plan 050329_DM 05 budgetplanning TV 050512_Wrigley - 05 budget&amp;calendar 1R 050609 (23I)_Jun 16b_Wrigley - 05 budget&amp;calendar LE 050824 (25F)_Wrigley - 06 simple chart Sep 14_Category Template AC'11 @Cst Fx 52W vs 53W_P&amp;L KFE" xfId="6373"/>
    <cellStyle name="_Extra media plan 050329_DM 05 budgetplanning TV 050512_Wrigley - 05 budget&amp;calendar 1R 050609 (23I)_Jun 16b_Wrigley - 05 budget&amp;calendar LE 050824 (25F)_Wrigley - 06 simple chart Sep 14_Category Template AC'11 @Cst Fx 52W vs 53W_Sheet3" xfId="6374"/>
    <cellStyle name="_Extra media plan 050329_DM 05 budgetplanning TV 050512_Wrigley - 05 budget&amp;calendar 1R 050609 (23I)_Jun 16b_Wrigley - 05 budget&amp;calendar LE 050824 (25F)_Wrigley - 06 simple chart Sep 14_P&amp;L KFE" xfId="6375"/>
    <cellStyle name="_Extra media plan 050329_DM 05 budgetplanning TV 050512_Wrigley - 05 budget&amp;calendar 1R 050609 (23I)_Jun 16b_Wrigley - 05 budget&amp;calendar LE 050824 (25F)_Wrigley - 06 simple chart Sep 14_Sheet3" xfId="6376"/>
    <cellStyle name="_Extra media plan 050329_DM 05 budgetplanning TV 050512_Wrigley - 05 budget&amp;calendar 1R 050609 (23I)_Jun 16b_Wrigley - 05 budget&amp;calendar LE 050824 (25I)" xfId="6377"/>
    <cellStyle name="_Extra media plan 050329_DM 05 budgetplanning TV 050512_Wrigley - 05 budget&amp;calendar 1R 050609 (23I)_Jun 16b_Wrigley - 05 budget&amp;calendar LE 050824 (25I) 2" xfId="6378"/>
    <cellStyle name="_Extra media plan 050329_DM 05 budgetplanning TV 050512_Wrigley - 05 budget&amp;calendar 1R 050609 (23I)_Jun 16b_Wrigley - 05 budget&amp;calendar LE 050824 (25I)_Category Template AC'11 @Cst Fx 52W vs 53W" xfId="6379"/>
    <cellStyle name="_Extra media plan 050329_DM 05 budgetplanning TV 050512_Wrigley - 05 budget&amp;calendar 1R 050609 (23I)_Jun 16b_Wrigley - 05 budget&amp;calendar LE 050824 (25I)_Category Template AC'11 @Cst Fx 52W vs 53W 2" xfId="6380"/>
    <cellStyle name="_Extra media plan 050329_DM 05 budgetplanning TV 050512_Wrigley - 05 budget&amp;calendar 1R 050609 (23I)_Jun 16b_Wrigley - 05 budget&amp;calendar LE 050824 (25I)_Category Template AC'11 @Cst Fx 52W vs 53W_P&amp;L KFE" xfId="6381"/>
    <cellStyle name="_Extra media plan 050329_DM 05 budgetplanning TV 050512_Wrigley - 05 budget&amp;calendar 1R 050609 (23I)_Jun 16b_Wrigley - 05 budget&amp;calendar LE 050824 (25I)_Category Template AC'11 @Cst Fx 52W vs 53W_Sheet3" xfId="6382"/>
    <cellStyle name="_Extra media plan 050329_DM 05 budgetplanning TV 050512_Wrigley - 05 budget&amp;calendar 1R 050609 (23I)_Jun 16b_Wrigley - 05 budget&amp;calendar LE 050824 (25I)_P&amp;L KFE" xfId="6383"/>
    <cellStyle name="_Extra media plan 050329_DM 05 budgetplanning TV 050512_Wrigley - 05 budget&amp;calendar 1R 050609 (23I)_Jun 16b_Wrigley - 05 budget&amp;calendar LE 050824 (25I)_Sheet3" xfId="6384"/>
    <cellStyle name="_Extra media plan 050329_DM 05 budgetplanning TV 050512_Wrigley - 05 budget&amp;calendar 1R 050609 (23I)_Jun 16b_Wrigley - 05 budget&amp;calendar LE 050824 (25I)_Wrigley - 06 simple chart Sep 14" xfId="6385"/>
    <cellStyle name="_Extra media plan 050329_DM 05 budgetplanning TV 050512_Wrigley - 05 budget&amp;calendar 1R 050609 (23I)_Jun 16b_Wrigley - 05 budget&amp;calendar LE 050824 (25I)_Wrigley - 06 simple chart Sep 14 2" xfId="6386"/>
    <cellStyle name="_Extra media plan 050329_DM 05 budgetplanning TV 050512_Wrigley - 05 budget&amp;calendar 1R 050609 (23I)_Jun 16b_Wrigley - 05 budget&amp;calendar LE 050824 (25I)_Wrigley - 06 simple chart Sep 14_Category Template AC'11 @Cst Fx 52W vs 53W" xfId="6387"/>
    <cellStyle name="_Extra media plan 050329_DM 05 budgetplanning TV 050512_Wrigley - 05 budget&amp;calendar 1R 050609 (23I)_Jun 16b_Wrigley - 05 budget&amp;calendar LE 050824 (25I)_Wrigley - 06 simple chart Sep 14_Category Template AC'11 @Cst Fx 52W vs 53W 2" xfId="6388"/>
    <cellStyle name="_Extra media plan 050329_DM 05 budgetplanning TV 050512_Wrigley - 05 budget&amp;calendar 1R 050609 (23I)_Jun 16b_Wrigley - 05 budget&amp;calendar LE 050824 (25I)_Wrigley - 06 simple chart Sep 14_Category Template AC'11 @Cst Fx 52W vs 53W_P&amp;L KFE" xfId="6389"/>
    <cellStyle name="_Extra media plan 050329_DM 05 budgetplanning TV 050512_Wrigley - 05 budget&amp;calendar 1R 050609 (23I)_Jun 16b_Wrigley - 05 budget&amp;calendar LE 050824 (25I)_Wrigley - 06 simple chart Sep 14_Category Template AC'11 @Cst Fx 52W vs 53W_Sheet3" xfId="6390"/>
    <cellStyle name="_Extra media plan 050329_DM 05 budgetplanning TV 050512_Wrigley - 05 budget&amp;calendar 1R 050609 (23I)_Jun 16b_Wrigley - 05 budget&amp;calendar LE 050824 (25I)_Wrigley - 06 simple chart Sep 14_P&amp;L KFE" xfId="6391"/>
    <cellStyle name="_Extra media plan 050329_DM 05 budgetplanning TV 050512_Wrigley - 05 budget&amp;calendar 1R 050609 (23I)_Jun 16b_Wrigley - 05 budget&amp;calendar LE 050824 (25I)_Wrigley - 06 simple chart Sep 14_Sheet3" xfId="6392"/>
    <cellStyle name="_Extra media plan 050329_DM 05 budgetplanning TV 050512_Wrigley - 05 budget&amp;calendar 1R 050609 (23I)_Jun 16b_Wrigley - 06 simple chart Sep 14" xfId="6393"/>
    <cellStyle name="_Extra media plan 050329_DM 05 budgetplanning TV 050512_Wrigley - 05 budget&amp;calendar 1R 050609 (23I)_Jun 16b_Wrigley - 06 simple chart Sep 14 2" xfId="6394"/>
    <cellStyle name="_Extra media plan 050329_DM 05 budgetplanning TV 050512_Wrigley - 05 budget&amp;calendar 1R 050609 (23I)_Jun 16b_Wrigley - 06 simple chart Sep 14_Category Template AC'11 @Cst Fx 52W vs 53W" xfId="6395"/>
    <cellStyle name="_Extra media plan 050329_DM 05 budgetplanning TV 050512_Wrigley - 05 budget&amp;calendar 1R 050609 (23I)_Jun 16b_Wrigley - 06 simple chart Sep 14_Category Template AC'11 @Cst Fx 52W vs 53W 2" xfId="6396"/>
    <cellStyle name="_Extra media plan 050329_DM 05 budgetplanning TV 050512_Wrigley - 05 budget&amp;calendar 1R 050609 (23I)_Jun 16b_Wrigley - 06 simple chart Sep 14_Category Template AC'11 @Cst Fx 52W vs 53W_P&amp;L KFE" xfId="6397"/>
    <cellStyle name="_Extra media plan 050329_DM 05 budgetplanning TV 050512_Wrigley - 05 budget&amp;calendar 1R 050609 (23I)_Jun 16b_Wrigley - 06 simple chart Sep 14_Category Template AC'11 @Cst Fx 52W vs 53W_Sheet3" xfId="6398"/>
    <cellStyle name="_Extra media plan 050329_DM 05 budgetplanning TV 050512_Wrigley - 05 budget&amp;calendar 1R 050609 (23I)_Jun 16b_Wrigley - 06 simple chart Sep 14_P&amp;L KFE" xfId="6399"/>
    <cellStyle name="_Extra media plan 050329_DM 05 budgetplanning TV 050512_Wrigley - 05 budget&amp;calendar 1R 050609 (23I)_Jun 16b_Wrigley - 06 simple chart Sep 14_Sheet3" xfId="6400"/>
    <cellStyle name="_Extra media plan 050329_DM 05 budgetplanning TV 050512_Wrigley - 05 budget&amp;calendar LE 050824 (25I)" xfId="6401"/>
    <cellStyle name="_Extra media plan 050329_DM 05 budgetplanning TV 050512_Wrigley - 05 budget&amp;calendar LE 050824 (25I) 2" xfId="6402"/>
    <cellStyle name="_Extra media plan 050329_DM 05 budgetplanning TV 050512_Wrigley - 05 budget&amp;calendar LE 050824 (25I)_Category Template AC'11 @Cst Fx 52W vs 53W" xfId="6403"/>
    <cellStyle name="_Extra media plan 050329_DM 05 budgetplanning TV 050512_Wrigley - 05 budget&amp;calendar LE 050824 (25I)_Category Template AC'11 @Cst Fx 52W vs 53W 2" xfId="6404"/>
    <cellStyle name="_Extra media plan 050329_DM 05 budgetplanning TV 050512_Wrigley - 05 budget&amp;calendar LE 050824 (25I)_Category Template AC'11 @Cst Fx 52W vs 53W_P&amp;L KFE" xfId="6405"/>
    <cellStyle name="_Extra media plan 050329_DM 05 budgetplanning TV 050512_Wrigley - 05 budget&amp;calendar LE 050824 (25I)_Category Template AC'11 @Cst Fx 52W vs 53W_Sheet3" xfId="6406"/>
    <cellStyle name="_Extra media plan 050329_DM 05 budgetplanning TV 050512_Wrigley - 05 budget&amp;calendar LE 050824 (25I)_P&amp;L KFE" xfId="6407"/>
    <cellStyle name="_Extra media plan 050329_DM 05 budgetplanning TV 050512_Wrigley - 05 budget&amp;calendar LE 050824 (25I)_Sheet3" xfId="6408"/>
    <cellStyle name="_Extra media plan 050329_DM 05 budgetplanning TV 050512_Wrigley - 05 budget&amp;calendar LE 050824 (25I)_Wrigley - 06 simple chart Sep 14" xfId="6409"/>
    <cellStyle name="_Extra media plan 050329_DM 05 budgetplanning TV 050512_Wrigley - 05 budget&amp;calendar LE 050824 (25I)_Wrigley - 06 simple chart Sep 14 2" xfId="6410"/>
    <cellStyle name="_Extra media plan 050329_DM 05 budgetplanning TV 050512_Wrigley - 05 budget&amp;calendar LE 050824 (25I)_Wrigley - 06 simple chart Sep 14_Category Template AC'11 @Cst Fx 52W vs 53W" xfId="6411"/>
    <cellStyle name="_Extra media plan 050329_DM 05 budgetplanning TV 050512_Wrigley - 05 budget&amp;calendar LE 050824 (25I)_Wrigley - 06 simple chart Sep 14_Category Template AC'11 @Cst Fx 52W vs 53W 2" xfId="6412"/>
    <cellStyle name="_Extra media plan 050329_DM 05 budgetplanning TV 050512_Wrigley - 05 budget&amp;calendar LE 050824 (25I)_Wrigley - 06 simple chart Sep 14_Category Template AC'11 @Cst Fx 52W vs 53W_P&amp;L KFE" xfId="6413"/>
    <cellStyle name="_Extra media plan 050329_DM 05 budgetplanning TV 050512_Wrigley - 05 budget&amp;calendar LE 050824 (25I)_Wrigley - 06 simple chart Sep 14_Category Template AC'11 @Cst Fx 52W vs 53W_Sheet3" xfId="6414"/>
    <cellStyle name="_Extra media plan 050329_DM 05 budgetplanning TV 050512_Wrigley - 05 budget&amp;calendar LE 050824 (25I)_Wrigley - 06 simple chart Sep 14_P&amp;L KFE" xfId="6415"/>
    <cellStyle name="_Extra media plan 050329_DM 05 budgetplanning TV 050512_Wrigley - 05 budget&amp;calendar LE 050824 (25I)_Wrigley - 06 simple chart Sep 14_Sheet3" xfId="6416"/>
    <cellStyle name="_Extra media plan 050329_DM 05 budgetplanning TV 050512_Wrigley - 05 budget&amp;calendar R1 050525 (21I) internal formate June 15" xfId="6417"/>
    <cellStyle name="_Extra media plan 050329_DM 05 budgetplanning TV 050512_Wrigley - 05 budget&amp;calendar R1 050525 (21I) internal formate June 15 2" xfId="6418"/>
    <cellStyle name="_Extra media plan 050329_DM 05 budgetplanning TV 050512_Wrigley - 05 budget&amp;calendar R1 050525 (21I) internal formate June 15_Book5" xfId="6419"/>
    <cellStyle name="_Extra media plan 050329_DM 05 budgetplanning TV 050512_Wrigley - 05 budget&amp;calendar R1 050525 (21I) internal formate June 15_Book5 2" xfId="6420"/>
    <cellStyle name="_Extra media plan 050329_DM 05 budgetplanning TV 050512_Wrigley - 05 budget&amp;calendar R1 050525 (21I) internal formate June 15_Book5_Category Template AC'11 @Cst Fx 52W vs 53W" xfId="6421"/>
    <cellStyle name="_Extra media plan 050329_DM 05 budgetplanning TV 050512_Wrigley - 05 budget&amp;calendar R1 050525 (21I) internal formate June 15_Book5_Category Template AC'11 @Cst Fx 52W vs 53W 2" xfId="6422"/>
    <cellStyle name="_Extra media plan 050329_DM 05 budgetplanning TV 050512_Wrigley - 05 budget&amp;calendar R1 050525 (21I) internal formate June 15_Book5_Category Template AC'11 @Cst Fx 52W vs 53W_P&amp;L KFE" xfId="6423"/>
    <cellStyle name="_Extra media plan 050329_DM 05 budgetplanning TV 050512_Wrigley - 05 budget&amp;calendar R1 050525 (21I) internal formate June 15_Book5_Category Template AC'11 @Cst Fx 52W vs 53W_Sheet3" xfId="6424"/>
    <cellStyle name="_Extra media plan 050329_DM 05 budgetplanning TV 050512_Wrigley - 05 budget&amp;calendar R1 050525 (21I) internal formate June 15_Book5_P&amp;L KFE" xfId="6425"/>
    <cellStyle name="_Extra media plan 050329_DM 05 budgetplanning TV 050512_Wrigley - 05 budget&amp;calendar R1 050525 (21I) internal formate June 15_Book5_Sheet3" xfId="6426"/>
    <cellStyle name="_Extra media plan 050329_DM 05 budgetplanning TV 050512_Wrigley - 05 budget&amp;calendar R1 050525 (21I) internal formate June 15_Category Template AC'11 @Cst Fx 52W vs 53W" xfId="6427"/>
    <cellStyle name="_Extra media plan 050329_DM 05 budgetplanning TV 050512_Wrigley - 05 budget&amp;calendar R1 050525 (21I) internal formate June 15_Category Template AC'11 @Cst Fx 52W vs 53W 2" xfId="6428"/>
    <cellStyle name="_Extra media plan 050329_DM 05 budgetplanning TV 050512_Wrigley - 05 budget&amp;calendar R1 050525 (21I) internal formate June 15_Category Template AC'11 @Cst Fx 52W vs 53W_P&amp;L KFE" xfId="6429"/>
    <cellStyle name="_Extra media plan 050329_DM 05 budgetplanning TV 050512_Wrigley - 05 budget&amp;calendar R1 050525 (21I) internal formate June 15_Category Template AC'11 @Cst Fx 52W vs 53W_Sheet3" xfId="6430"/>
    <cellStyle name="_Extra media plan 050329_DM 05 budgetplanning TV 050512_Wrigley - 05 budget&amp;calendar R1 050525 (21I) internal formate June 15_P&amp;L KFE" xfId="6431"/>
    <cellStyle name="_Extra media plan 050329_DM 05 budgetplanning TV 050512_Wrigley - 05 budget&amp;calendar R1 050525 (21I) internal formate June 15_Sheet3" xfId="6432"/>
    <cellStyle name="_Extra media plan 050329_DM 05 budgetplanning TV 050512_Wrigley - 05 budget&amp;calendar R1 050525 (21I) internal formate June 15_Wrigley - 05 budget&amp;calendar LE 050728 (25I)" xfId="6433"/>
    <cellStyle name="_Extra media plan 050329_DM 05 budgetplanning TV 050512_Wrigley - 05 budget&amp;calendar R1 050525 (21I) internal formate June 15_Wrigley - 05 budget&amp;calendar LE 050728 (25I) 2" xfId="6434"/>
    <cellStyle name="_Extra media plan 050329_DM 05 budgetplanning TV 050512_Wrigley - 05 budget&amp;calendar R1 050525 (21I) internal formate June 15_Wrigley - 05 budget&amp;calendar LE 050728 (25I)_Category Template AC'11 @Cst Fx 52W vs 53W" xfId="6435"/>
    <cellStyle name="_Extra media plan 050329_DM 05 budgetplanning TV 050512_Wrigley - 05 budget&amp;calendar R1 050525 (21I) internal formate June 15_Wrigley - 05 budget&amp;calendar LE 050728 (25I)_Category Template AC'11 @Cst Fx 52W vs 53W 2" xfId="6436"/>
    <cellStyle name="_Extra media plan 050329_DM 05 budgetplanning TV 050512_Wrigley - 05 budget&amp;calendar R1 050525 (21I) internal formate June 15_Wrigley - 05 budget&amp;calendar LE 050728 (25I)_Category Template AC'11 @Cst Fx 52W vs 53W_P&amp;L KFE" xfId="6437"/>
    <cellStyle name="_Extra media plan 050329_DM 05 budgetplanning TV 050512_Wrigley - 05 budget&amp;calendar R1 050525 (21I) internal formate June 15_Wrigley - 05 budget&amp;calendar LE 050728 (25I)_Category Template AC'11 @Cst Fx 52W vs 53W_Sheet3" xfId="6438"/>
    <cellStyle name="_Extra media plan 050329_DM 05 budgetplanning TV 050512_Wrigley - 05 budget&amp;calendar R1 050525 (21I) internal formate June 15_Wrigley - 05 budget&amp;calendar LE 050728 (25I)_P&amp;L KFE" xfId="6439"/>
    <cellStyle name="_Extra media plan 050329_DM 05 budgetplanning TV 050512_Wrigley - 05 budget&amp;calendar R1 050525 (21I) internal formate June 15_Wrigley - 05 budget&amp;calendar LE 050728 (25I)_Sheet3" xfId="6440"/>
    <cellStyle name="_Extra media plan 050329_DM 05 budgetplanning TV 050512_Wrigley - 05 budget&amp;calendar R1 050525 (21I) internal formate June 15_Wrigley - 05 budget&amp;calendar LE 050728 (25I)_Wrigley - 06 simple chart Sep 14" xfId="6441"/>
    <cellStyle name="_Extra media plan 050329_DM 05 budgetplanning TV 050512_Wrigley - 05 budget&amp;calendar R1 050525 (21I) internal formate June 15_Wrigley - 05 budget&amp;calendar LE 050728 (25I)_Wrigley - 06 simple chart Sep 14 2" xfId="6442"/>
    <cellStyle name="_Extra media plan 050329_DM 05 budgetplanning TV 050512_Wrigley - 05 budget&amp;calendar R1 050525 (21I) internal formate June 15_Wrigley - 05 budget&amp;calendar LE 050728 (25I)_Wrigley - 06 simple chart Sep 14_Category Template AC'11 @Cst Fx 52W vs 53W" xfId="6443"/>
    <cellStyle name="_Extra media plan 050329_DM 05 budgetplanning TV 050512_Wrigley - 05 budget&amp;calendar R1 050525 (21I) internal formate June 15_Wrigley - 05 budget&amp;calendar LE 050728 (25I)_Wrigley - 06 simple chart Sep 14_Category Template AC'11 @Cst Fx 52W vs 53W 2" xfId="6444"/>
    <cellStyle name="_Extra media plan 050329_DM 05 budgetplanning TV 050512_Wrigley - 05 budget&amp;calendar R1 050525 (21I) internal formate June 15_Wrigley - 05 budget&amp;calendar LE 050728 (25I)_Wrigley - 06 simple chart Sep 14_Category Template AC'11 @Cst Fx 52W vs 53W_P&amp;L KFE" xfId="6445"/>
    <cellStyle name="_Extra media plan 050329_DM 05 budgetplanning TV 050512_Wrigley - 05 budget&amp;calendar R1 050525 (21I) internal formate June 15_Wrigley - 05 budget&amp;calendar LE 050728 (25I)_Wrigley - 06 simple chart Sep 14_Category Template AC'11 @Cst Fx 52W vs 53W_Sheet3" xfId="6446"/>
    <cellStyle name="_Extra media plan 050329_DM 05 budgetplanning TV 050512_Wrigley - 05 budget&amp;calendar R1 050525 (21I) internal formate June 15_Wrigley - 05 budget&amp;calendar LE 050728 (25I)_Wrigley - 06 simple chart Sep 14_P&amp;L KFE" xfId="6447"/>
    <cellStyle name="_Extra media plan 050329_DM 05 budgetplanning TV 050512_Wrigley - 05 budget&amp;calendar R1 050525 (21I) internal formate June 15_Wrigley - 05 budget&amp;calendar LE 050728 (25I)_Wrigley - 06 simple chart Sep 14_Sheet3" xfId="6448"/>
    <cellStyle name="_Extra media plan 050329_DM 05 budgetplanning TV 050512_Wrigley - 05 budget&amp;calendar R1 050525 (21I) internal formate June 15_Wrigley - 05 budget&amp;calendar LE 050824 (25F)" xfId="6449"/>
    <cellStyle name="_Extra media plan 050329_DM 05 budgetplanning TV 050512_Wrigley - 05 budget&amp;calendar R1 050525 (21I) internal formate June 15_Wrigley - 05 budget&amp;calendar LE 050824 (25F) 2" xfId="6450"/>
    <cellStyle name="_Extra media plan 050329_DM 05 budgetplanning TV 050512_Wrigley - 05 budget&amp;calendar R1 050525 (21I) internal formate June 15_Wrigley - 05 budget&amp;calendar LE 050824 (25F)_Category Template AC'11 @Cst Fx 52W vs 53W" xfId="6451"/>
    <cellStyle name="_Extra media plan 050329_DM 05 budgetplanning TV 050512_Wrigley - 05 budget&amp;calendar R1 050525 (21I) internal formate June 15_Wrigley - 05 budget&amp;calendar LE 050824 (25F)_Category Template AC'11 @Cst Fx 52W vs 53W 2" xfId="6452"/>
    <cellStyle name="_Extra media plan 050329_DM 05 budgetplanning TV 050512_Wrigley - 05 budget&amp;calendar R1 050525 (21I) internal formate June 15_Wrigley - 05 budget&amp;calendar LE 050824 (25F)_Category Template AC'11 @Cst Fx 52W vs 53W_P&amp;L KFE" xfId="6453"/>
    <cellStyle name="_Extra media plan 050329_DM 05 budgetplanning TV 050512_Wrigley - 05 budget&amp;calendar R1 050525 (21I) internal formate June 15_Wrigley - 05 budget&amp;calendar LE 050824 (25F)_Category Template AC'11 @Cst Fx 52W vs 53W_Sheet3" xfId="6454"/>
    <cellStyle name="_Extra media plan 050329_DM 05 budgetplanning TV 050512_Wrigley - 05 budget&amp;calendar R1 050525 (21I) internal formate June 15_Wrigley - 05 budget&amp;calendar LE 050824 (25F)_P&amp;L KFE" xfId="6455"/>
    <cellStyle name="_Extra media plan 050329_DM 05 budgetplanning TV 050512_Wrigley - 05 budget&amp;calendar R1 050525 (21I) internal formate June 15_Wrigley - 05 budget&amp;calendar LE 050824 (25F)_Sheet3" xfId="6456"/>
    <cellStyle name="_Extra media plan 050329_DM 05 budgetplanning TV 050512_Wrigley - 05 budget&amp;calendar R1 050525 (21I) internal formate June 15_Wrigley - 05 budget&amp;calendar LE 050824 (25F)_Wrigley - 06 simple chart Sep 14" xfId="6457"/>
    <cellStyle name="_Extra media plan 050329_DM 05 budgetplanning TV 050512_Wrigley - 05 budget&amp;calendar R1 050525 (21I) internal formate June 15_Wrigley - 05 budget&amp;calendar LE 050824 (25F)_Wrigley - 06 simple chart Sep 14 2" xfId="6458"/>
    <cellStyle name="_Extra media plan 050329_DM 05 budgetplanning TV 050512_Wrigley - 05 budget&amp;calendar R1 050525 (21I) internal formate June 15_Wrigley - 05 budget&amp;calendar LE 050824 (25F)_Wrigley - 06 simple chart Sep 14_Category Template AC'11 @Cst Fx 52W vs 53W" xfId="6459"/>
    <cellStyle name="_Extra media plan 050329_DM 05 budgetplanning TV 050512_Wrigley - 05 budget&amp;calendar R1 050525 (21I) internal formate June 15_Wrigley - 05 budget&amp;calendar LE 050824 (25F)_Wrigley - 06 simple chart Sep 14_Category Template AC'11 @Cst Fx 52W vs 53W 2" xfId="6460"/>
    <cellStyle name="_Extra media plan 050329_DM 05 budgetplanning TV 050512_Wrigley - 05 budget&amp;calendar R1 050525 (21I) internal formate June 15_Wrigley - 05 budget&amp;calendar LE 050824 (25F)_Wrigley - 06 simple chart Sep 14_Category Template AC'11 @Cst Fx 52W vs 53W_P&amp;L KFE" xfId="6461"/>
    <cellStyle name="_Extra media plan 050329_DM 05 budgetplanning TV 050512_Wrigley - 05 budget&amp;calendar R1 050525 (21I) internal formate June 15_Wrigley - 05 budget&amp;calendar LE 050824 (25F)_Wrigley - 06 simple chart Sep 14_Category Template AC'11 @Cst Fx 52W vs 53W_Sheet3" xfId="6462"/>
    <cellStyle name="_Extra media plan 050329_DM 05 budgetplanning TV 050512_Wrigley - 05 budget&amp;calendar R1 050525 (21I) internal formate June 15_Wrigley - 05 budget&amp;calendar LE 050824 (25F)_Wrigley - 06 simple chart Sep 14_P&amp;L KFE" xfId="6463"/>
    <cellStyle name="_Extra media plan 050329_DM 05 budgetplanning TV 050512_Wrigley - 05 budget&amp;calendar R1 050525 (21I) internal formate June 15_Wrigley - 05 budget&amp;calendar LE 050824 (25F)_Wrigley - 06 simple chart Sep 14_Sheet3" xfId="6464"/>
    <cellStyle name="_Extra media plan 050329_DM 05 budgetplanning TV 050512_Wrigley - 05 budget&amp;calendar R1 050525 (21I) internal formate June 15_Wrigley - 05 budget&amp;calendar LE 050824 (25I)" xfId="6465"/>
    <cellStyle name="_Extra media plan 050329_DM 05 budgetplanning TV 050512_Wrigley - 05 budget&amp;calendar R1 050525 (21I) internal formate June 15_Wrigley - 05 budget&amp;calendar LE 050824 (25I) 2" xfId="6466"/>
    <cellStyle name="_Extra media plan 050329_DM 05 budgetplanning TV 050512_Wrigley - 05 budget&amp;calendar R1 050525 (21I) internal formate June 15_Wrigley - 05 budget&amp;calendar LE 050824 (25I)_Category Template AC'11 @Cst Fx 52W vs 53W" xfId="6467"/>
    <cellStyle name="_Extra media plan 050329_DM 05 budgetplanning TV 050512_Wrigley - 05 budget&amp;calendar R1 050525 (21I) internal formate June 15_Wrigley - 05 budget&amp;calendar LE 050824 (25I)_Category Template AC'11 @Cst Fx 52W vs 53W 2" xfId="6468"/>
    <cellStyle name="_Extra media plan 050329_DM 05 budgetplanning TV 050512_Wrigley - 05 budget&amp;calendar R1 050525 (21I) internal formate June 15_Wrigley - 05 budget&amp;calendar LE 050824 (25I)_Category Template AC'11 @Cst Fx 52W vs 53W_P&amp;L KFE" xfId="6469"/>
    <cellStyle name="_Extra media plan 050329_DM 05 budgetplanning TV 050512_Wrigley - 05 budget&amp;calendar R1 050525 (21I) internal formate June 15_Wrigley - 05 budget&amp;calendar LE 050824 (25I)_Category Template AC'11 @Cst Fx 52W vs 53W_Sheet3" xfId="6470"/>
    <cellStyle name="_Extra media plan 050329_DM 05 budgetplanning TV 050512_Wrigley - 05 budget&amp;calendar R1 050525 (21I) internal formate June 15_Wrigley - 05 budget&amp;calendar LE 050824 (25I)_P&amp;L KFE" xfId="6471"/>
    <cellStyle name="_Extra media plan 050329_DM 05 budgetplanning TV 050512_Wrigley - 05 budget&amp;calendar R1 050525 (21I) internal formate June 15_Wrigley - 05 budget&amp;calendar LE 050824 (25I)_Sheet3" xfId="6472"/>
    <cellStyle name="_Extra media plan 050329_DM 05 budgetplanning TV 050512_Wrigley - 05 budget&amp;calendar R1 050525 (21I) internal formate June 15_Wrigley - 05 budget&amp;calendar LE 050824 (25I)_Wrigley - 06 simple chart Sep 14" xfId="6473"/>
    <cellStyle name="_Extra media plan 050329_DM 05 budgetplanning TV 050512_Wrigley - 05 budget&amp;calendar R1 050525 (21I) internal formate June 15_Wrigley - 05 budget&amp;calendar LE 050824 (25I)_Wrigley - 06 simple chart Sep 14 2" xfId="6474"/>
    <cellStyle name="_Extra media plan 050329_DM 05 budgetplanning TV 050512_Wrigley - 05 budget&amp;calendar R1 050525 (21I) internal formate June 15_Wrigley - 05 budget&amp;calendar LE 050824 (25I)_Wrigley - 06 simple chart Sep 14_Category Template AC'11 @Cst Fx 52W vs 53W" xfId="6475"/>
    <cellStyle name="_Extra media plan 050329_DM 05 budgetplanning TV 050512_Wrigley - 05 budget&amp;calendar R1 050525 (21I) internal formate June 15_Wrigley - 05 budget&amp;calendar LE 050824 (25I)_Wrigley - 06 simple chart Sep 14_Category Template AC'11 @Cst Fx 52W vs 53W 2" xfId="6476"/>
    <cellStyle name="_Extra media plan 050329_DM 05 budgetplanning TV 050512_Wrigley - 05 budget&amp;calendar R1 050525 (21I) internal formate June 15_Wrigley - 05 budget&amp;calendar LE 050824 (25I)_Wrigley - 06 simple chart Sep 14_Category Template AC'11 @Cst Fx 52W vs 53W_P&amp;L KFE" xfId="6477"/>
    <cellStyle name="_Extra media plan 050329_DM 05 budgetplanning TV 050512_Wrigley - 05 budget&amp;calendar R1 050525 (21I) internal formate June 15_Wrigley - 05 budget&amp;calendar LE 050824 (25I)_Wrigley - 06 simple chart Sep 14_Category Template AC'11 @Cst Fx 52W vs 53W_Sheet3" xfId="6478"/>
    <cellStyle name="_Extra media plan 050329_DM 05 budgetplanning TV 050512_Wrigley - 05 budget&amp;calendar R1 050525 (21I) internal formate June 15_Wrigley - 05 budget&amp;calendar LE 050824 (25I)_Wrigley - 06 simple chart Sep 14_P&amp;L KFE" xfId="6479"/>
    <cellStyle name="_Extra media plan 050329_DM 05 budgetplanning TV 050512_Wrigley - 05 budget&amp;calendar R1 050525 (21I) internal formate June 15_Wrigley - 05 budget&amp;calendar LE 050824 (25I)_Wrigley - 06 simple chart Sep 14_Sheet3" xfId="6480"/>
    <cellStyle name="_Extra media plan 050329_DM 05 budgetplanning TV 050512_Wrigley - 05 budget&amp;calendar R1 050525 (21I) internal formate June 15_Wrigley - 06 simple chart Sep 14" xfId="6481"/>
    <cellStyle name="_Extra media plan 050329_DM 05 budgetplanning TV 050512_Wrigley - 05 budget&amp;calendar R1 050525 (21I) internal formate June 15_Wrigley - 06 simple chart Sep 14 2" xfId="6482"/>
    <cellStyle name="_Extra media plan 050329_DM 05 budgetplanning TV 050512_Wrigley - 05 budget&amp;calendar R1 050525 (21I) internal formate June 15_Wrigley - 06 simple chart Sep 14_Category Template AC'11 @Cst Fx 52W vs 53W" xfId="6483"/>
    <cellStyle name="_Extra media plan 050329_DM 05 budgetplanning TV 050512_Wrigley - 05 budget&amp;calendar R1 050525 (21I) internal formate June 15_Wrigley - 06 simple chart Sep 14_Category Template AC'11 @Cst Fx 52W vs 53W 2" xfId="6484"/>
    <cellStyle name="_Extra media plan 050329_DM 05 budgetplanning TV 050512_Wrigley - 05 budget&amp;calendar R1 050525 (21I) internal formate June 15_Wrigley - 06 simple chart Sep 14_Category Template AC'11 @Cst Fx 52W vs 53W_P&amp;L KFE" xfId="6485"/>
    <cellStyle name="_Extra media plan 050329_DM 05 budgetplanning TV 050512_Wrigley - 05 budget&amp;calendar R1 050525 (21I) internal formate June 15_Wrigley - 06 simple chart Sep 14_Category Template AC'11 @Cst Fx 52W vs 53W_Sheet3" xfId="6486"/>
    <cellStyle name="_Extra media plan 050329_DM 05 budgetplanning TV 050512_Wrigley - 05 budget&amp;calendar R1 050525 (21I) internal formate June 15_Wrigley - 06 simple chart Sep 14_P&amp;L KFE" xfId="6487"/>
    <cellStyle name="_Extra media plan 050329_DM 05 budgetplanning TV 050512_Wrigley - 05 budget&amp;calendar R1 050525 (21I) internal formate June 15_Wrigley - 06 simple chart Sep 14_Sheet3" xfId="6488"/>
    <cellStyle name="_Extra media plan 050329_DM 05 budgetplanning TV 050512_Wrigley - 06 simple chart Sep 14" xfId="6489"/>
    <cellStyle name="_Extra media plan 050329_DM 05 budgetplanning TV 050512_Wrigley - 06 simple chart Sep 14 2" xfId="6490"/>
    <cellStyle name="_Extra media plan 050329_DM 05 budgetplanning TV 050512_Wrigley - 06 simple chart Sep 14_Category Template AC'11 @Cst Fx 52W vs 53W" xfId="6491"/>
    <cellStyle name="_Extra media plan 050329_DM 05 budgetplanning TV 050512_Wrigley - 06 simple chart Sep 14_Category Template AC'11 @Cst Fx 52W vs 53W 2" xfId="6492"/>
    <cellStyle name="_Extra media plan 050329_DM 05 budgetplanning TV 050512_Wrigley - 06 simple chart Sep 14_Category Template AC'11 @Cst Fx 52W vs 53W_P&amp;L KFE" xfId="6493"/>
    <cellStyle name="_Extra media plan 050329_DM 05 budgetplanning TV 050512_Wrigley - 06 simple chart Sep 14_Category Template AC'11 @Cst Fx 52W vs 53W_Sheet3" xfId="6494"/>
    <cellStyle name="_Extra media plan 050329_DM 05 budgetplanning TV 050512_Wrigley - 06 simple chart Sep 14_P&amp;L KFE" xfId="6495"/>
    <cellStyle name="_Extra media plan 050329_DM 05 budgetplanning TV 050512_Wrigley - 06 simple chart Sep 14_Sheet3" xfId="6496"/>
    <cellStyle name="_Extra media plan 050329_P&amp;L KFE" xfId="6497"/>
    <cellStyle name="_Extra media plan 050329_Sheet3" xfId="6498"/>
    <cellStyle name="_Extra media plan 050329_Wrigley - 05 budget&amp;calendar LE 050728 (25I)" xfId="6499"/>
    <cellStyle name="_Extra media plan 050329_Wrigley - 05 budget&amp;calendar LE 050728 (25I) 2" xfId="6500"/>
    <cellStyle name="_Extra media plan 050329_Wrigley - 05 budget&amp;calendar LE 050728 (25I)_Category Template AC'11 @Cst Fx 52W vs 53W" xfId="6501"/>
    <cellStyle name="_Extra media plan 050329_Wrigley - 05 budget&amp;calendar LE 050728 (25I)_Category Template AC'11 @Cst Fx 52W vs 53W 2" xfId="6502"/>
    <cellStyle name="_Extra media plan 050329_Wrigley - 05 budget&amp;calendar LE 050728 (25I)_Category Template AC'11 @Cst Fx 52W vs 53W_P&amp;L KFE" xfId="6503"/>
    <cellStyle name="_Extra media plan 050329_Wrigley - 05 budget&amp;calendar LE 050728 (25I)_Category Template AC'11 @Cst Fx 52W vs 53W_Sheet3" xfId="6504"/>
    <cellStyle name="_Extra media plan 050329_Wrigley - 05 budget&amp;calendar LE 050728 (25I)_P&amp;L KFE" xfId="6505"/>
    <cellStyle name="_Extra media plan 050329_Wrigley - 05 budget&amp;calendar LE 050728 (25I)_Sheet3" xfId="6506"/>
    <cellStyle name="_Extra media plan 050329_Wrigley - 05 budget&amp;calendar LE 050728 (25I)_Wrigley - 06 simple chart Sep 14" xfId="6507"/>
    <cellStyle name="_Extra media plan 050329_Wrigley - 05 budget&amp;calendar LE 050728 (25I)_Wrigley - 06 simple chart Sep 14 2" xfId="6508"/>
    <cellStyle name="_Extra media plan 050329_Wrigley - 05 budget&amp;calendar LE 050728 (25I)_Wrigley - 06 simple chart Sep 14_Category Template AC'11 @Cst Fx 52W vs 53W" xfId="6509"/>
    <cellStyle name="_Extra media plan 050329_Wrigley - 05 budget&amp;calendar LE 050728 (25I)_Wrigley - 06 simple chart Sep 14_Category Template AC'11 @Cst Fx 52W vs 53W 2" xfId="6510"/>
    <cellStyle name="_Extra media plan 050329_Wrigley - 05 budget&amp;calendar LE 050728 (25I)_Wrigley - 06 simple chart Sep 14_Category Template AC'11 @Cst Fx 52W vs 53W_P&amp;L KFE" xfId="6511"/>
    <cellStyle name="_Extra media plan 050329_Wrigley - 05 budget&amp;calendar LE 050728 (25I)_Wrigley - 06 simple chart Sep 14_Category Template AC'11 @Cst Fx 52W vs 53W_Sheet3" xfId="6512"/>
    <cellStyle name="_Extra media plan 050329_Wrigley - 05 budget&amp;calendar LE 050728 (25I)_Wrigley - 06 simple chart Sep 14_P&amp;L KFE" xfId="6513"/>
    <cellStyle name="_Extra media plan 050329_Wrigley - 05 budget&amp;calendar LE 050728 (25I)_Wrigley - 06 simple chart Sep 14_Sheet3" xfId="6514"/>
    <cellStyle name="_Extra media plan 050329_Wrigley - 05 budget&amp;calendar LE 050824 (25F)" xfId="6515"/>
    <cellStyle name="_Extra media plan 050329_Wrigley - 05 budget&amp;calendar LE 050824 (25F) 2" xfId="6516"/>
    <cellStyle name="_Extra media plan 050329_Wrigley - 05 budget&amp;calendar LE 050824 (25F)_Category Template AC'11 @Cst Fx 52W vs 53W" xfId="6517"/>
    <cellStyle name="_Extra media plan 050329_Wrigley - 05 budget&amp;calendar LE 050824 (25F)_Category Template AC'11 @Cst Fx 52W vs 53W 2" xfId="6518"/>
    <cellStyle name="_Extra media plan 050329_Wrigley - 05 budget&amp;calendar LE 050824 (25F)_Category Template AC'11 @Cst Fx 52W vs 53W_P&amp;L KFE" xfId="6519"/>
    <cellStyle name="_Extra media plan 050329_Wrigley - 05 budget&amp;calendar LE 050824 (25F)_Category Template AC'11 @Cst Fx 52W vs 53W_Sheet3" xfId="6520"/>
    <cellStyle name="_Extra media plan 050329_Wrigley - 05 budget&amp;calendar LE 050824 (25F)_P&amp;L KFE" xfId="6521"/>
    <cellStyle name="_Extra media plan 050329_Wrigley - 05 budget&amp;calendar LE 050824 (25F)_Sheet3" xfId="6522"/>
    <cellStyle name="_Extra media plan 050329_Wrigley - 05 budget&amp;calendar LE 050824 (25F)_Wrigley - 06 simple chart Sep 14" xfId="6523"/>
    <cellStyle name="_Extra media plan 050329_Wrigley - 05 budget&amp;calendar LE 050824 (25F)_Wrigley - 06 simple chart Sep 14 2" xfId="6524"/>
    <cellStyle name="_Extra media plan 050329_Wrigley - 05 budget&amp;calendar LE 050824 (25F)_Wrigley - 06 simple chart Sep 14_Category Template AC'11 @Cst Fx 52W vs 53W" xfId="6525"/>
    <cellStyle name="_Extra media plan 050329_Wrigley - 05 budget&amp;calendar LE 050824 (25F)_Wrigley - 06 simple chart Sep 14_Category Template AC'11 @Cst Fx 52W vs 53W 2" xfId="6526"/>
    <cellStyle name="_Extra media plan 050329_Wrigley - 05 budget&amp;calendar LE 050824 (25F)_Wrigley - 06 simple chart Sep 14_Category Template AC'11 @Cst Fx 52W vs 53W_P&amp;L KFE" xfId="6527"/>
    <cellStyle name="_Extra media plan 050329_Wrigley - 05 budget&amp;calendar LE 050824 (25F)_Wrigley - 06 simple chart Sep 14_Category Template AC'11 @Cst Fx 52W vs 53W_Sheet3" xfId="6528"/>
    <cellStyle name="_Extra media plan 050329_Wrigley - 05 budget&amp;calendar LE 050824 (25F)_Wrigley - 06 simple chart Sep 14_P&amp;L KFE" xfId="6529"/>
    <cellStyle name="_Extra media plan 050329_Wrigley - 05 budget&amp;calendar LE 050824 (25F)_Wrigley - 06 simple chart Sep 14_Sheet3" xfId="6530"/>
    <cellStyle name="_Extra media plan 050329_Wrigley - 05 budget&amp;calendar LE 050824 (25I)" xfId="6531"/>
    <cellStyle name="_Extra media plan 050329_Wrigley - 05 budget&amp;calendar LE 050824 (25I) 2" xfId="6532"/>
    <cellStyle name="_Extra media plan 050329_Wrigley - 05 budget&amp;calendar LE 050824 (25I)_Category Template AC'11 @Cst Fx 52W vs 53W" xfId="6533"/>
    <cellStyle name="_Extra media plan 050329_Wrigley - 05 budget&amp;calendar LE 050824 (25I)_Category Template AC'11 @Cst Fx 52W vs 53W 2" xfId="6534"/>
    <cellStyle name="_Extra media plan 050329_Wrigley - 05 budget&amp;calendar LE 050824 (25I)_Category Template AC'11 @Cst Fx 52W vs 53W_P&amp;L KFE" xfId="6535"/>
    <cellStyle name="_Extra media plan 050329_Wrigley - 05 budget&amp;calendar LE 050824 (25I)_Category Template AC'11 @Cst Fx 52W vs 53W_Sheet3" xfId="6536"/>
    <cellStyle name="_Extra media plan 050329_Wrigley - 05 budget&amp;calendar LE 050824 (25I)_P&amp;L KFE" xfId="6537"/>
    <cellStyle name="_Extra media plan 050329_Wrigley - 05 budget&amp;calendar LE 050824 (25I)_Sheet3" xfId="6538"/>
    <cellStyle name="_Extra media plan 050329_Wrigley - 05 budget&amp;calendar LE 050824 (25I)_Wrigley - 06 simple chart Sep 14" xfId="6539"/>
    <cellStyle name="_Extra media plan 050329_Wrigley - 05 budget&amp;calendar LE 050824 (25I)_Wrigley - 06 simple chart Sep 14 2" xfId="6540"/>
    <cellStyle name="_Extra media plan 050329_Wrigley - 05 budget&amp;calendar LE 050824 (25I)_Wrigley - 06 simple chart Sep 14_Category Template AC'11 @Cst Fx 52W vs 53W" xfId="6541"/>
    <cellStyle name="_Extra media plan 050329_Wrigley - 05 budget&amp;calendar LE 050824 (25I)_Wrigley - 06 simple chart Sep 14_Category Template AC'11 @Cst Fx 52W vs 53W 2" xfId="6542"/>
    <cellStyle name="_Extra media plan 050329_Wrigley - 05 budget&amp;calendar LE 050824 (25I)_Wrigley - 06 simple chart Sep 14_Category Template AC'11 @Cst Fx 52W vs 53W_P&amp;L KFE" xfId="6543"/>
    <cellStyle name="_Extra media plan 050329_Wrigley - 05 budget&amp;calendar LE 050824 (25I)_Wrigley - 06 simple chart Sep 14_Category Template AC'11 @Cst Fx 52W vs 53W_Sheet3" xfId="6544"/>
    <cellStyle name="_Extra media plan 050329_Wrigley - 05 budget&amp;calendar LE 050824 (25I)_Wrigley - 06 simple chart Sep 14_P&amp;L KFE" xfId="6545"/>
    <cellStyle name="_Extra media plan 050329_Wrigley - 05 budget&amp;calendar LE 050824 (25I)_Wrigley - 06 simple chart Sep 14_Sheet3" xfId="6546"/>
    <cellStyle name="_Extra media plan 050329_Wrigley - 06 simple chart Sep 14" xfId="6547"/>
    <cellStyle name="_Extra media plan 050329_Wrigley - 06 simple chart Sep 14 2" xfId="6548"/>
    <cellStyle name="_Extra media plan 050329_Wrigley - 06 simple chart Sep 14_Category Template AC'11 @Cst Fx 52W vs 53W" xfId="6549"/>
    <cellStyle name="_Extra media plan 050329_Wrigley - 06 simple chart Sep 14_Category Template AC'11 @Cst Fx 52W vs 53W 2" xfId="6550"/>
    <cellStyle name="_Extra media plan 050329_Wrigley - 06 simple chart Sep 14_Category Template AC'11 @Cst Fx 52W vs 53W_P&amp;L KFE" xfId="6551"/>
    <cellStyle name="_Extra media plan 050329_Wrigley - 06 simple chart Sep 14_Category Template AC'11 @Cst Fx 52W vs 53W_Sheet3" xfId="6552"/>
    <cellStyle name="_Extra media plan 050329_Wrigley - 06 simple chart Sep 14_P&amp;L KFE" xfId="6553"/>
    <cellStyle name="_Extra media plan 050329_Wrigley - 06 simple chart Sep 14_Sheet3" xfId="6554"/>
    <cellStyle name="_Finance Cv1 2010" xfId="6555"/>
    <cellStyle name="_Financial Data Only" xfId="6556"/>
    <cellStyle name="_Financials 17.08.07_local production Pokrov with UA assumptions" xfId="6557"/>
    <cellStyle name="_Financials 17.08.07_local production Pokrov with UA assumptions_AR_TUC new line_Szekes v10" xfId="6558"/>
    <cellStyle name="_Financials 30.07.07_local production Pokrov_Ira" xfId="6559"/>
    <cellStyle name="_Financials 30.07.07_local production Pokrov_Ira_AR_TUC new line_Szekes v10" xfId="6560"/>
    <cellStyle name="_Financials 30.07.07_local production Pokrov_Max" xfId="6561"/>
    <cellStyle name="_Financials 30.07.07_local production Pokrov_Max_AR_TUC new line_Szekes v10" xfId="6562"/>
    <cellStyle name="_Financials adjusted 09.03.2007" xfId="6563"/>
    <cellStyle name="_FINANTIALS FONTANEDA" xfId="6564"/>
    <cellStyle name="_FINANTIALS FONTANEDA 2" xfId="6565"/>
    <cellStyle name="_FINANTIALS FONTANEDA_bridge" xfId="6566"/>
    <cellStyle name="_FINANTIALS FONTANEDA_Category Template AC'11 @Cst Fx 52W vs 53W" xfId="6567"/>
    <cellStyle name="_FINANTIALS FONTANEDA_Category Template AC'11 @Cst Fx 52W vs 53W 2" xfId="6568"/>
    <cellStyle name="_FINANTIALS FONTANEDA_Category Template AC'11 @Cst Fx 52W vs 53W_1" xfId="6569"/>
    <cellStyle name="_FINANTIALS FONTANEDA_Category Template AC'11 @Cst Fx 52W vs 53W_1 2" xfId="6570"/>
    <cellStyle name="_FINANTIALS FONTANEDA_Category Template AC'11 @Cst Fx 52W vs 53W_1_P&amp;L KFE" xfId="6571"/>
    <cellStyle name="_FINANTIALS FONTANEDA_Category Template AC'11 @Cst Fx 52W vs 53W_1_Sheet3" xfId="6572"/>
    <cellStyle name="_FINANTIALS FONTANEDA_Category Template AC'11 @Cst Fx 52W vs 53W_Category Template AC'11 @Cst Fx 52W vs 53W" xfId="6573"/>
    <cellStyle name="_FINANTIALS FONTANEDA_Category Template AC'11 @Cst Fx 52W vs 53W_Category Template AC'11 @Cst Fx 52W vs 53W 2" xfId="6574"/>
    <cellStyle name="_FINANTIALS FONTANEDA_Category Template AC'11 @Cst Fx 52W vs 53W_Category Template AC'11 @Cst Fx 52W vs 53W_P&amp;L KFE" xfId="6575"/>
    <cellStyle name="_FINANTIALS FONTANEDA_Category Template AC'11 @Cst Fx 52W vs 53W_Category Template AC'11 @Cst Fx 52W vs 53W_Sheet3" xfId="6576"/>
    <cellStyle name="_FINANTIALS FONTANEDA_Category Template AC'11 @Cst Fx 52W vs 53W_P&amp;L KFE" xfId="6577"/>
    <cellStyle name="_FINANTIALS FONTANEDA_Category Template AC'11 @Cst Fx 52W vs 53W_Sheet3" xfId="6578"/>
    <cellStyle name="_FINANTIALS FONTANEDA_Category Template AC'11 28092010" xfId="6579"/>
    <cellStyle name="_FINANTIALS FONTANEDA_Category Template AC'11 30092010v4" xfId="6580"/>
    <cellStyle name="_FINANTIALS FONTANEDA_Category Template AC'11 Oct7 Feedback" xfId="6581"/>
    <cellStyle name="_FINANTIALS FONTANEDA_Category Template AC'11_sent to countries" xfId="6582"/>
    <cellStyle name="_FINANTIALS FONTANEDA_Category Template AC'11_sent to countries ( euro )" xfId="6583"/>
    <cellStyle name="_FINANTIALS FONTANEDA_Category Template AC'11_sent to countries ( euro )_after feedback" xfId="6584"/>
    <cellStyle name="_FINANTIALS FONTANEDA_Category Template AC'11_sent to countries à modifier" xfId="6585"/>
    <cellStyle name="_FINANTIALS FONTANEDA_Category Template AC'11_sent to countries_1" xfId="6586"/>
    <cellStyle name="_FINANTIALS FONTANEDA_Cost bridge" xfId="6587"/>
    <cellStyle name="_FINANTIALS FONTANEDA_Italy Mgmt bridge AC'11 vs Aug Fc" xfId="6588"/>
    <cellStyle name="_FINANTIALS FONTANEDA_Mgmt bridge AC'11 vs Aug Fc_Spain" xfId="6589"/>
    <cellStyle name="_FINANTIALS FONTANEDA_NC Drivers PY Qrt excl Cadbury" xfId="6590"/>
    <cellStyle name="_FINANTIALS FONTANEDA_Opps&amp;Risks" xfId="6591"/>
    <cellStyle name="_FINANTIALS FONTANEDA_Opps&amp;Risks 2" xfId="6592"/>
    <cellStyle name="_FINANTIALS FONTANEDA_P&amp;L KFE" xfId="6593"/>
    <cellStyle name="_FINANTIALS FONTANEDA_P&amp;L Qrt" xfId="6594"/>
    <cellStyle name="_FINANTIALS FONTANEDA_PA" xfId="6595"/>
    <cellStyle name="_FINANTIALS FONTANEDA_Pricing Bridge" xfId="6596"/>
    <cellStyle name="_FINANTIALS FONTANEDA_Pricing Bridge - Pricing Actions AC 2011 (3)" xfId="6597"/>
    <cellStyle name="_FINANTIALS FONTANEDA_Sheet3" xfId="6598"/>
    <cellStyle name="_FINANTIALS FONTANEDA_UK - 24Sep Bridge" xfId="6599"/>
    <cellStyle name="_Forecasting Toolkit 4+8 503410" xfId="6600"/>
    <cellStyle name="_Forecasting Toolkit 4+8 503410_Data" xfId="6601"/>
    <cellStyle name="_Forecasting Toolkit 4+8 503410_GP25000 BIMA_Central Functions_ IT Management_3+9" xfId="6602"/>
    <cellStyle name="_Forecasting Toolkit 4+8 503410_GP25000 BIMA_Central Functions_ IT Management_3+9_2010 9plus3 - Breakdown by cost centre" xfId="6603"/>
    <cellStyle name="_Forecasting Toolkit 4+8 503410_GP25000 BIMA_Central Functions_ IT Management_3+9_CF Portfolio 2010 050510" xfId="6604"/>
    <cellStyle name="_Forecasting Toolkit 4+8 503410_GP25000 BIMA_Central Functions_ IT Management_3+9_CV3 submission - UOP entity" xfId="6605"/>
    <cellStyle name="_Forecasting Toolkit 4+8 503410_GP25000 BIMA_Central Functions_ IT Management_3+9_Data" xfId="6606"/>
    <cellStyle name="_Forecasting Toolkit 4+8 503410_GP25000 BIMA_Central Functions_ IT Management_3+9_Function and cc mapping (2)" xfId="6607"/>
    <cellStyle name="_Forecasting Toolkit 4+8 503410_GP25000 BIMA_Central Functions_ IT Management_3+9_Global_Hosting_Services_v02" xfId="6608"/>
    <cellStyle name="_Forecasting Toolkit 4+8 503410_GP25000 BIMA_Central Functions_ IT Management_3+9_GP25056 Global Service Desk (UK) 2009" xfId="6609"/>
    <cellStyle name="_Forecasting Toolkit 4+8 503410_GP25000 BIMA_Central Functions_ IT Management_3+9_GP25057_EUS_Shared_2009_CC_Report" xfId="6610"/>
    <cellStyle name="_Forecasting Toolkit 4+8 503410_GP25000 BIMA_Central Functions_ IT Management_3+9_GP25060 Global Hosting Services 3+9F v5" xfId="6611"/>
    <cellStyle name="_Forecasting Toolkit 4+8 503410_GP25000 BIMA_Central Functions_ IT Management_3+9_Sheet1" xfId="6612"/>
    <cellStyle name="_Forecasting Toolkit 4+8 503410_GP25000 BIMA_Central Functions_ IT Management_3+9_Sheet2" xfId="6613"/>
    <cellStyle name="_Forecasting Toolkit 4+8 503410_GP25000 BIMA_Central Functions_ IT Management_3+9_UOP balance by entity 6+6F" xfId="6614"/>
    <cellStyle name="_Forecasting Toolkit 4+8 503410_GP25056 Global Service Desk (UK) 2009" xfId="6615"/>
    <cellStyle name="_Forecasting Toolkit 4+8 503410_GP25057_EUS_Shared_2009_CC_Report" xfId="6616"/>
    <cellStyle name="_Forecasting Toolkit 4+8 503410_GP25060 Global Hosting Services_2009_CC Report" xfId="6617"/>
    <cellStyle name="_Forecasting Toolkit 4+8 503410_GP25060 Global Hosting Services_2009_V1" xfId="6618"/>
    <cellStyle name="_Forecasting Toolkit 4+8 503410_GP25060 Global Hosting Services_Sept 08" xfId="6619"/>
    <cellStyle name="_Forecasting Toolkit 4+8 503410_Information" xfId="6620"/>
    <cellStyle name="_Forecasting Toolkit 4+8 503410_SAP" xfId="6621"/>
    <cellStyle name="_Forecasting Toolkit 4+8 503410_SAP_2010 9plus3 - Breakdown by cost centre" xfId="6622"/>
    <cellStyle name="_Forecasting Toolkit 4+8 503410_SAP_CF Portfolio 2010 050510" xfId="6623"/>
    <cellStyle name="_Forecasting Toolkit 4+8 503410_SAP_CV3 submission - UOP entity" xfId="6624"/>
    <cellStyle name="_Forecasting Toolkit 4+8 503410_SAP_Data" xfId="6625"/>
    <cellStyle name="_Forecasting Toolkit 4+8 503410_SAP_Function and cc mapping (2)" xfId="6626"/>
    <cellStyle name="_Forecasting Toolkit 4+8 503410_SAP_Global_Hosting_Services_v02" xfId="6627"/>
    <cellStyle name="_Forecasting Toolkit 4+8 503410_SAP_GP25056 Global Service Desk (UK) 2009" xfId="6628"/>
    <cellStyle name="_Forecasting Toolkit 4+8 503410_SAP_GP25057_EUS_Shared_2009_CC_Report" xfId="6629"/>
    <cellStyle name="_Forecasting Toolkit 4+8 503410_SAP_GP25060 Global Hosting Services 3+9F v5" xfId="6630"/>
    <cellStyle name="_Forecasting Toolkit 4+8 503410_SAP_Sheet1" xfId="6631"/>
    <cellStyle name="_Forecasting Toolkit 4+8 503410_SAP_Sheet2" xfId="6632"/>
    <cellStyle name="_Forecasting Toolkit 4+8 503410_SAP_UOP balance by entity 6+6F" xfId="6633"/>
    <cellStyle name="_Forecasting Toolkit 4+8 503410_Sheet1" xfId="6634"/>
    <cellStyle name="_Forecasting Toolkit 4+8 503410_Sheet2" xfId="6635"/>
    <cellStyle name="_Forex Translation Rate - 2010 AOP" xfId="6636"/>
    <cellStyle name="_fx assumptions 2008 Contract - post task with Group fx rates" xfId="6637"/>
    <cellStyle name="_FY_Deck_2008_V10_Final" xfId="6638"/>
    <cellStyle name="_GB assumptions" xfId="6639"/>
    <cellStyle name="_GP24050 2008 contract v3" xfId="6640"/>
    <cellStyle name="_GP24052" xfId="6641"/>
    <cellStyle name="_GP24052 2008 contract v3" xfId="6642"/>
    <cellStyle name="_GP24052_Data" xfId="6643"/>
    <cellStyle name="_GP24052_GP25000 BIMA_Central Functions_ IT Management_3+9" xfId="6644"/>
    <cellStyle name="_GP24052_GP25000 BIMA_Central Functions_ IT Management_3+9_2010 9plus3 - Breakdown by cost centre" xfId="6645"/>
    <cellStyle name="_GP24052_GP25000 BIMA_Central Functions_ IT Management_3+9_CF Portfolio 2010 050510" xfId="6646"/>
    <cellStyle name="_GP24052_GP25000 BIMA_Central Functions_ IT Management_3+9_CV3 submission - UOP entity" xfId="6647"/>
    <cellStyle name="_GP24052_GP25000 BIMA_Central Functions_ IT Management_3+9_Data" xfId="6648"/>
    <cellStyle name="_GP24052_GP25000 BIMA_Central Functions_ IT Management_3+9_Function and cc mapping (2)" xfId="6649"/>
    <cellStyle name="_GP24052_GP25000 BIMA_Central Functions_ IT Management_3+9_Global_Hosting_Services_v02" xfId="6650"/>
    <cellStyle name="_GP24052_GP25000 BIMA_Central Functions_ IT Management_3+9_GP25056 Global Service Desk (UK) 2009" xfId="6651"/>
    <cellStyle name="_GP24052_GP25000 BIMA_Central Functions_ IT Management_3+9_GP25057_EUS_Shared_2009_CC_Report" xfId="6652"/>
    <cellStyle name="_GP24052_GP25000 BIMA_Central Functions_ IT Management_3+9_GP25060 Global Hosting Services 3+9F v5" xfId="6653"/>
    <cellStyle name="_GP24052_GP25000 BIMA_Central Functions_ IT Management_3+9_Sheet1" xfId="6654"/>
    <cellStyle name="_GP24052_GP25000 BIMA_Central Functions_ IT Management_3+9_Sheet2" xfId="6655"/>
    <cellStyle name="_GP24052_GP25000 BIMA_Central Functions_ IT Management_3+9_UOP balance by entity 6+6F" xfId="6656"/>
    <cellStyle name="_GP24052_GP25056 Global Service Desk (UK) 2009" xfId="6657"/>
    <cellStyle name="_GP24052_GP25057_EUS_Shared_2009_CC_Report" xfId="6658"/>
    <cellStyle name="_GP24052_GP25060 Global Hosting Services_2009_CC Report" xfId="6659"/>
    <cellStyle name="_GP24052_GP25060 Global Hosting Services_2009_V1" xfId="6660"/>
    <cellStyle name="_GP24052_GP25060 Global Hosting Services_Sept 08" xfId="6661"/>
    <cellStyle name="_GP24052_Information" xfId="6662"/>
    <cellStyle name="_GP24052_SAP" xfId="6663"/>
    <cellStyle name="_GP24052_SAP_2010 9plus3 - Breakdown by cost centre" xfId="6664"/>
    <cellStyle name="_GP24052_SAP_CF Portfolio 2010 050510" xfId="6665"/>
    <cellStyle name="_GP24052_SAP_CV3 submission - UOP entity" xfId="6666"/>
    <cellStyle name="_GP24052_SAP_Data" xfId="6667"/>
    <cellStyle name="_GP24052_SAP_Function and cc mapping (2)" xfId="6668"/>
    <cellStyle name="_GP24052_SAP_Global_Hosting_Services_v02" xfId="6669"/>
    <cellStyle name="_GP24052_SAP_GP25056 Global Service Desk (UK) 2009" xfId="6670"/>
    <cellStyle name="_GP24052_SAP_GP25057_EUS_Shared_2009_CC_Report" xfId="6671"/>
    <cellStyle name="_GP24052_SAP_GP25060 Global Hosting Services 3+9F v5" xfId="6672"/>
    <cellStyle name="_GP24052_SAP_Sheet1" xfId="6673"/>
    <cellStyle name="_GP24052_SAP_Sheet2" xfId="6674"/>
    <cellStyle name="_GP24052_SAP_UOP balance by entity 6+6F" xfId="6675"/>
    <cellStyle name="_GP24052_Sheet1" xfId="6676"/>
    <cellStyle name="_GP24052_Sheet2" xfId="6677"/>
    <cellStyle name="_GRC 8+4F Report Template" xfId="6678"/>
    <cellStyle name="_Greenfield Brasov 08.06.07" xfId="6679"/>
    <cellStyle name="_GroupFA" xfId="6680"/>
    <cellStyle name="_GroupFA 2" xfId="6681"/>
    <cellStyle name="_GRP_2007_2008" xfId="6682"/>
    <cellStyle name="_Headcount Timeline2" xfId="6683"/>
    <cellStyle name="_Headcount Timeline2 2" xfId="6684"/>
    <cellStyle name="_Headcount Timeline2 2_P&amp;L KFE" xfId="6685"/>
    <cellStyle name="_Headcount Timeline2 2_Sheet3" xfId="6686"/>
    <cellStyle name="_Headcount Timeline2_P&amp;L KFE" xfId="6687"/>
    <cellStyle name="_Headcount Timeline2_Sheet3" xfId="6688"/>
    <cellStyle name="_Header" xfId="6689"/>
    <cellStyle name="_Header 2" xfId="6690"/>
    <cellStyle name="_Hedge overview Aug 23" xfId="6691"/>
    <cellStyle name="_Hess Allocation" xfId="6692"/>
    <cellStyle name="_Hess Corporation - Budget-to-Cost BASE DATA TOTAL" xfId="6693"/>
    <cellStyle name="_Hess Corporation - Budget-to-Cost BASE DATA TOTAL 2" xfId="6694"/>
    <cellStyle name="_Hess Corporation - Budget-to-Cost BASE DATA TOTAL 2_P&amp;L KFE" xfId="6695"/>
    <cellStyle name="_Hess Corporation - Budget-to-Cost BASE DATA TOTAL 2_Sheet3" xfId="6696"/>
    <cellStyle name="_Hess Corporation - Budget-to-Cost BASE DATA TOTAL_P&amp;L KFE" xfId="6697"/>
    <cellStyle name="_Hess Corporation - Budget-to-Cost BASE DATA TOTAL_Sheet3" xfId="6698"/>
    <cellStyle name="_HFM - October 2008" xfId="6699"/>
    <cellStyle name="_HFM file_7+5F - Europe" xfId="6700"/>
    <cellStyle name="_HFM file_Contract2010_v2" xfId="6701"/>
    <cellStyle name="_HHRR Cv1 2010" xfId="6702"/>
    <cellStyle name="_HR Base Case Template v3 082806" xfId="6703"/>
    <cellStyle name="_HR Base Case Template v3 082806 2" xfId="6704"/>
    <cellStyle name="_HR Base Case Template v3 082806 2_P&amp;L KFE" xfId="6705"/>
    <cellStyle name="_HR Base Case Template v3 082806 2_Sheet3" xfId="6706"/>
    <cellStyle name="_HR Base Case Template v3 082806_P&amp;L KFE" xfId="6707"/>
    <cellStyle name="_HR Base Case Template v3 082806_Sheet3" xfId="6708"/>
    <cellStyle name="_HR Data Request Template 2006-12-15 latest" xfId="6709"/>
    <cellStyle name="_HR Data Request Template 2007-04-01 latest v3" xfId="6710"/>
    <cellStyle name="_HRO II -  HR Staff Data Template  - EU Completed v5.1" xfId="6711"/>
    <cellStyle name="_HRO II -  HR Staff Data Template  - EU Completed v5.2" xfId="6712"/>
    <cellStyle name="_HRO II -  HR Staff Data Template  - NA Completed v5" xfId="6713"/>
    <cellStyle name="_HRO II -  IT Group Template FINAL2_NA_US_RegConsol" xfId="6714"/>
    <cellStyle name="_HRO II -  IT Group Template FINAL2_NA_US_RegConsol TPI Scope" xfId="6715"/>
    <cellStyle name="_HRO II Globally Consolidated Third Party Vendors Data (USD) 04 11 2008 - MB" xfId="6716"/>
    <cellStyle name="_HRO II Globally Consolidated Third Party Vendors Data (USD) 04 15 2008" xfId="6717"/>
    <cellStyle name="_HRO II Globally Consolidated Third Party Vendors Data (USD) 04 16 2008" xfId="6718"/>
    <cellStyle name="_IBR`s for Cote d`Od  comparison Trost vs Pokrov_070807" xfId="6719"/>
    <cellStyle name="_IBR`s for Cote d`Od  comparison Trost vs Pokrov_070807_AR_TUC new line_Szekes v10" xfId="6720"/>
    <cellStyle name="_IBR`s for Cote d`Od  comparison Trost vs Pokrov_FC updated" xfId="6721"/>
    <cellStyle name="_IBR`s for Cote d`Od  comparison Trost vs Pokrov_FC updated_AR_TUC new line_Szekes v10" xfId="6722"/>
    <cellStyle name="_IBR`s for Cote d`Or_100108" xfId="6723"/>
    <cellStyle name="_IBR`s for Cote d`Or_100108_AR_TUC new line_Szekes v10" xfId="6724"/>
    <cellStyle name="_IBR`s for Cote d`Or_210108" xfId="6725"/>
    <cellStyle name="_IBR`s for Cote d`Or_210108_AR_TUC new line_Szekes v10" xfId="6726"/>
    <cellStyle name="_In Budget Sites Oct21 " xfId="6727"/>
    <cellStyle name="_Incremental Additions March 2008 - 20080331" xfId="6728"/>
    <cellStyle name="_Information" xfId="6729"/>
    <cellStyle name="_Innos 2011 Tonnages" xfId="6730"/>
    <cellStyle name="_INPUT NPDs" xfId="6731"/>
    <cellStyle name="_INPUT NPDs 2" xfId="6732"/>
    <cellStyle name="_Inventarios materiales de margarina" xfId="6733"/>
    <cellStyle name="_investment for checkmate line-ROI" xfId="6734"/>
    <cellStyle name="_investment for checkmate line-ROI 2" xfId="6735"/>
    <cellStyle name="_investment for checkmate line-ROI_Category Template AC'11 @Cst Fx 52W vs 53W" xfId="6736"/>
    <cellStyle name="_investment for checkmate line-ROI_Category Template AC'11 @Cst Fx 52W vs 53W 2" xfId="6737"/>
    <cellStyle name="_investment for checkmate line-ROI_Category Template AC'11 @Cst Fx 52W vs 53W_P&amp;L KFE" xfId="6738"/>
    <cellStyle name="_investment for checkmate line-ROI_Category Template AC'11 @Cst Fx 52W vs 53W_Sheet3" xfId="6739"/>
    <cellStyle name="_investment for checkmate line-ROI_P&amp;L KFE" xfId="6740"/>
    <cellStyle name="_investment for checkmate line-ROI_Sheet3" xfId="6741"/>
    <cellStyle name="_IS assets - Impairments" xfId="6742"/>
    <cellStyle name="_IS assets - Impairments_xyz" xfId="6743"/>
    <cellStyle name="_IS SP12 Review (MH 060409)" xfId="6744"/>
    <cellStyle name="_IT Cost Report 10+2 + Nov&amp;Dec CONSOL - final" xfId="6745"/>
    <cellStyle name="_IT Europe Contract V1 - Consolidated v11 (2)" xfId="6746"/>
    <cellStyle name="_IT_Countrysheet_APAC_ChinaBeijing 6+6 V2" xfId="6747"/>
    <cellStyle name="_ITLT SUMMARY FRONT PAGE v2" xfId="6748"/>
    <cellStyle name="_JF Masterflow June 15a" xfId="6749"/>
    <cellStyle name="_JF Masterflow June 15a 2" xfId="6750"/>
    <cellStyle name="_JF Masterflow June 15a_Book5" xfId="6751"/>
    <cellStyle name="_JF Masterflow June 15a_Book5 2" xfId="6752"/>
    <cellStyle name="_JF Masterflow June 15a_Book5_Category Template AC'11 @Cst Fx 52W vs 53W" xfId="6753"/>
    <cellStyle name="_JF Masterflow June 15a_Book5_Category Template AC'11 @Cst Fx 52W vs 53W 2" xfId="6754"/>
    <cellStyle name="_JF Masterflow June 15a_Book5_Category Template AC'11 @Cst Fx 52W vs 53W_P&amp;L KFE" xfId="6755"/>
    <cellStyle name="_JF Masterflow June 15a_Book5_Category Template AC'11 @Cst Fx 52W vs 53W_Sheet3" xfId="6756"/>
    <cellStyle name="_JF Masterflow June 15a_Book5_P&amp;L KFE" xfId="6757"/>
    <cellStyle name="_JF Masterflow June 15a_Book5_Sheet3" xfId="6758"/>
    <cellStyle name="_JF Masterflow June 15a_Category Template AC'11 @Cst Fx 52W vs 53W" xfId="6759"/>
    <cellStyle name="_JF Masterflow June 15a_Category Template AC'11 @Cst Fx 52W vs 53W 2" xfId="6760"/>
    <cellStyle name="_JF Masterflow June 15a_Category Template AC'11 @Cst Fx 52W vs 53W_P&amp;L KFE" xfId="6761"/>
    <cellStyle name="_JF Masterflow June 15a_Category Template AC'11 @Cst Fx 52W vs 53W_Sheet3" xfId="6762"/>
    <cellStyle name="_JF Masterflow June 15a_P&amp;L KFE" xfId="6763"/>
    <cellStyle name="_JF Masterflow June 15a_Sheet3" xfId="6764"/>
    <cellStyle name="_JF Masterflow June 15a_Wrigley - 05 budget&amp;calendar LE 050728 (25I)" xfId="6765"/>
    <cellStyle name="_JF Masterflow June 15a_Wrigley - 05 budget&amp;calendar LE 050728 (25I) 2" xfId="6766"/>
    <cellStyle name="_JF Masterflow June 15a_Wrigley - 05 budget&amp;calendar LE 050728 (25I)_Category Template AC'11 @Cst Fx 52W vs 53W" xfId="6767"/>
    <cellStyle name="_JF Masterflow June 15a_Wrigley - 05 budget&amp;calendar LE 050728 (25I)_Category Template AC'11 @Cst Fx 52W vs 53W 2" xfId="6768"/>
    <cellStyle name="_JF Masterflow June 15a_Wrigley - 05 budget&amp;calendar LE 050728 (25I)_Category Template AC'11 @Cst Fx 52W vs 53W_P&amp;L KFE" xfId="6769"/>
    <cellStyle name="_JF Masterflow June 15a_Wrigley - 05 budget&amp;calendar LE 050728 (25I)_Category Template AC'11 @Cst Fx 52W vs 53W_Sheet3" xfId="6770"/>
    <cellStyle name="_JF Masterflow June 15a_Wrigley - 05 budget&amp;calendar LE 050728 (25I)_P&amp;L KFE" xfId="6771"/>
    <cellStyle name="_JF Masterflow June 15a_Wrigley - 05 budget&amp;calendar LE 050728 (25I)_Sheet3" xfId="6772"/>
    <cellStyle name="_JF Masterflow June 15a_Wrigley - 05 budget&amp;calendar LE 050728 (25I)_Wrigley - 06 simple chart Sep 14" xfId="6773"/>
    <cellStyle name="_JF Masterflow June 15a_Wrigley - 05 budget&amp;calendar LE 050728 (25I)_Wrigley - 06 simple chart Sep 14 2" xfId="6774"/>
    <cellStyle name="_JF Masterflow June 15a_Wrigley - 05 budget&amp;calendar LE 050728 (25I)_Wrigley - 06 simple chart Sep 14_Category Template AC'11 @Cst Fx 52W vs 53W" xfId="6775"/>
    <cellStyle name="_JF Masterflow June 15a_Wrigley - 05 budget&amp;calendar LE 050728 (25I)_Wrigley - 06 simple chart Sep 14_Category Template AC'11 @Cst Fx 52W vs 53W 2" xfId="6776"/>
    <cellStyle name="_JF Masterflow June 15a_Wrigley - 05 budget&amp;calendar LE 050728 (25I)_Wrigley - 06 simple chart Sep 14_Category Template AC'11 @Cst Fx 52W vs 53W_P&amp;L KFE" xfId="6777"/>
    <cellStyle name="_JF Masterflow June 15a_Wrigley - 05 budget&amp;calendar LE 050728 (25I)_Wrigley - 06 simple chart Sep 14_Category Template AC'11 @Cst Fx 52W vs 53W_Sheet3" xfId="6778"/>
    <cellStyle name="_JF Masterflow June 15a_Wrigley - 05 budget&amp;calendar LE 050728 (25I)_Wrigley - 06 simple chart Sep 14_P&amp;L KFE" xfId="6779"/>
    <cellStyle name="_JF Masterflow June 15a_Wrigley - 05 budget&amp;calendar LE 050728 (25I)_Wrigley - 06 simple chart Sep 14_Sheet3" xfId="6780"/>
    <cellStyle name="_JF Masterflow June 15a_Wrigley - 05 budget&amp;calendar LE 050824 (25F)" xfId="6781"/>
    <cellStyle name="_JF Masterflow June 15a_Wrigley - 05 budget&amp;calendar LE 050824 (25F) 2" xfId="6782"/>
    <cellStyle name="_JF Masterflow June 15a_Wrigley - 05 budget&amp;calendar LE 050824 (25F)_Category Template AC'11 @Cst Fx 52W vs 53W" xfId="6783"/>
    <cellStyle name="_JF Masterflow June 15a_Wrigley - 05 budget&amp;calendar LE 050824 (25F)_Category Template AC'11 @Cst Fx 52W vs 53W 2" xfId="6784"/>
    <cellStyle name="_JF Masterflow June 15a_Wrigley - 05 budget&amp;calendar LE 050824 (25F)_Category Template AC'11 @Cst Fx 52W vs 53W_P&amp;L KFE" xfId="6785"/>
    <cellStyle name="_JF Masterflow June 15a_Wrigley - 05 budget&amp;calendar LE 050824 (25F)_Category Template AC'11 @Cst Fx 52W vs 53W_Sheet3" xfId="6786"/>
    <cellStyle name="_JF Masterflow June 15a_Wrigley - 05 budget&amp;calendar LE 050824 (25F)_P&amp;L KFE" xfId="6787"/>
    <cellStyle name="_JF Masterflow June 15a_Wrigley - 05 budget&amp;calendar LE 050824 (25F)_Sheet3" xfId="6788"/>
    <cellStyle name="_JF Masterflow June 15a_Wrigley - 05 budget&amp;calendar LE 050824 (25F)_Wrigley - 06 simple chart Sep 14" xfId="6789"/>
    <cellStyle name="_JF Masterflow June 15a_Wrigley - 05 budget&amp;calendar LE 050824 (25F)_Wrigley - 06 simple chart Sep 14 2" xfId="6790"/>
    <cellStyle name="_JF Masterflow June 15a_Wrigley - 05 budget&amp;calendar LE 050824 (25F)_Wrigley - 06 simple chart Sep 14_Category Template AC'11 @Cst Fx 52W vs 53W" xfId="6791"/>
    <cellStyle name="_JF Masterflow June 15a_Wrigley - 05 budget&amp;calendar LE 050824 (25F)_Wrigley - 06 simple chart Sep 14_Category Template AC'11 @Cst Fx 52W vs 53W 2" xfId="6792"/>
    <cellStyle name="_JF Masterflow June 15a_Wrigley - 05 budget&amp;calendar LE 050824 (25F)_Wrigley - 06 simple chart Sep 14_Category Template AC'11 @Cst Fx 52W vs 53W_P&amp;L KFE" xfId="6793"/>
    <cellStyle name="_JF Masterflow June 15a_Wrigley - 05 budget&amp;calendar LE 050824 (25F)_Wrigley - 06 simple chart Sep 14_Category Template AC'11 @Cst Fx 52W vs 53W_Sheet3" xfId="6794"/>
    <cellStyle name="_JF Masterflow June 15a_Wrigley - 05 budget&amp;calendar LE 050824 (25F)_Wrigley - 06 simple chart Sep 14_P&amp;L KFE" xfId="6795"/>
    <cellStyle name="_JF Masterflow June 15a_Wrigley - 05 budget&amp;calendar LE 050824 (25F)_Wrigley - 06 simple chart Sep 14_Sheet3" xfId="6796"/>
    <cellStyle name="_JF Masterflow June 15a_Wrigley - 05 budget&amp;calendar LE 050824 (25I)" xfId="6797"/>
    <cellStyle name="_JF Masterflow June 15a_Wrigley - 05 budget&amp;calendar LE 050824 (25I) 2" xfId="6798"/>
    <cellStyle name="_JF Masterflow June 15a_Wrigley - 05 budget&amp;calendar LE 050824 (25I)_Category Template AC'11 @Cst Fx 52W vs 53W" xfId="6799"/>
    <cellStyle name="_JF Masterflow June 15a_Wrigley - 05 budget&amp;calendar LE 050824 (25I)_Category Template AC'11 @Cst Fx 52W vs 53W 2" xfId="6800"/>
    <cellStyle name="_JF Masterflow June 15a_Wrigley - 05 budget&amp;calendar LE 050824 (25I)_Category Template AC'11 @Cst Fx 52W vs 53W_P&amp;L KFE" xfId="6801"/>
    <cellStyle name="_JF Masterflow June 15a_Wrigley - 05 budget&amp;calendar LE 050824 (25I)_Category Template AC'11 @Cst Fx 52W vs 53W_Sheet3" xfId="6802"/>
    <cellStyle name="_JF Masterflow June 15a_Wrigley - 05 budget&amp;calendar LE 050824 (25I)_P&amp;L KFE" xfId="6803"/>
    <cellStyle name="_JF Masterflow June 15a_Wrigley - 05 budget&amp;calendar LE 050824 (25I)_Sheet3" xfId="6804"/>
    <cellStyle name="_JF Masterflow June 15a_Wrigley - 05 budget&amp;calendar LE 050824 (25I)_Wrigley - 06 simple chart Sep 14" xfId="6805"/>
    <cellStyle name="_JF Masterflow June 15a_Wrigley - 05 budget&amp;calendar LE 050824 (25I)_Wrigley - 06 simple chart Sep 14 2" xfId="6806"/>
    <cellStyle name="_JF Masterflow June 15a_Wrigley - 05 budget&amp;calendar LE 050824 (25I)_Wrigley - 06 simple chart Sep 14_Category Template AC'11 @Cst Fx 52W vs 53W" xfId="6807"/>
    <cellStyle name="_JF Masterflow June 15a_Wrigley - 05 budget&amp;calendar LE 050824 (25I)_Wrigley - 06 simple chart Sep 14_Category Template AC'11 @Cst Fx 52W vs 53W 2" xfId="6808"/>
    <cellStyle name="_JF Masterflow June 15a_Wrigley - 05 budget&amp;calendar LE 050824 (25I)_Wrigley - 06 simple chart Sep 14_Category Template AC'11 @Cst Fx 52W vs 53W_P&amp;L KFE" xfId="6809"/>
    <cellStyle name="_JF Masterflow June 15a_Wrigley - 05 budget&amp;calendar LE 050824 (25I)_Wrigley - 06 simple chart Sep 14_Category Template AC'11 @Cst Fx 52W vs 53W_Sheet3" xfId="6810"/>
    <cellStyle name="_JF Masterflow June 15a_Wrigley - 05 budget&amp;calendar LE 050824 (25I)_Wrigley - 06 simple chart Sep 14_P&amp;L KFE" xfId="6811"/>
    <cellStyle name="_JF Masterflow June 15a_Wrigley - 05 budget&amp;calendar LE 050824 (25I)_Wrigley - 06 simple chart Sep 14_Sheet3" xfId="6812"/>
    <cellStyle name="_JF Masterflow June 15a_Wrigley - 06 simple chart Sep 14" xfId="6813"/>
    <cellStyle name="_JF Masterflow June 15a_Wrigley - 06 simple chart Sep 14 2" xfId="6814"/>
    <cellStyle name="_JF Masterflow June 15a_Wrigley - 06 simple chart Sep 14_Category Template AC'11 @Cst Fx 52W vs 53W" xfId="6815"/>
    <cellStyle name="_JF Masterflow June 15a_Wrigley - 06 simple chart Sep 14_Category Template AC'11 @Cst Fx 52W vs 53W 2" xfId="6816"/>
    <cellStyle name="_JF Masterflow June 15a_Wrigley - 06 simple chart Sep 14_Category Template AC'11 @Cst Fx 52W vs 53W_P&amp;L KFE" xfId="6817"/>
    <cellStyle name="_JF Masterflow June 15a_Wrigley - 06 simple chart Sep 14_Category Template AC'11 @Cst Fx 52W vs 53W_Sheet3" xfId="6818"/>
    <cellStyle name="_JF Masterflow June 15a_Wrigley - 06 simple chart Sep 14_P&amp;L KFE" xfId="6819"/>
    <cellStyle name="_JF Masterflow June 15a_Wrigley - 06 simple chart Sep 14_Sheet3" xfId="6820"/>
    <cellStyle name="_KBE AP 2009 Region Schedules (Envoi Oct 16th) like for like" xfId="6821"/>
    <cellStyle name="_KBI Sept MU3 deck charts 21-08-09" xfId="6822"/>
    <cellStyle name="_KBI Sept MU3 deck charts 21-08-09 2" xfId="6823"/>
    <cellStyle name="_KBI Sept MU3 deck charts 21-08-09_P&amp;L KFE" xfId="6824"/>
    <cellStyle name="_KBI Sept MU3 deck charts 21-08-09_Sheet1" xfId="6825"/>
    <cellStyle name="_KBI Sept MU3 deck charts 21-08-09_Sheet3" xfId="6826"/>
    <cellStyle name="_Key drivers May Fc vs AOP 12-05-10" xfId="6827"/>
    <cellStyle name="_KFE Severance Masterfile New (10) Update 2010 09_mw_hw" xfId="6828"/>
    <cellStyle name="_KFE_Segment ACT10 P03" xfId="6829"/>
    <cellStyle name="_KFE_Segment ACT10 P03 2" xfId="6830"/>
    <cellStyle name="_KPI-presentation" xfId="6831"/>
    <cellStyle name="_KPI-presentation 2" xfId="6832"/>
    <cellStyle name="_KPI-presentation 2_P&amp;L KFE" xfId="6833"/>
    <cellStyle name="_KPI-presentation 2_Sheet3" xfId="6834"/>
    <cellStyle name="_KPI-presentation 3" xfId="6835"/>
    <cellStyle name="_KPI-presentation_Opps&amp;Risks" xfId="6836"/>
    <cellStyle name="_KPI-presentation_Opps&amp;Risks 2" xfId="6837"/>
    <cellStyle name="_KPI-presentation_P&amp;L KFE" xfId="6838"/>
    <cellStyle name="_KPI-presentation_Sheet3" xfId="6839"/>
    <cellStyle name="_Kraft - HR Base Case - AP 04_23_08" xfId="6840"/>
    <cellStyle name="_Kraft - HR Base Case - AP 04_23_08 2" xfId="6841"/>
    <cellStyle name="_Kraft - HR Base Case - AP 04_23_08 2_P&amp;L KFE" xfId="6842"/>
    <cellStyle name="_Kraft - HR Base Case - AP 04_23_08 2_Sheet3" xfId="6843"/>
    <cellStyle name="_Kraft - HR Base Case - AP 04_23_08_P&amp;L KFE" xfId="6844"/>
    <cellStyle name="_Kraft - HR Base Case - AP 04_23_08_Sheet3" xfId="6845"/>
    <cellStyle name="_Kraft - HR Base Case - EEMA 04_24_08" xfId="6846"/>
    <cellStyle name="_Kraft - HR Base Case - EEMA 04_24_08 2" xfId="6847"/>
    <cellStyle name="_Kraft - HR Base Case - EEMA 04_24_08 2_P&amp;L KFE" xfId="6848"/>
    <cellStyle name="_Kraft - HR Base Case - EEMA 04_24_08 2_Sheet3" xfId="6849"/>
    <cellStyle name="_Kraft - HR Base Case - EEMA 04_24_08_P&amp;L KFE" xfId="6850"/>
    <cellStyle name="_Kraft - HR Base Case - EEMA 04_24_08_Sheet3" xfId="6851"/>
    <cellStyle name="_Kraft - HR Base Case - EU 04_22_08v3.0" xfId="6852"/>
    <cellStyle name="_Kraft - HR Base Case - EU 04_22_08v3.0 2" xfId="6853"/>
    <cellStyle name="_Kraft - HR Base Case - EU 04_22_08v3.0 2_P&amp;L KFE" xfId="6854"/>
    <cellStyle name="_Kraft - HR Base Case - EU 04_22_08v3.0 2_Sheet3" xfId="6855"/>
    <cellStyle name="_Kraft - HR Base Case - EU 04_22_08v3.0_P&amp;L KFE" xfId="6856"/>
    <cellStyle name="_Kraft - HR Base Case - EU 04_22_08v3.0_Sheet3" xfId="6857"/>
    <cellStyle name="_Kraft - HR Base Case - LA 04_23_08" xfId="6858"/>
    <cellStyle name="_Kraft - HR Base Case - LA 04_23_08 2" xfId="6859"/>
    <cellStyle name="_Kraft - HR Base Case - LA 04_23_08 2_P&amp;L KFE" xfId="6860"/>
    <cellStyle name="_Kraft - HR Base Case - LA 04_23_08 2_Sheet3" xfId="6861"/>
    <cellStyle name="_Kraft - HR Base Case - LA 04_23_08 v2" xfId="6862"/>
    <cellStyle name="_Kraft - HR Base Case - LA 04_23_08 v2 2" xfId="6863"/>
    <cellStyle name="_Kraft - HR Base Case - LA 04_23_08 v2 2_P&amp;L KFE" xfId="6864"/>
    <cellStyle name="_Kraft - HR Base Case - LA 04_23_08 v2 2_Sheet3" xfId="6865"/>
    <cellStyle name="_Kraft - HR Base Case - LA 04_23_08 v2_P&amp;L KFE" xfId="6866"/>
    <cellStyle name="_Kraft - HR Base Case - LA 04_23_08 v2_Sheet3" xfId="6867"/>
    <cellStyle name="_Kraft - HR Base Case - LA 04_23_08_P&amp;L KFE" xfId="6868"/>
    <cellStyle name="_Kraft - HR Base Case - LA 04_23_08_Sheet3" xfId="6869"/>
    <cellStyle name="_Kraft - HR Base Case - NA 04_15_08" xfId="6870"/>
    <cellStyle name="_Kraft - HR Base Case - NA 04_15_08 2" xfId="6871"/>
    <cellStyle name="_Kraft - HR Base Case - NA 04_15_08 2_P&amp;L KFE" xfId="6872"/>
    <cellStyle name="_Kraft - HR Base Case - NA 04_15_08 2_Sheet3" xfId="6873"/>
    <cellStyle name="_Kraft - HR Base Case - NA 04_15_08_P&amp;L KFE" xfId="6874"/>
    <cellStyle name="_Kraft - HR Base Case - NA 04_15_08_Sheet3" xfId="6875"/>
    <cellStyle name="_KRAFT 3rd party Vendor Group - Staffing Allocation Tab_FIN" xfId="6876"/>
    <cellStyle name="_KRAFT 3rd party Vendor Group - Staffing Allocation Tab_FIN 2" xfId="6877"/>
    <cellStyle name="_KRAFT 3rd party Vendor Group - Staffing Allocation Tab_FIN 2_P&amp;L KFE" xfId="6878"/>
    <cellStyle name="_KRAFT 3rd party Vendor Group - Staffing Allocation Tab_FIN 2_Sheet3" xfId="6879"/>
    <cellStyle name="_KRAFT 3rd party Vendor Group - Staffing Allocation Tab_FIN_P&amp;L KFE" xfId="6880"/>
    <cellStyle name="_KRAFT 3rd party Vendor Group - Staffing Allocation Tab_FIN_Sheet3" xfId="6881"/>
    <cellStyle name="_Kraft Budget-to-Cost" xfId="6882"/>
    <cellStyle name="_Kraft Budget-to-Cost 2" xfId="6883"/>
    <cellStyle name="_Kraft Budget-to-Cost 2_P&amp;L KFE" xfId="6884"/>
    <cellStyle name="_Kraft Budget-to-Cost 2_Sheet3" xfId="6885"/>
    <cellStyle name="_Kraft Budget-to-Cost_P&amp;L KFE" xfId="6886"/>
    <cellStyle name="_Kraft Budget-to-Cost_Sheet3" xfId="6887"/>
    <cellStyle name="_Kraft HR Base Case - EU EEMA &amp; AP - 20070720 v4 KS draft" xfId="6888"/>
    <cellStyle name="_Kraft HR Base Case - EU EEMA &amp; AP - 20070720 v4 KS draft 2" xfId="6889"/>
    <cellStyle name="_Kraft HR Base Case - EU EEMA &amp; AP - 20070720 v4 KS draft 2_P&amp;L KFE" xfId="6890"/>
    <cellStyle name="_Kraft HR Base Case - EU EEMA &amp; AP - 20070720 v4 KS draft 2_Sheet3" xfId="6891"/>
    <cellStyle name="_Kraft HR Base Case - EU EEMA &amp; AP - 20070720 v4 KS draft_P&amp;L KFE" xfId="6892"/>
    <cellStyle name="_Kraft HR Base Case - EU EEMA &amp; AP - 20070720 v4 KS draft_Sheet3" xfId="6893"/>
    <cellStyle name="_Kraft HR Data Request DRAFT 04-18-07" xfId="6894"/>
    <cellStyle name="_KRAFT HR RFP 8 - EU Systems Interfaces and Reports Environment and Inventory (includes Transition Plan) DRAFT 04 15 2008 (3) (2)" xfId="6895"/>
    <cellStyle name="_KRAFT HR RFP 8 - NA Systems Interfaces and Reports Environment and Inventory (includes Transition Plan) DRAFT 04 15 2008gw" xfId="6896"/>
    <cellStyle name="_Kraft Volumetric Materials" xfId="6897"/>
    <cellStyle name="_Kraft Volumetric Materials 2" xfId="6898"/>
    <cellStyle name="_Kraft Volumetric Materials 2_P&amp;L KFE" xfId="6899"/>
    <cellStyle name="_Kraft Volumetric Materials 2_Sheet3" xfId="6900"/>
    <cellStyle name="_Kraft Volumetric Materials_P&amp;L KFE" xfId="6901"/>
    <cellStyle name="_Kraft Volumetric Materials_Sheet3" xfId="6902"/>
    <cellStyle name="_LA Consolidation P12" xfId="6903"/>
    <cellStyle name="_LA Consolidation P12 2" xfId="6904"/>
    <cellStyle name="_LA Consolidation P12 2_P&amp;L KFE" xfId="6905"/>
    <cellStyle name="_LA Consolidation P12 2_Sheet3" xfId="6906"/>
    <cellStyle name="_LA Consolidation P12 3" xfId="6907"/>
    <cellStyle name="_LA Consolidation P12_Opps&amp;Risks" xfId="6908"/>
    <cellStyle name="_LA Consolidation P12_Opps&amp;Risks 2" xfId="6909"/>
    <cellStyle name="_LA Consolidation P12_P&amp;L KFE" xfId="6910"/>
    <cellStyle name="_LA Consolidation P12_Sheet3" xfId="6911"/>
    <cellStyle name="_LE - Q1 - 0107 - template" xfId="6912"/>
    <cellStyle name="_LE - Q1 - 0107 - template 2" xfId="6913"/>
    <cellStyle name="_LE - Q1 - 0107 - template_2007 Finance LE Reporting Panyu-0712" xfId="6914"/>
    <cellStyle name="_LE - Q1 - 0107 - template_2007 Finance LE Reporting Panyu-0712 2" xfId="6915"/>
    <cellStyle name="_LE - Q1 - 0107 - template_2007 Finance LE Reporting Panyu-0712_Category Template AC'11 @Cst Fx 52W vs 53W" xfId="6916"/>
    <cellStyle name="_LE - Q1 - 0107 - template_2007 Finance LE Reporting Panyu-0712_Category Template AC'11 @Cst Fx 52W vs 53W 2" xfId="6917"/>
    <cellStyle name="_LE - Q1 - 0107 - template_2007 Finance LE Reporting Panyu-0712_Category Template AC'11 @Cst Fx 52W vs 53W_P&amp;L KFE" xfId="6918"/>
    <cellStyle name="_LE - Q1 - 0107 - template_2007 Finance LE Reporting Panyu-0712_Category Template AC'11 @Cst Fx 52W vs 53W_Sheet3" xfId="6919"/>
    <cellStyle name="_LE - Q1 - 0107 - template_2007 Finance LE Reporting Panyu-0712_P&amp;L KFE" xfId="6920"/>
    <cellStyle name="_LE - Q1 - 0107 - template_2007 Finance LE Reporting Panyu-0712_Sheet3" xfId="6921"/>
    <cellStyle name="_LE - Q1 - 0107 - template_Category Template AC'11 @Cst Fx 52W vs 53W" xfId="6922"/>
    <cellStyle name="_LE - Q1 - 0107 - template_Category Template AC'11 @Cst Fx 52W vs 53W 2" xfId="6923"/>
    <cellStyle name="_LE - Q1 - 0107 - template_Category Template AC'11 @Cst Fx 52W vs 53W_P&amp;L KFE" xfId="6924"/>
    <cellStyle name="_LE - Q1 - 0107 - template_Category Template AC'11 @Cst Fx 52W vs 53W_Sheet3" xfId="6925"/>
    <cellStyle name="_LE - Q1 - 0107 - template_Estimate Updated APAC 2008-py01" xfId="6926"/>
    <cellStyle name="_LE - Q1 - 0107 - template_Estimate Updated APAC 2008-py01 2" xfId="6927"/>
    <cellStyle name="_LE - Q1 - 0107 - template_Estimate Updated APAC 2008-py01_Category Template AC'11 @Cst Fx 52W vs 53W" xfId="6928"/>
    <cellStyle name="_LE - Q1 - 0107 - template_Estimate Updated APAC 2008-py01_Category Template AC'11 @Cst Fx 52W vs 53W 2" xfId="6929"/>
    <cellStyle name="_LE - Q1 - 0107 - template_Estimate Updated APAC 2008-py01_Category Template AC'11 @Cst Fx 52W vs 53W_P&amp;L KFE" xfId="6930"/>
    <cellStyle name="_LE - Q1 - 0107 - template_Estimate Updated APAC 2008-py01_Category Template AC'11 @Cst Fx 52W vs 53W_Sheet3" xfId="6931"/>
    <cellStyle name="_LE - Q1 - 0107 - template_Estimate Updated APAC 2008-py01_P&amp;L KFE" xfId="6932"/>
    <cellStyle name="_LE - Q1 - 0107 - template_Estimate Updated APAC 2008-py01_Sheet3" xfId="6933"/>
    <cellStyle name="_LE - Q1 - 0107 - template_LE template 200801" xfId="6934"/>
    <cellStyle name="_LE - Q1 - 0107 - template_LE template 200801 2" xfId="6935"/>
    <cellStyle name="_LE - Q1 - 0107 - template_LE template 200801_Category Template AC'11 @Cst Fx 52W vs 53W" xfId="6936"/>
    <cellStyle name="_LE - Q1 - 0107 - template_LE template 200801_Category Template AC'11 @Cst Fx 52W vs 53W 2" xfId="6937"/>
    <cellStyle name="_LE - Q1 - 0107 - template_LE template 200801_Category Template AC'11 @Cst Fx 52W vs 53W_P&amp;L KFE" xfId="6938"/>
    <cellStyle name="_LE - Q1 - 0107 - template_LE template 200801_Category Template AC'11 @Cst Fx 52W vs 53W_Sheet3" xfId="6939"/>
    <cellStyle name="_LE - Q1 - 0107 - template_LE template 200801_P&amp;L KFE" xfId="6940"/>
    <cellStyle name="_LE - Q1 - 0107 - template_LE template 200801_Sheet3" xfId="6941"/>
    <cellStyle name="_LE - Q1 - 0107 - template_OB 2008 w JAA-PY" xfId="6942"/>
    <cellStyle name="_LE - Q1 - 0107 - template_OB 2008 w JAA-PY 2" xfId="6943"/>
    <cellStyle name="_LE - Q1 - 0107 - template_OB 2008 w JAA-PY_Category Template AC'11 @Cst Fx 52W vs 53W" xfId="6944"/>
    <cellStyle name="_LE - Q1 - 0107 - template_OB 2008 w JAA-PY_Category Template AC'11 @Cst Fx 52W vs 53W 2" xfId="6945"/>
    <cellStyle name="_LE - Q1 - 0107 - template_OB 2008 w JAA-PY_Category Template AC'11 @Cst Fx 52W vs 53W_P&amp;L KFE" xfId="6946"/>
    <cellStyle name="_LE - Q1 - 0107 - template_OB 2008 w JAA-PY_Category Template AC'11 @Cst Fx 52W vs 53W_Sheet3" xfId="6947"/>
    <cellStyle name="_LE - Q1 - 0107 - template_OB 2008 w JAA-PY_P&amp;L KFE" xfId="6948"/>
    <cellStyle name="_LE - Q1 - 0107 - template_OB 2008 w JAA-PY_Sheet3" xfId="6949"/>
    <cellStyle name="_LE - Q1 - 0107 - template_P&amp;L KFE" xfId="6950"/>
    <cellStyle name="_LE - Q1 - 0107 - template_powerpoint content" xfId="6951"/>
    <cellStyle name="_LE - Q1 - 0107 - template_powerpoint content 2" xfId="6952"/>
    <cellStyle name="_LE - Q1 - 0107 - template_powerpoint content_Category Template AC'11 @Cst Fx 52W vs 53W" xfId="6953"/>
    <cellStyle name="_LE - Q1 - 0107 - template_powerpoint content_Category Template AC'11 @Cst Fx 52W vs 53W 2" xfId="6954"/>
    <cellStyle name="_LE - Q1 - 0107 - template_powerpoint content_Category Template AC'11 @Cst Fx 52W vs 53W_P&amp;L KFE" xfId="6955"/>
    <cellStyle name="_LE - Q1 - 0107 - template_powerpoint content_Category Template AC'11 @Cst Fx 52W vs 53W_Sheet3" xfId="6956"/>
    <cellStyle name="_LE - Q1 - 0107 - template_powerpoint content_P&amp;L KFE" xfId="6957"/>
    <cellStyle name="_LE - Q1 - 0107 - template_powerpoint content_Sheet3" xfId="6958"/>
    <cellStyle name="_LE - Q1 - 0107 - template_Sheet3" xfId="6959"/>
    <cellStyle name="_LE 08 vs OB" xfId="6960"/>
    <cellStyle name="_LE 08 vs OB 2" xfId="6961"/>
    <cellStyle name="_LE 08 vs OB_Category Template AC'11 @Cst Fx 52W vs 53W" xfId="6962"/>
    <cellStyle name="_LE 08 vs OB_Category Template AC'11 @Cst Fx 52W vs 53W 2" xfId="6963"/>
    <cellStyle name="_LE 08 vs OB_Category Template AC'11 @Cst Fx 52W vs 53W_P&amp;L KFE" xfId="6964"/>
    <cellStyle name="_LE 08 vs OB_Category Template AC'11 @Cst Fx 52W vs 53W_Sheet3" xfId="6965"/>
    <cellStyle name="_LE 08 vs OB_P&amp;L KFE" xfId="6966"/>
    <cellStyle name="_LE 08 vs OB_Sheet3" xfId="6967"/>
    <cellStyle name="_LE 2008 GSEA Deck" xfId="6968"/>
    <cellStyle name="_LE 2008 GSEA Deck-OPF" xfId="6969"/>
    <cellStyle name="_LE template 200801" xfId="6970"/>
    <cellStyle name="_LE template 200801 2" xfId="6971"/>
    <cellStyle name="_LE template 200801_Category Template AC'11 @Cst Fx 52W vs 53W" xfId="6972"/>
    <cellStyle name="_LE template 200801_Category Template AC'11 @Cst Fx 52W vs 53W 2" xfId="6973"/>
    <cellStyle name="_LE template 200801_Category Template AC'11 @Cst Fx 52W vs 53W_P&amp;L KFE" xfId="6974"/>
    <cellStyle name="_LE template 200801_Category Template AC'11 @Cst Fx 52W vs 53W_Sheet3" xfId="6975"/>
    <cellStyle name="_LE template 200801_P&amp;L KFE" xfId="6976"/>
    <cellStyle name="_LE template 200801_Sheet3" xfId="6977"/>
    <cellStyle name="_Lean Manufacturing savings II" xfId="6978"/>
    <cellStyle name="_LM_2ndWave_Ex'95" xfId="6979"/>
    <cellStyle name="_LM_2ndWave_Ex'95_AR_TUC new line_Szekes v10" xfId="6980"/>
    <cellStyle name="_Local Gartner Benchmarks ContCV1" xfId="6981"/>
    <cellStyle name="_MAC Cost Centre Report Aug 08 (2)" xfId="6982"/>
    <cellStyle name="_MAC Cost Centre Report Aug 08 (4)" xfId="6983"/>
    <cellStyle name="_Mala Mala 2 Financials" xfId="6984"/>
    <cellStyle name="_Management meeting 11 Mar" xfId="6985"/>
    <cellStyle name="_Management meeting 11 Mar 2" xfId="6986"/>
    <cellStyle name="_Management meeting 11 Mar_Category Template AC'11 @Cst Fx 52W vs 53W" xfId="6987"/>
    <cellStyle name="_Management meeting 11 Mar_Category Template AC'11 @Cst Fx 52W vs 53W 2" xfId="6988"/>
    <cellStyle name="_Management meeting 11 Mar_Category Template AC'11 @Cst Fx 52W vs 53W_P&amp;L KFE" xfId="6989"/>
    <cellStyle name="_Management meeting 11 Mar_Category Template AC'11 @Cst Fx 52W vs 53W_Sheet3" xfId="6990"/>
    <cellStyle name="_Management meeting 11 Mar_P&amp;L KFE" xfId="6991"/>
    <cellStyle name="_Management meeting 11 Mar_Sheet3" xfId="6992"/>
    <cellStyle name="_Mappe4" xfId="6993"/>
    <cellStyle name="_Mar 22 PL" xfId="6994"/>
    <cellStyle name="_Mar 22 PL 2" xfId="6995"/>
    <cellStyle name="_Mar 22 PL v2" xfId="6996"/>
    <cellStyle name="_Mar 22 PL v2 2" xfId="6997"/>
    <cellStyle name="_Mar 22 PL v2_Category Template AC'11 @Cst Fx 52W vs 53W" xfId="6998"/>
    <cellStyle name="_Mar 22 PL v2_Category Template AC'11 @Cst Fx 52W vs 53W 2" xfId="6999"/>
    <cellStyle name="_Mar 22 PL v2_Category Template AC'11 @Cst Fx 52W vs 53W_P&amp;L KFE" xfId="7000"/>
    <cellStyle name="_Mar 22 PL v2_Category Template AC'11 @Cst Fx 52W vs 53W_Sheet3" xfId="7001"/>
    <cellStyle name="_Mar 22 PL v2_P&amp;L KFE" xfId="7002"/>
    <cellStyle name="_Mar 22 PL v2_Sheet3" xfId="7003"/>
    <cellStyle name="_Mar 22 PL v4 Mar 28 05 Rich Mable" xfId="7004"/>
    <cellStyle name="_Mar 22 PL v4 Mar 28 05 Rich Mable 2" xfId="7005"/>
    <cellStyle name="_Mar 22 PL v4 Mar 28 05 Rich Mable_Category Template AC'11 @Cst Fx 52W vs 53W" xfId="7006"/>
    <cellStyle name="_Mar 22 PL v4 Mar 28 05 Rich Mable_Category Template AC'11 @Cst Fx 52W vs 53W 2" xfId="7007"/>
    <cellStyle name="_Mar 22 PL v4 Mar 28 05 Rich Mable_Category Template AC'11 @Cst Fx 52W vs 53W_P&amp;L KFE" xfId="7008"/>
    <cellStyle name="_Mar 22 PL v4 Mar 28 05 Rich Mable_Category Template AC'11 @Cst Fx 52W vs 53W_Sheet3" xfId="7009"/>
    <cellStyle name="_Mar 22 PL v4 Mar 28 05 Rich Mable_P&amp;L KFE" xfId="7010"/>
    <cellStyle name="_Mar 22 PL v4 Mar 28 05 Rich Mable_Sheet3" xfId="7011"/>
    <cellStyle name="_Mar 22 PL_Category Template AC'11 @Cst Fx 52W vs 53W" xfId="7012"/>
    <cellStyle name="_Mar 22 PL_Category Template AC'11 @Cst Fx 52W vs 53W 2" xfId="7013"/>
    <cellStyle name="_Mar 22 PL_Category Template AC'11 @Cst Fx 52W vs 53W_P&amp;L KFE" xfId="7014"/>
    <cellStyle name="_Mar 22 PL_Category Template AC'11 @Cst Fx 52W vs 53W_Sheet3" xfId="7015"/>
    <cellStyle name="_Mar 22 PL_P&amp;L KFE" xfId="7016"/>
    <cellStyle name="_Mar 22 PL_Sheet3" xfId="7017"/>
    <cellStyle name="_March 2008" xfId="7018"/>
    <cellStyle name="_March MU3 Target Setting_Feb 19" xfId="7019"/>
    <cellStyle name="_March MU3 Target Setting_Feb 19 2" xfId="7020"/>
    <cellStyle name="_March MU3 Target Setting_Feb 19 2_P&amp;L KFE" xfId="7021"/>
    <cellStyle name="_March MU3 Target Setting_Feb 19 2_Sheet3" xfId="7022"/>
    <cellStyle name="_March MU3 Target Setting_Feb 19 3" xfId="7023"/>
    <cellStyle name="_March MU3 Target Setting_Feb 19_2011 Targets by category Aug 25" xfId="7024"/>
    <cellStyle name="_March MU3 Target Setting_Feb 19_AC11 conso @Cst Fx" xfId="7025"/>
    <cellStyle name="_March MU3 Target Setting_Feb 19_AC11 conso @Cst Fx 2" xfId="7026"/>
    <cellStyle name="_March MU3 Target Setting_Feb 19_AC11 conso @Cst Fx after LFL restatement" xfId="7027"/>
    <cellStyle name="_March MU3 Target Setting_Feb 19_AC11 conso @Cst Fx after LFL restatement 2" xfId="7028"/>
    <cellStyle name="_March MU3 Target Setting_Feb 19_AC11 conso @Cst Fx after LFL restatement_P&amp;L KFE" xfId="7029"/>
    <cellStyle name="_March MU3 Target Setting_Feb 19_AC11 conso @Cst Fx after LFL restatement_Sheet3" xfId="7030"/>
    <cellStyle name="_March MU3 Target Setting_Feb 19_AC11 conso @Cst Fx_P&amp;L KFE" xfId="7031"/>
    <cellStyle name="_March MU3 Target Setting_Feb 19_AC11 conso @Cst Fx_Sheet3" xfId="7032"/>
    <cellStyle name="_March MU3 Target Setting_Feb 19_Category PnL" xfId="7033"/>
    <cellStyle name="_March MU3 Target Setting_Feb 19_Category PnL 2" xfId="7034"/>
    <cellStyle name="_March MU3 Target Setting_Feb 19_Category PnL_P&amp;L KFE" xfId="7035"/>
    <cellStyle name="_March MU3 Target Setting_Feb 19_Category PnL_Sheet3" xfId="7036"/>
    <cellStyle name="_March MU3 Target Setting_Feb 19_Category Targets 2011_1.2" xfId="7037"/>
    <cellStyle name="_March MU3 Target Setting_Feb 19_Category Template_Actuals" xfId="7038"/>
    <cellStyle name="_March MU3 Target Setting_Feb 19_Category Template_Actuals 2" xfId="7039"/>
    <cellStyle name="_March MU3 Target Setting_Feb 19_Category Template_Actuals NEW" xfId="7040"/>
    <cellStyle name="_March MU3 Target Setting_Feb 19_Category Template_Actuals NEW 2" xfId="7041"/>
    <cellStyle name="_March MU3 Target Setting_Feb 19_Category Template_Actuals NEW_Biscuits Actual Results P01" xfId="7042"/>
    <cellStyle name="_March MU3 Target Setting_Feb 19_Category Template_Actuals NEW_Biscuits Actual Results P01 2" xfId="7043"/>
    <cellStyle name="_March MU3 Target Setting_Feb 19_Category Template_Actuals NEW_Biscuits Actual Results P01_Category Template_Actuals" xfId="7044"/>
    <cellStyle name="_March MU3 Target Setting_Feb 19_Category Template_Actuals NEW_Biscuits Actual Results P01_Category Template_Actuals 2" xfId="7045"/>
    <cellStyle name="_March MU3 Target Setting_Feb 19_Category Template_Actuals NEW_Biscuits Actual Results P01_Category Template_Actuals_Biscuits Actual Results P02" xfId="7046"/>
    <cellStyle name="_March MU3 Target Setting_Feb 19_Category Template_Actuals NEW_Biscuits Actual Results P01_Category Template_Actuals_Biscuits Actual Results P02 2" xfId="7047"/>
    <cellStyle name="_March MU3 Target Setting_Feb 19_Category Template_Actuals NEW_Biscuits Actual Results P01_Category Template_Actuals_Biscuits Actual Results P02_Category Template_Actuals" xfId="7048"/>
    <cellStyle name="_March MU3 Target Setting_Feb 19_Category Template_Actuals NEW_Biscuits Actual Results P01_Category Template_Actuals_Biscuits Actual Results P02_Category Template_Actuals_Biscuits Actual Results P04" xfId="7049"/>
    <cellStyle name="_March MU3 Target Setting_Feb 19_Category Template_Actuals NEW_Biscuits Actual Results P01_Category Template_Actuals_Biscuits Actual Results P02_Category Template_Actuals_P&amp;L P06 AFH AC US" xfId="7050"/>
    <cellStyle name="_March MU3 Target Setting_Feb 19_Category Template_Actuals NEW_Biscuits Actual Results P01_Category Template_Actuals_Biscuits Actual Results P02_P&amp;L" xfId="7051"/>
    <cellStyle name="_March MU3 Target Setting_Feb 19_Category Template_Actuals NEW_Biscuits Actual Results P01_Category Template_Actuals_Biscuits Actual Results P02_P&amp;L_P&amp;L KFE" xfId="7052"/>
    <cellStyle name="_March MU3 Target Setting_Feb 19_Category Template_Actuals NEW_Biscuits Actual Results P01_Category Template_Actuals_Biscuits Actual Results P02_P&amp;L_Sheet3" xfId="7053"/>
    <cellStyle name="_March MU3 Target Setting_Feb 19_Category Template_Actuals NEW_Biscuits Actual Results P01_Category Template_Actuals_Biscuits Actual Results P02_VRAN YTD" xfId="7054"/>
    <cellStyle name="_March MU3 Target Setting_Feb 19_Category Template_Actuals NEW_Biscuits Actual Results P01_Category Template_Actuals_Biscuits Actual Results P04" xfId="7055"/>
    <cellStyle name="_March MU3 Target Setting_Feb 19_Category Template_Actuals NEW_Biscuits Actual Results P01_Category Template_Actuals_P&amp;L" xfId="7056"/>
    <cellStyle name="_March MU3 Target Setting_Feb 19_Category Template_Actuals NEW_Biscuits Actual Results P01_Category Template_Actuals_P&amp;L P06 AFH AC US" xfId="7057"/>
    <cellStyle name="_March MU3 Target Setting_Feb 19_Category Template_Actuals NEW_Biscuits Actual Results P01_Category Template_Actuals_P&amp;L_P&amp;L KFE" xfId="7058"/>
    <cellStyle name="_March MU3 Target Setting_Feb 19_Category Template_Actuals NEW_Biscuits Actual Results P01_Category Template_Actuals_P&amp;L_Sheet3" xfId="7059"/>
    <cellStyle name="_March MU3 Target Setting_Feb 19_Category Template_Actuals NEW_Biscuits Actual Results P01_P&amp;L" xfId="7060"/>
    <cellStyle name="_March MU3 Target Setting_Feb 19_Category Template_Actuals NEW_Biscuits Actual Results P01_P&amp;L_P&amp;L KFE" xfId="7061"/>
    <cellStyle name="_March MU3 Target Setting_Feb 19_Category Template_Actuals NEW_Biscuits Actual Results P01_P&amp;L_Sheet3" xfId="7062"/>
    <cellStyle name="_March MU3 Target Setting_Feb 19_Category Template_Actuals NEW_Biscuits Actual Results P01_VRAN YTD" xfId="7063"/>
    <cellStyle name="_March MU3 Target Setting_Feb 19_Category Template_Actuals NEW_Biscuits Actual Results P02" xfId="7064"/>
    <cellStyle name="_March MU3 Target Setting_Feb 19_Category Template_Actuals NEW_Biscuits Actual Results P02 2" xfId="7065"/>
    <cellStyle name="_March MU3 Target Setting_Feb 19_Category Template_Actuals NEW_Biscuits Actual Results P02_Category Template_Actuals" xfId="7066"/>
    <cellStyle name="_March MU3 Target Setting_Feb 19_Category Template_Actuals NEW_Biscuits Actual Results P02_Category Template_Actuals_Biscuits Actual Results P04" xfId="7067"/>
    <cellStyle name="_March MU3 Target Setting_Feb 19_Category Template_Actuals NEW_Biscuits Actual Results P02_Category Template_Actuals_P&amp;L P06 AFH AC US" xfId="7068"/>
    <cellStyle name="_March MU3 Target Setting_Feb 19_Category Template_Actuals NEW_Biscuits Actual Results P02_P&amp;L" xfId="7069"/>
    <cellStyle name="_March MU3 Target Setting_Feb 19_Category Template_Actuals NEW_Biscuits Actual Results P02_P&amp;L_P&amp;L KFE" xfId="7070"/>
    <cellStyle name="_March MU3 Target Setting_Feb 19_Category Template_Actuals NEW_Biscuits Actual Results P02_P&amp;L_Sheet3" xfId="7071"/>
    <cellStyle name="_March MU3 Target Setting_Feb 19_Category Template_Actuals NEW_Biscuits Actual Results P02_VRAN YTD" xfId="7072"/>
    <cellStyle name="_March MU3 Target Setting_Feb 19_Category Template_Actuals NEW_Biscuits Actual Results P04" xfId="7073"/>
    <cellStyle name="_March MU3 Target Setting_Feb 19_Category Template_Actuals NEW_Biscuits Actual Results P1 BIS" xfId="7074"/>
    <cellStyle name="_March MU3 Target Setting_Feb 19_Category Template_Actuals NEW_Biscuits Actual Results P1 BIS 2" xfId="7075"/>
    <cellStyle name="_March MU3 Target Setting_Feb 19_Category Template_Actuals NEW_Biscuits Actual Results P1 BIS_Category Template_Actuals" xfId="7076"/>
    <cellStyle name="_March MU3 Target Setting_Feb 19_Category Template_Actuals NEW_Biscuits Actual Results P1 BIS_Category Template_Actuals_Biscuits Actual Results P04" xfId="7077"/>
    <cellStyle name="_March MU3 Target Setting_Feb 19_Category Template_Actuals NEW_Biscuits Actual Results P1 BIS_Category Template_Actuals_P&amp;L P06 AFH AC US" xfId="7078"/>
    <cellStyle name="_March MU3 Target Setting_Feb 19_Category Template_Actuals NEW_Biscuits Actual Results P1 BIS_P&amp;L" xfId="7079"/>
    <cellStyle name="_March MU3 Target Setting_Feb 19_Category Template_Actuals NEW_Biscuits Actual Results P1 BIS_P&amp;L_P&amp;L KFE" xfId="7080"/>
    <cellStyle name="_March MU3 Target Setting_Feb 19_Category Template_Actuals NEW_Biscuits Actual Results P1 BIS_P&amp;L_Sheet3" xfId="7081"/>
    <cellStyle name="_March MU3 Target Setting_Feb 19_Category Template_Actuals NEW_Biscuits Actual Results P1 BIS_VRAN YTD" xfId="7082"/>
    <cellStyle name="_March MU3 Target Setting_Feb 19_Category Template_Actuals NEW_Biscuits Actual Results P12 161210" xfId="7083"/>
    <cellStyle name="_March MU3 Target Setting_Feb 19_Category Template_Actuals NEW_Biscuits Actual Results P12 161210 2" xfId="7084"/>
    <cellStyle name="_March MU3 Target Setting_Feb 19_Category Template_Actuals NEW_Biscuits Actual Results P12 161210_Category Template_Actuals" xfId="7085"/>
    <cellStyle name="_March MU3 Target Setting_Feb 19_Category Template_Actuals NEW_Biscuits Actual Results P12 161210_Category Template_Actuals 2" xfId="7086"/>
    <cellStyle name="_March MU3 Target Setting_Feb 19_Category Template_Actuals NEW_Biscuits Actual Results P12 161210_Category Template_Actuals_Biscuits Actual Results P02" xfId="7087"/>
    <cellStyle name="_March MU3 Target Setting_Feb 19_Category Template_Actuals NEW_Biscuits Actual Results P12 161210_Category Template_Actuals_Biscuits Actual Results P02 2" xfId="7088"/>
    <cellStyle name="_March MU3 Target Setting_Feb 19_Category Template_Actuals NEW_Biscuits Actual Results P12 161210_Category Template_Actuals_Biscuits Actual Results P02_Category Template_Actuals" xfId="7089"/>
    <cellStyle name="_March MU3 Target Setting_Feb 19_Category Template_Actuals NEW_Biscuits Actual Results P12 161210_Category Template_Actuals_Biscuits Actual Results P02_Category Template_Actuals_Biscuits Actual Results P04" xfId="7090"/>
    <cellStyle name="_March MU3 Target Setting_Feb 19_Category Template_Actuals NEW_Biscuits Actual Results P12 161210_Category Template_Actuals_Biscuits Actual Results P02_Category Template_Actuals_P&amp;L P06 AFH AC US" xfId="7091"/>
    <cellStyle name="_March MU3 Target Setting_Feb 19_Category Template_Actuals NEW_Biscuits Actual Results P12 161210_Category Template_Actuals_Biscuits Actual Results P02_P&amp;L" xfId="7092"/>
    <cellStyle name="_March MU3 Target Setting_Feb 19_Category Template_Actuals NEW_Biscuits Actual Results P12 161210_Category Template_Actuals_Biscuits Actual Results P02_P&amp;L_P&amp;L KFE" xfId="7093"/>
    <cellStyle name="_March MU3 Target Setting_Feb 19_Category Template_Actuals NEW_Biscuits Actual Results P12 161210_Category Template_Actuals_Biscuits Actual Results P02_P&amp;L_Sheet3" xfId="7094"/>
    <cellStyle name="_March MU3 Target Setting_Feb 19_Category Template_Actuals NEW_Biscuits Actual Results P12 161210_Category Template_Actuals_Biscuits Actual Results P02_VRAN YTD" xfId="7095"/>
    <cellStyle name="_March MU3 Target Setting_Feb 19_Category Template_Actuals NEW_Biscuits Actual Results P12 161210_Category Template_Actuals_Biscuits Actual Results P04" xfId="7096"/>
    <cellStyle name="_March MU3 Target Setting_Feb 19_Category Template_Actuals NEW_Biscuits Actual Results P12 161210_Category Template_Actuals_P&amp;L" xfId="7097"/>
    <cellStyle name="_March MU3 Target Setting_Feb 19_Category Template_Actuals NEW_Biscuits Actual Results P12 161210_Category Template_Actuals_P&amp;L P06 AFH AC US" xfId="7098"/>
    <cellStyle name="_March MU3 Target Setting_Feb 19_Category Template_Actuals NEW_Biscuits Actual Results P12 161210_Category Template_Actuals_P&amp;L_P&amp;L KFE" xfId="7099"/>
    <cellStyle name="_March MU3 Target Setting_Feb 19_Category Template_Actuals NEW_Biscuits Actual Results P12 161210_Category Template_Actuals_P&amp;L_Sheet3" xfId="7100"/>
    <cellStyle name="_March MU3 Target Setting_Feb 19_Category Template_Actuals NEW_Biscuits Actual Results P12 161210_P&amp;L" xfId="7101"/>
    <cellStyle name="_March MU3 Target Setting_Feb 19_Category Template_Actuals NEW_Biscuits Actual Results P12 161210_P&amp;L_P&amp;L KFE" xfId="7102"/>
    <cellStyle name="_March MU3 Target Setting_Feb 19_Category Template_Actuals NEW_Biscuits Actual Results P12 161210_P&amp;L_Sheet3" xfId="7103"/>
    <cellStyle name="_March MU3 Target Setting_Feb 19_Category Template_Actuals NEW_Biscuits Actual Results P12 161210_VRAN YTD" xfId="7104"/>
    <cellStyle name="_March MU3 Target Setting_Feb 19_Category Template_Actuals NEW_P&amp;L" xfId="7105"/>
    <cellStyle name="_March MU3 Target Setting_Feb 19_Category Template_Actuals NEW_P&amp;L P06 AFH AC US" xfId="7106"/>
    <cellStyle name="_March MU3 Target Setting_Feb 19_Category Template_Actuals NEW_P&amp;L_P&amp;L KFE" xfId="7107"/>
    <cellStyle name="_March MU3 Target Setting_Feb 19_Category Template_Actuals NEW_P&amp;L_Sheet3" xfId="7108"/>
    <cellStyle name="_March MU3 Target Setting_Feb 19_Category Template_Actuals_Biscuits Actual Results P02" xfId="7109"/>
    <cellStyle name="_March MU3 Target Setting_Feb 19_Category Template_Actuals_Biscuits Actual Results P02 2" xfId="7110"/>
    <cellStyle name="_March MU3 Target Setting_Feb 19_Category Template_Actuals_Biscuits Actual Results P02_Category Template_Actuals" xfId="7111"/>
    <cellStyle name="_March MU3 Target Setting_Feb 19_Category Template_Actuals_Biscuits Actual Results P02_Category Template_Actuals_Biscuits Actual Results P04" xfId="7112"/>
    <cellStyle name="_March MU3 Target Setting_Feb 19_Category Template_Actuals_Biscuits Actual Results P02_Category Template_Actuals_P&amp;L P06 AFH AC US" xfId="7113"/>
    <cellStyle name="_March MU3 Target Setting_Feb 19_Category Template_Actuals_Biscuits Actual Results P02_P&amp;L" xfId="7114"/>
    <cellStyle name="_March MU3 Target Setting_Feb 19_Category Template_Actuals_Biscuits Actual Results P02_P&amp;L_P&amp;L KFE" xfId="7115"/>
    <cellStyle name="_March MU3 Target Setting_Feb 19_Category Template_Actuals_Biscuits Actual Results P02_P&amp;L_Sheet3" xfId="7116"/>
    <cellStyle name="_March MU3 Target Setting_Feb 19_Category Template_Actuals_Biscuits Actual Results P02_VRAN YTD" xfId="7117"/>
    <cellStyle name="_March MU3 Target Setting_Feb 19_Category Template_Actuals_Biscuits Actual Results P04" xfId="7118"/>
    <cellStyle name="_March MU3 Target Setting_Feb 19_Category Template_Actuals_P&amp;L" xfId="7119"/>
    <cellStyle name="_March MU3 Target Setting_Feb 19_Category Template_Actuals_P&amp;L P06 AFH AC US" xfId="7120"/>
    <cellStyle name="_March MU3 Target Setting_Feb 19_Category Template_Actuals_P&amp;L_P&amp;L KFE" xfId="7121"/>
    <cellStyle name="_March MU3 Target Setting_Feb 19_Category Template_Actuals_P&amp;L_Sheet3" xfId="7122"/>
    <cellStyle name="_March MU3 Target Setting_Feb 19_KFE Category PnL template_Combined_P03 (2)" xfId="7123"/>
    <cellStyle name="_March MU3 Target Setting_Feb 19_KFE Category PnL template_Combined_P03 (2)_P&amp;L KFE" xfId="7124"/>
    <cellStyle name="_March MU3 Target Setting_Feb 19_KFE Category PnL template_Combined_P03 (2)_Sheet3" xfId="7125"/>
    <cellStyle name="_March MU3 Target Setting_Feb 19_KFE Category PnL template_Kraft Legacy (2)" xfId="7126"/>
    <cellStyle name="_March MU3 Target Setting_Feb 19_KFE Category PnL template_Kraft Legacy (2)_P&amp;L KFE" xfId="7127"/>
    <cellStyle name="_March MU3 Target Setting_Feb 19_KFE Category PnL template_Kraft Legacy (2)_Sheet3" xfId="7128"/>
    <cellStyle name="_March MU3 Target Setting_Feb 19_KFE Category PnL template_Kraft Legacy (4)" xfId="7129"/>
    <cellStyle name="_March MU3 Target Setting_Feb 19_KFE Category PnL template_Kraft Legacy (4)_P&amp;L KFE" xfId="7130"/>
    <cellStyle name="_March MU3 Target Setting_Feb 19_KFE Category PnL template_Kraft Legacy (4)_Sheet3" xfId="7131"/>
    <cellStyle name="_March MU3 Target Setting_Feb 19_OI Bridge 0" xfId="7132"/>
    <cellStyle name="_March MU3 Target Setting_Feb 19_OI Bridge 0_1" xfId="7133"/>
    <cellStyle name="_March MU3 Target Setting_Feb 19_OI Bridge 1" xfId="7134"/>
    <cellStyle name="_March MU3 Target Setting_Feb 19_P&amp;L" xfId="7135"/>
    <cellStyle name="_March MU3 Target Setting_Feb 19_P&amp;L_P&amp;L KFE" xfId="7136"/>
    <cellStyle name="_March MU3 Target Setting_Feb 19_P&amp;L_Sheet3" xfId="7137"/>
    <cellStyle name="_March MU3 Target Setting_Feb 19_Sheet1" xfId="7138"/>
    <cellStyle name="_March MU3 Target Setting_Feb 19_VRAN YTD" xfId="7139"/>
    <cellStyle name="_March MU3 Target Setting_Feb 19_VRAN YTD 2" xfId="7140"/>
    <cellStyle name="_March MU3 Target Setting_Feb 19_VRAN YTD_Biscuits Actual Results P01" xfId="7141"/>
    <cellStyle name="_March MU3 Target Setting_Feb 19_VRAN YTD_Biscuits Actual Results P01 2" xfId="7142"/>
    <cellStyle name="_March MU3 Target Setting_Feb 19_VRAN YTD_Biscuits Actual Results P01_Category Template_Actuals" xfId="7143"/>
    <cellStyle name="_March MU3 Target Setting_Feb 19_VRAN YTD_Biscuits Actual Results P01_Category Template_Actuals 2" xfId="7144"/>
    <cellStyle name="_March MU3 Target Setting_Feb 19_VRAN YTD_Biscuits Actual Results P01_Category Template_Actuals_Biscuits Actual Results P02" xfId="7145"/>
    <cellStyle name="_March MU3 Target Setting_Feb 19_VRAN YTD_Biscuits Actual Results P01_Category Template_Actuals_Biscuits Actual Results P02 2" xfId="7146"/>
    <cellStyle name="_March MU3 Target Setting_Feb 19_VRAN YTD_Biscuits Actual Results P01_Category Template_Actuals_Biscuits Actual Results P02_Category Template_Actuals" xfId="7147"/>
    <cellStyle name="_March MU3 Target Setting_Feb 19_VRAN YTD_Biscuits Actual Results P01_Category Template_Actuals_Biscuits Actual Results P02_Category Template_Actuals_Biscuits Actual Results P04" xfId="7148"/>
    <cellStyle name="_March MU3 Target Setting_Feb 19_VRAN YTD_Biscuits Actual Results P01_Category Template_Actuals_Biscuits Actual Results P02_Category Template_Actuals_P&amp;L P06 AFH AC US" xfId="7149"/>
    <cellStyle name="_March MU3 Target Setting_Feb 19_VRAN YTD_Biscuits Actual Results P01_Category Template_Actuals_Biscuits Actual Results P02_P&amp;L" xfId="7150"/>
    <cellStyle name="_March MU3 Target Setting_Feb 19_VRAN YTD_Biscuits Actual Results P01_Category Template_Actuals_Biscuits Actual Results P02_P&amp;L_P&amp;L KFE" xfId="7151"/>
    <cellStyle name="_March MU3 Target Setting_Feb 19_VRAN YTD_Biscuits Actual Results P01_Category Template_Actuals_Biscuits Actual Results P02_P&amp;L_Sheet3" xfId="7152"/>
    <cellStyle name="_March MU3 Target Setting_Feb 19_VRAN YTD_Biscuits Actual Results P01_Category Template_Actuals_Biscuits Actual Results P02_VRAN YTD" xfId="7153"/>
    <cellStyle name="_March MU3 Target Setting_Feb 19_VRAN YTD_Biscuits Actual Results P01_Category Template_Actuals_Biscuits Actual Results P04" xfId="7154"/>
    <cellStyle name="_March MU3 Target Setting_Feb 19_VRAN YTD_Biscuits Actual Results P01_Category Template_Actuals_P&amp;L" xfId="7155"/>
    <cellStyle name="_March MU3 Target Setting_Feb 19_VRAN YTD_Biscuits Actual Results P01_Category Template_Actuals_P&amp;L P06 AFH AC US" xfId="7156"/>
    <cellStyle name="_March MU3 Target Setting_Feb 19_VRAN YTD_Biscuits Actual Results P01_Category Template_Actuals_P&amp;L_P&amp;L KFE" xfId="7157"/>
    <cellStyle name="_March MU3 Target Setting_Feb 19_VRAN YTD_Biscuits Actual Results P01_Category Template_Actuals_P&amp;L_Sheet3" xfId="7158"/>
    <cellStyle name="_March MU3 Target Setting_Feb 19_VRAN YTD_Biscuits Actual Results P01_P&amp;L" xfId="7159"/>
    <cellStyle name="_March MU3 Target Setting_Feb 19_VRAN YTD_Biscuits Actual Results P01_P&amp;L_P&amp;L KFE" xfId="7160"/>
    <cellStyle name="_March MU3 Target Setting_Feb 19_VRAN YTD_Biscuits Actual Results P01_P&amp;L_Sheet3" xfId="7161"/>
    <cellStyle name="_March MU3 Target Setting_Feb 19_VRAN YTD_Biscuits Actual Results P01_VRAN YTD" xfId="7162"/>
    <cellStyle name="_March MU3 Target Setting_Feb 19_VRAN YTD_Biscuits Actual Results P02" xfId="7163"/>
    <cellStyle name="_March MU3 Target Setting_Feb 19_VRAN YTD_Biscuits Actual Results P02 2" xfId="7164"/>
    <cellStyle name="_March MU3 Target Setting_Feb 19_VRAN YTD_Biscuits Actual Results P02_Category Template_Actuals" xfId="7165"/>
    <cellStyle name="_March MU3 Target Setting_Feb 19_VRAN YTD_Biscuits Actual Results P02_Category Template_Actuals_Biscuits Actual Results P04" xfId="7166"/>
    <cellStyle name="_March MU3 Target Setting_Feb 19_VRAN YTD_Biscuits Actual Results P02_Category Template_Actuals_P&amp;L P06 AFH AC US" xfId="7167"/>
    <cellStyle name="_March MU3 Target Setting_Feb 19_VRAN YTD_Biscuits Actual Results P02_P&amp;L" xfId="7168"/>
    <cellStyle name="_March MU3 Target Setting_Feb 19_VRAN YTD_Biscuits Actual Results P02_P&amp;L_P&amp;L KFE" xfId="7169"/>
    <cellStyle name="_March MU3 Target Setting_Feb 19_VRAN YTD_Biscuits Actual Results P02_P&amp;L_Sheet3" xfId="7170"/>
    <cellStyle name="_March MU3 Target Setting_Feb 19_VRAN YTD_Biscuits Actual Results P02_VRAN YTD" xfId="7171"/>
    <cellStyle name="_March MU3 Target Setting_Feb 19_VRAN YTD_Biscuits Actual Results P04" xfId="7172"/>
    <cellStyle name="_March MU3 Target Setting_Feb 19_VRAN YTD_Biscuits Actual Results P1 BIS" xfId="7173"/>
    <cellStyle name="_March MU3 Target Setting_Feb 19_VRAN YTD_Biscuits Actual Results P1 BIS 2" xfId="7174"/>
    <cellStyle name="_March MU3 Target Setting_Feb 19_VRAN YTD_Biscuits Actual Results P1 BIS_Category Template_Actuals" xfId="7175"/>
    <cellStyle name="_March MU3 Target Setting_Feb 19_VRAN YTD_Biscuits Actual Results P1 BIS_Category Template_Actuals_Biscuits Actual Results P04" xfId="7176"/>
    <cellStyle name="_March MU3 Target Setting_Feb 19_VRAN YTD_Biscuits Actual Results P1 BIS_Category Template_Actuals_P&amp;L P06 AFH AC US" xfId="7177"/>
    <cellStyle name="_March MU3 Target Setting_Feb 19_VRAN YTD_Biscuits Actual Results P1 BIS_P&amp;L" xfId="7178"/>
    <cellStyle name="_March MU3 Target Setting_Feb 19_VRAN YTD_Biscuits Actual Results P1 BIS_P&amp;L_P&amp;L KFE" xfId="7179"/>
    <cellStyle name="_March MU3 Target Setting_Feb 19_VRAN YTD_Biscuits Actual Results P1 BIS_P&amp;L_Sheet3" xfId="7180"/>
    <cellStyle name="_March MU3 Target Setting_Feb 19_VRAN YTD_Biscuits Actual Results P1 BIS_VRAN YTD" xfId="7181"/>
    <cellStyle name="_March MU3 Target Setting_Feb 19_VRAN YTD_Biscuits Actual Results P12 161210" xfId="7182"/>
    <cellStyle name="_March MU3 Target Setting_Feb 19_VRAN YTD_Biscuits Actual Results P12 161210 2" xfId="7183"/>
    <cellStyle name="_March MU3 Target Setting_Feb 19_VRAN YTD_Biscuits Actual Results P12 161210_Category Template_Actuals" xfId="7184"/>
    <cellStyle name="_March MU3 Target Setting_Feb 19_VRAN YTD_Biscuits Actual Results P12 161210_Category Template_Actuals 2" xfId="7185"/>
    <cellStyle name="_March MU3 Target Setting_Feb 19_VRAN YTD_Biscuits Actual Results P12 161210_Category Template_Actuals_Biscuits Actual Results P02" xfId="7186"/>
    <cellStyle name="_March MU3 Target Setting_Feb 19_VRAN YTD_Biscuits Actual Results P12 161210_Category Template_Actuals_Biscuits Actual Results P02 2" xfId="7187"/>
    <cellStyle name="_March MU3 Target Setting_Feb 19_VRAN YTD_Biscuits Actual Results P12 161210_Category Template_Actuals_Biscuits Actual Results P02_Category Template_Actuals" xfId="7188"/>
    <cellStyle name="_March MU3 Target Setting_Feb 19_VRAN YTD_Biscuits Actual Results P12 161210_Category Template_Actuals_Biscuits Actual Results P02_Category Template_Actuals_Biscuits Actual Results P04" xfId="7189"/>
    <cellStyle name="_March MU3 Target Setting_Feb 19_VRAN YTD_Biscuits Actual Results P12 161210_Category Template_Actuals_Biscuits Actual Results P02_Category Template_Actuals_P&amp;L P06 AFH AC US" xfId="7190"/>
    <cellStyle name="_March MU3 Target Setting_Feb 19_VRAN YTD_Biscuits Actual Results P12 161210_Category Template_Actuals_Biscuits Actual Results P02_P&amp;L" xfId="7191"/>
    <cellStyle name="_March MU3 Target Setting_Feb 19_VRAN YTD_Biscuits Actual Results P12 161210_Category Template_Actuals_Biscuits Actual Results P02_P&amp;L_P&amp;L KFE" xfId="7192"/>
    <cellStyle name="_March MU3 Target Setting_Feb 19_VRAN YTD_Biscuits Actual Results P12 161210_Category Template_Actuals_Biscuits Actual Results P02_P&amp;L_Sheet3" xfId="7193"/>
    <cellStyle name="_March MU3 Target Setting_Feb 19_VRAN YTD_Biscuits Actual Results P12 161210_Category Template_Actuals_Biscuits Actual Results P02_VRAN YTD" xfId="7194"/>
    <cellStyle name="_March MU3 Target Setting_Feb 19_VRAN YTD_Biscuits Actual Results P12 161210_Category Template_Actuals_Biscuits Actual Results P04" xfId="7195"/>
    <cellStyle name="_March MU3 Target Setting_Feb 19_VRAN YTD_Biscuits Actual Results P12 161210_Category Template_Actuals_P&amp;L" xfId="7196"/>
    <cellStyle name="_March MU3 Target Setting_Feb 19_VRAN YTD_Biscuits Actual Results P12 161210_Category Template_Actuals_P&amp;L P06 AFH AC US" xfId="7197"/>
    <cellStyle name="_March MU3 Target Setting_Feb 19_VRAN YTD_Biscuits Actual Results P12 161210_Category Template_Actuals_P&amp;L_P&amp;L KFE" xfId="7198"/>
    <cellStyle name="_March MU3 Target Setting_Feb 19_VRAN YTD_Biscuits Actual Results P12 161210_Category Template_Actuals_P&amp;L_Sheet3" xfId="7199"/>
    <cellStyle name="_March MU3 Target Setting_Feb 19_VRAN YTD_Biscuits Actual Results P12 161210_P&amp;L" xfId="7200"/>
    <cellStyle name="_March MU3 Target Setting_Feb 19_VRAN YTD_Biscuits Actual Results P12 161210_P&amp;L_P&amp;L KFE" xfId="7201"/>
    <cellStyle name="_March MU3 Target Setting_Feb 19_VRAN YTD_Biscuits Actual Results P12 161210_P&amp;L_Sheet3" xfId="7202"/>
    <cellStyle name="_March MU3 Target Setting_Feb 19_VRAN YTD_Biscuits Actual Results P12 161210_VRAN YTD" xfId="7203"/>
    <cellStyle name="_March MU3 Target Setting_Feb 19_VRAN YTD_P&amp;L" xfId="7204"/>
    <cellStyle name="_March MU3 Target Setting_Feb 19_VRAN YTD_P&amp;L P06 AFH AC US" xfId="7205"/>
    <cellStyle name="_March MU3 Target Setting_Feb 19_VRAN YTD_P&amp;L_P&amp;L KFE" xfId="7206"/>
    <cellStyle name="_March MU3 Target Setting_Feb 19_VRAN YTD_P&amp;L_Sheet3" xfId="7207"/>
    <cellStyle name="_March MU3 Target Setting_Feb 26" xfId="7208"/>
    <cellStyle name="_March MU3 Target Setting_Feb 26 2" xfId="7209"/>
    <cellStyle name="_March MU3 Target Setting_Feb 26 2_P&amp;L KFE" xfId="7210"/>
    <cellStyle name="_March MU3 Target Setting_Feb 26 2_Sheet3" xfId="7211"/>
    <cellStyle name="_March MU3 Target Setting_Feb 26 3" xfId="7212"/>
    <cellStyle name="_March MU3 Target Setting_Feb 26_2011 Targets by category Aug 25" xfId="7213"/>
    <cellStyle name="_March MU3 Target Setting_Feb 26_AC11 conso @Cst Fx" xfId="7214"/>
    <cellStyle name="_March MU3 Target Setting_Feb 26_AC11 conso @Cst Fx 2" xfId="7215"/>
    <cellStyle name="_March MU3 Target Setting_Feb 26_AC11 conso @Cst Fx after LFL restatement" xfId="7216"/>
    <cellStyle name="_March MU3 Target Setting_Feb 26_AC11 conso @Cst Fx after LFL restatement 2" xfId="7217"/>
    <cellStyle name="_March MU3 Target Setting_Feb 26_AC11 conso @Cst Fx after LFL restatement_P&amp;L KFE" xfId="7218"/>
    <cellStyle name="_March MU3 Target Setting_Feb 26_AC11 conso @Cst Fx after LFL restatement_Sheet3" xfId="7219"/>
    <cellStyle name="_March MU3 Target Setting_Feb 26_AC11 conso @Cst Fx_P&amp;L KFE" xfId="7220"/>
    <cellStyle name="_March MU3 Target Setting_Feb 26_AC11 conso @Cst Fx_Sheet3" xfId="7221"/>
    <cellStyle name="_March MU3 Target Setting_Feb 26_Category PnL" xfId="7222"/>
    <cellStyle name="_March MU3 Target Setting_Feb 26_Category PnL 2" xfId="7223"/>
    <cellStyle name="_March MU3 Target Setting_Feb 26_Category PnL_P&amp;L KFE" xfId="7224"/>
    <cellStyle name="_March MU3 Target Setting_Feb 26_Category PnL_Sheet3" xfId="7225"/>
    <cellStyle name="_March MU3 Target Setting_Feb 26_Category Targets 2011_1.2" xfId="7226"/>
    <cellStyle name="_March MU3 Target Setting_Feb 26_Category Template_Actuals" xfId="7227"/>
    <cellStyle name="_March MU3 Target Setting_Feb 26_Category Template_Actuals 2" xfId="7228"/>
    <cellStyle name="_March MU3 Target Setting_Feb 26_Category Template_Actuals NEW" xfId="7229"/>
    <cellStyle name="_March MU3 Target Setting_Feb 26_Category Template_Actuals NEW 2" xfId="7230"/>
    <cellStyle name="_March MU3 Target Setting_Feb 26_Category Template_Actuals NEW_Biscuits Actual Results P01" xfId="7231"/>
    <cellStyle name="_March MU3 Target Setting_Feb 26_Category Template_Actuals NEW_Biscuits Actual Results P01 2" xfId="7232"/>
    <cellStyle name="_March MU3 Target Setting_Feb 26_Category Template_Actuals NEW_Biscuits Actual Results P01_Category Template_Actuals" xfId="7233"/>
    <cellStyle name="_March MU3 Target Setting_Feb 26_Category Template_Actuals NEW_Biscuits Actual Results P01_Category Template_Actuals 2" xfId="7234"/>
    <cellStyle name="_March MU3 Target Setting_Feb 26_Category Template_Actuals NEW_Biscuits Actual Results P01_Category Template_Actuals_Biscuits Actual Results P02" xfId="7235"/>
    <cellStyle name="_March MU3 Target Setting_Feb 26_Category Template_Actuals NEW_Biscuits Actual Results P01_Category Template_Actuals_Biscuits Actual Results P02 2" xfId="7236"/>
    <cellStyle name="_March MU3 Target Setting_Feb 26_Category Template_Actuals NEW_Biscuits Actual Results P01_Category Template_Actuals_Biscuits Actual Results P02_Category Template_Actuals" xfId="7237"/>
    <cellStyle name="_March MU3 Target Setting_Feb 26_Category Template_Actuals NEW_Biscuits Actual Results P01_Category Template_Actuals_Biscuits Actual Results P02_Category Template_Actuals_Biscuits Actual Results P04" xfId="7238"/>
    <cellStyle name="_March MU3 Target Setting_Feb 26_Category Template_Actuals NEW_Biscuits Actual Results P01_Category Template_Actuals_Biscuits Actual Results P02_Category Template_Actuals_P&amp;L P06 AFH AC US" xfId="7239"/>
    <cellStyle name="_March MU3 Target Setting_Feb 26_Category Template_Actuals NEW_Biscuits Actual Results P01_Category Template_Actuals_Biscuits Actual Results P02_P&amp;L" xfId="7240"/>
    <cellStyle name="_March MU3 Target Setting_Feb 26_Category Template_Actuals NEW_Biscuits Actual Results P01_Category Template_Actuals_Biscuits Actual Results P02_P&amp;L_P&amp;L KFE" xfId="7241"/>
    <cellStyle name="_March MU3 Target Setting_Feb 26_Category Template_Actuals NEW_Biscuits Actual Results P01_Category Template_Actuals_Biscuits Actual Results P02_P&amp;L_Sheet3" xfId="7242"/>
    <cellStyle name="_March MU3 Target Setting_Feb 26_Category Template_Actuals NEW_Biscuits Actual Results P01_Category Template_Actuals_Biscuits Actual Results P02_VRAN YTD" xfId="7243"/>
    <cellStyle name="_March MU3 Target Setting_Feb 26_Category Template_Actuals NEW_Biscuits Actual Results P01_Category Template_Actuals_Biscuits Actual Results P04" xfId="7244"/>
    <cellStyle name="_March MU3 Target Setting_Feb 26_Category Template_Actuals NEW_Biscuits Actual Results P01_Category Template_Actuals_P&amp;L" xfId="7245"/>
    <cellStyle name="_March MU3 Target Setting_Feb 26_Category Template_Actuals NEW_Biscuits Actual Results P01_Category Template_Actuals_P&amp;L P06 AFH AC US" xfId="7246"/>
    <cellStyle name="_March MU3 Target Setting_Feb 26_Category Template_Actuals NEW_Biscuits Actual Results P01_Category Template_Actuals_P&amp;L_P&amp;L KFE" xfId="7247"/>
    <cellStyle name="_March MU3 Target Setting_Feb 26_Category Template_Actuals NEW_Biscuits Actual Results P01_Category Template_Actuals_P&amp;L_Sheet3" xfId="7248"/>
    <cellStyle name="_March MU3 Target Setting_Feb 26_Category Template_Actuals NEW_Biscuits Actual Results P01_P&amp;L" xfId="7249"/>
    <cellStyle name="_March MU3 Target Setting_Feb 26_Category Template_Actuals NEW_Biscuits Actual Results P01_P&amp;L_P&amp;L KFE" xfId="7250"/>
    <cellStyle name="_March MU3 Target Setting_Feb 26_Category Template_Actuals NEW_Biscuits Actual Results P01_P&amp;L_Sheet3" xfId="7251"/>
    <cellStyle name="_March MU3 Target Setting_Feb 26_Category Template_Actuals NEW_Biscuits Actual Results P01_VRAN YTD" xfId="7252"/>
    <cellStyle name="_March MU3 Target Setting_Feb 26_Category Template_Actuals NEW_Biscuits Actual Results P02" xfId="7253"/>
    <cellStyle name="_March MU3 Target Setting_Feb 26_Category Template_Actuals NEW_Biscuits Actual Results P02 2" xfId="7254"/>
    <cellStyle name="_March MU3 Target Setting_Feb 26_Category Template_Actuals NEW_Biscuits Actual Results P02_Category Template_Actuals" xfId="7255"/>
    <cellStyle name="_March MU3 Target Setting_Feb 26_Category Template_Actuals NEW_Biscuits Actual Results P02_Category Template_Actuals_Biscuits Actual Results P04" xfId="7256"/>
    <cellStyle name="_March MU3 Target Setting_Feb 26_Category Template_Actuals NEW_Biscuits Actual Results P02_Category Template_Actuals_P&amp;L P06 AFH AC US" xfId="7257"/>
    <cellStyle name="_March MU3 Target Setting_Feb 26_Category Template_Actuals NEW_Biscuits Actual Results P02_P&amp;L" xfId="7258"/>
    <cellStyle name="_March MU3 Target Setting_Feb 26_Category Template_Actuals NEW_Biscuits Actual Results P02_P&amp;L_P&amp;L KFE" xfId="7259"/>
    <cellStyle name="_March MU3 Target Setting_Feb 26_Category Template_Actuals NEW_Biscuits Actual Results P02_P&amp;L_Sheet3" xfId="7260"/>
    <cellStyle name="_March MU3 Target Setting_Feb 26_Category Template_Actuals NEW_Biscuits Actual Results P02_VRAN YTD" xfId="7261"/>
    <cellStyle name="_March MU3 Target Setting_Feb 26_Category Template_Actuals NEW_Biscuits Actual Results P04" xfId="7262"/>
    <cellStyle name="_March MU3 Target Setting_Feb 26_Category Template_Actuals NEW_Biscuits Actual Results P1 BIS" xfId="7263"/>
    <cellStyle name="_March MU3 Target Setting_Feb 26_Category Template_Actuals NEW_Biscuits Actual Results P1 BIS 2" xfId="7264"/>
    <cellStyle name="_March MU3 Target Setting_Feb 26_Category Template_Actuals NEW_Biscuits Actual Results P1 BIS_Category Template_Actuals" xfId="7265"/>
    <cellStyle name="_March MU3 Target Setting_Feb 26_Category Template_Actuals NEW_Biscuits Actual Results P1 BIS_Category Template_Actuals_Biscuits Actual Results P04" xfId="7266"/>
    <cellStyle name="_March MU3 Target Setting_Feb 26_Category Template_Actuals NEW_Biscuits Actual Results P1 BIS_Category Template_Actuals_P&amp;L P06 AFH AC US" xfId="7267"/>
    <cellStyle name="_March MU3 Target Setting_Feb 26_Category Template_Actuals NEW_Biscuits Actual Results P1 BIS_P&amp;L" xfId="7268"/>
    <cellStyle name="_March MU3 Target Setting_Feb 26_Category Template_Actuals NEW_Biscuits Actual Results P1 BIS_P&amp;L_P&amp;L KFE" xfId="7269"/>
    <cellStyle name="_March MU3 Target Setting_Feb 26_Category Template_Actuals NEW_Biscuits Actual Results P1 BIS_P&amp;L_Sheet3" xfId="7270"/>
    <cellStyle name="_March MU3 Target Setting_Feb 26_Category Template_Actuals NEW_Biscuits Actual Results P1 BIS_VRAN YTD" xfId="7271"/>
    <cellStyle name="_March MU3 Target Setting_Feb 26_Category Template_Actuals NEW_Biscuits Actual Results P12 161210" xfId="7272"/>
    <cellStyle name="_March MU3 Target Setting_Feb 26_Category Template_Actuals NEW_Biscuits Actual Results P12 161210 2" xfId="7273"/>
    <cellStyle name="_March MU3 Target Setting_Feb 26_Category Template_Actuals NEW_Biscuits Actual Results P12 161210_Category Template_Actuals" xfId="7274"/>
    <cellStyle name="_March MU3 Target Setting_Feb 26_Category Template_Actuals NEW_Biscuits Actual Results P12 161210_Category Template_Actuals 2" xfId="7275"/>
    <cellStyle name="_March MU3 Target Setting_Feb 26_Category Template_Actuals NEW_Biscuits Actual Results P12 161210_Category Template_Actuals_Biscuits Actual Results P02" xfId="7276"/>
    <cellStyle name="_March MU3 Target Setting_Feb 26_Category Template_Actuals NEW_Biscuits Actual Results P12 161210_Category Template_Actuals_Biscuits Actual Results P02 2" xfId="7277"/>
    <cellStyle name="_March MU3 Target Setting_Feb 26_Category Template_Actuals NEW_Biscuits Actual Results P12 161210_Category Template_Actuals_Biscuits Actual Results P02_Category Template_Actuals" xfId="7278"/>
    <cellStyle name="_March MU3 Target Setting_Feb 26_Category Template_Actuals NEW_Biscuits Actual Results P12 161210_Category Template_Actuals_Biscuits Actual Results P02_Category Template_Actuals_Biscuits Actual Results P04" xfId="7279"/>
    <cellStyle name="_March MU3 Target Setting_Feb 26_Category Template_Actuals NEW_Biscuits Actual Results P12 161210_Category Template_Actuals_Biscuits Actual Results P02_Category Template_Actuals_P&amp;L P06 AFH AC US" xfId="7280"/>
    <cellStyle name="_March MU3 Target Setting_Feb 26_Category Template_Actuals NEW_Biscuits Actual Results P12 161210_Category Template_Actuals_Biscuits Actual Results P02_P&amp;L" xfId="7281"/>
    <cellStyle name="_March MU3 Target Setting_Feb 26_Category Template_Actuals NEW_Biscuits Actual Results P12 161210_Category Template_Actuals_Biscuits Actual Results P02_P&amp;L_P&amp;L KFE" xfId="7282"/>
    <cellStyle name="_March MU3 Target Setting_Feb 26_Category Template_Actuals NEW_Biscuits Actual Results P12 161210_Category Template_Actuals_Biscuits Actual Results P02_P&amp;L_Sheet3" xfId="7283"/>
    <cellStyle name="_March MU3 Target Setting_Feb 26_Category Template_Actuals NEW_Biscuits Actual Results P12 161210_Category Template_Actuals_Biscuits Actual Results P02_VRAN YTD" xfId="7284"/>
    <cellStyle name="_March MU3 Target Setting_Feb 26_Category Template_Actuals NEW_Biscuits Actual Results P12 161210_Category Template_Actuals_Biscuits Actual Results P04" xfId="7285"/>
    <cellStyle name="_March MU3 Target Setting_Feb 26_Category Template_Actuals NEW_Biscuits Actual Results P12 161210_Category Template_Actuals_P&amp;L" xfId="7286"/>
    <cellStyle name="_March MU3 Target Setting_Feb 26_Category Template_Actuals NEW_Biscuits Actual Results P12 161210_Category Template_Actuals_P&amp;L P06 AFH AC US" xfId="7287"/>
    <cellStyle name="_March MU3 Target Setting_Feb 26_Category Template_Actuals NEW_Biscuits Actual Results P12 161210_Category Template_Actuals_P&amp;L_P&amp;L KFE" xfId="7288"/>
    <cellStyle name="_March MU3 Target Setting_Feb 26_Category Template_Actuals NEW_Biscuits Actual Results P12 161210_Category Template_Actuals_P&amp;L_Sheet3" xfId="7289"/>
    <cellStyle name="_March MU3 Target Setting_Feb 26_Category Template_Actuals NEW_Biscuits Actual Results P12 161210_P&amp;L" xfId="7290"/>
    <cellStyle name="_March MU3 Target Setting_Feb 26_Category Template_Actuals NEW_Biscuits Actual Results P12 161210_P&amp;L_P&amp;L KFE" xfId="7291"/>
    <cellStyle name="_March MU3 Target Setting_Feb 26_Category Template_Actuals NEW_Biscuits Actual Results P12 161210_P&amp;L_Sheet3" xfId="7292"/>
    <cellStyle name="_March MU3 Target Setting_Feb 26_Category Template_Actuals NEW_Biscuits Actual Results P12 161210_VRAN YTD" xfId="7293"/>
    <cellStyle name="_March MU3 Target Setting_Feb 26_Category Template_Actuals NEW_P&amp;L" xfId="7294"/>
    <cellStyle name="_March MU3 Target Setting_Feb 26_Category Template_Actuals NEW_P&amp;L P06 AFH AC US" xfId="7295"/>
    <cellStyle name="_March MU3 Target Setting_Feb 26_Category Template_Actuals NEW_P&amp;L_P&amp;L KFE" xfId="7296"/>
    <cellStyle name="_March MU3 Target Setting_Feb 26_Category Template_Actuals NEW_P&amp;L_Sheet3" xfId="7297"/>
    <cellStyle name="_March MU3 Target Setting_Feb 26_Category Template_Actuals_Biscuits Actual Results P02" xfId="7298"/>
    <cellStyle name="_March MU3 Target Setting_Feb 26_Category Template_Actuals_Biscuits Actual Results P02 2" xfId="7299"/>
    <cellStyle name="_March MU3 Target Setting_Feb 26_Category Template_Actuals_Biscuits Actual Results P02_Category Template_Actuals" xfId="7300"/>
    <cellStyle name="_March MU3 Target Setting_Feb 26_Category Template_Actuals_Biscuits Actual Results P02_Category Template_Actuals_Biscuits Actual Results P04" xfId="7301"/>
    <cellStyle name="_March MU3 Target Setting_Feb 26_Category Template_Actuals_Biscuits Actual Results P02_Category Template_Actuals_P&amp;L P06 AFH AC US" xfId="7302"/>
    <cellStyle name="_March MU3 Target Setting_Feb 26_Category Template_Actuals_Biscuits Actual Results P02_P&amp;L" xfId="7303"/>
    <cellStyle name="_March MU3 Target Setting_Feb 26_Category Template_Actuals_Biscuits Actual Results P02_P&amp;L_P&amp;L KFE" xfId="7304"/>
    <cellStyle name="_March MU3 Target Setting_Feb 26_Category Template_Actuals_Biscuits Actual Results P02_P&amp;L_Sheet3" xfId="7305"/>
    <cellStyle name="_March MU3 Target Setting_Feb 26_Category Template_Actuals_Biscuits Actual Results P02_VRAN YTD" xfId="7306"/>
    <cellStyle name="_March MU3 Target Setting_Feb 26_Category Template_Actuals_Biscuits Actual Results P04" xfId="7307"/>
    <cellStyle name="_March MU3 Target Setting_Feb 26_Category Template_Actuals_P&amp;L" xfId="7308"/>
    <cellStyle name="_March MU3 Target Setting_Feb 26_Category Template_Actuals_P&amp;L P06 AFH AC US" xfId="7309"/>
    <cellStyle name="_March MU3 Target Setting_Feb 26_Category Template_Actuals_P&amp;L_P&amp;L KFE" xfId="7310"/>
    <cellStyle name="_March MU3 Target Setting_Feb 26_Category Template_Actuals_P&amp;L_Sheet3" xfId="7311"/>
    <cellStyle name="_March MU3 Target Setting_Feb 26_KFE Category PnL template_Combined_P03 (2)" xfId="7312"/>
    <cellStyle name="_March MU3 Target Setting_Feb 26_KFE Category PnL template_Combined_P03 (2)_P&amp;L KFE" xfId="7313"/>
    <cellStyle name="_March MU3 Target Setting_Feb 26_KFE Category PnL template_Combined_P03 (2)_Sheet3" xfId="7314"/>
    <cellStyle name="_March MU3 Target Setting_Feb 26_KFE Category PnL template_Kraft Legacy (2)" xfId="7315"/>
    <cellStyle name="_March MU3 Target Setting_Feb 26_KFE Category PnL template_Kraft Legacy (2)_P&amp;L KFE" xfId="7316"/>
    <cellStyle name="_March MU3 Target Setting_Feb 26_KFE Category PnL template_Kraft Legacy (2)_Sheet3" xfId="7317"/>
    <cellStyle name="_March MU3 Target Setting_Feb 26_KFE Category PnL template_Kraft Legacy (4)" xfId="7318"/>
    <cellStyle name="_March MU3 Target Setting_Feb 26_KFE Category PnL template_Kraft Legacy (4)_P&amp;L KFE" xfId="7319"/>
    <cellStyle name="_March MU3 Target Setting_Feb 26_KFE Category PnL template_Kraft Legacy (4)_Sheet3" xfId="7320"/>
    <cellStyle name="_March MU3 Target Setting_Feb 26_OI Bridge 0" xfId="7321"/>
    <cellStyle name="_March MU3 Target Setting_Feb 26_OI Bridge 0_1" xfId="7322"/>
    <cellStyle name="_March MU3 Target Setting_Feb 26_OI Bridge 1" xfId="7323"/>
    <cellStyle name="_March MU3 Target Setting_Feb 26_P&amp;L" xfId="7324"/>
    <cellStyle name="_March MU3 Target Setting_Feb 26_P&amp;L_P&amp;L KFE" xfId="7325"/>
    <cellStyle name="_March MU3 Target Setting_Feb 26_P&amp;L_Sheet3" xfId="7326"/>
    <cellStyle name="_March MU3 Target Setting_Feb 26_Sheet1" xfId="7327"/>
    <cellStyle name="_March MU3 Target Setting_Feb 26_VRAN YTD" xfId="7328"/>
    <cellStyle name="_March MU3 Target Setting_Feb 26_VRAN YTD 2" xfId="7329"/>
    <cellStyle name="_March MU3 Target Setting_Feb 26_VRAN YTD_Biscuits Actual Results P01" xfId="7330"/>
    <cellStyle name="_March MU3 Target Setting_Feb 26_VRAN YTD_Biscuits Actual Results P01 2" xfId="7331"/>
    <cellStyle name="_March MU3 Target Setting_Feb 26_VRAN YTD_Biscuits Actual Results P01_Category Template_Actuals" xfId="7332"/>
    <cellStyle name="_March MU3 Target Setting_Feb 26_VRAN YTD_Biscuits Actual Results P01_Category Template_Actuals 2" xfId="7333"/>
    <cellStyle name="_March MU3 Target Setting_Feb 26_VRAN YTD_Biscuits Actual Results P01_Category Template_Actuals_Biscuits Actual Results P02" xfId="7334"/>
    <cellStyle name="_March MU3 Target Setting_Feb 26_VRAN YTD_Biscuits Actual Results P01_Category Template_Actuals_Biscuits Actual Results P02 2" xfId="7335"/>
    <cellStyle name="_March MU3 Target Setting_Feb 26_VRAN YTD_Biscuits Actual Results P01_Category Template_Actuals_Biscuits Actual Results P02_Category Template_Actuals" xfId="7336"/>
    <cellStyle name="_March MU3 Target Setting_Feb 26_VRAN YTD_Biscuits Actual Results P01_Category Template_Actuals_Biscuits Actual Results P02_Category Template_Actuals_Biscuits Actual Results P04" xfId="7337"/>
    <cellStyle name="_March MU3 Target Setting_Feb 26_VRAN YTD_Biscuits Actual Results P01_Category Template_Actuals_Biscuits Actual Results P02_Category Template_Actuals_P&amp;L P06 AFH AC US" xfId="7338"/>
    <cellStyle name="_March MU3 Target Setting_Feb 26_VRAN YTD_Biscuits Actual Results P01_Category Template_Actuals_Biscuits Actual Results P02_P&amp;L" xfId="7339"/>
    <cellStyle name="_March MU3 Target Setting_Feb 26_VRAN YTD_Biscuits Actual Results P01_Category Template_Actuals_Biscuits Actual Results P02_P&amp;L_P&amp;L KFE" xfId="7340"/>
    <cellStyle name="_March MU3 Target Setting_Feb 26_VRAN YTD_Biscuits Actual Results P01_Category Template_Actuals_Biscuits Actual Results P02_P&amp;L_Sheet3" xfId="7341"/>
    <cellStyle name="_March MU3 Target Setting_Feb 26_VRAN YTD_Biscuits Actual Results P01_Category Template_Actuals_Biscuits Actual Results P02_VRAN YTD" xfId="7342"/>
    <cellStyle name="_March MU3 Target Setting_Feb 26_VRAN YTD_Biscuits Actual Results P01_Category Template_Actuals_Biscuits Actual Results P04" xfId="7343"/>
    <cellStyle name="_March MU3 Target Setting_Feb 26_VRAN YTD_Biscuits Actual Results P01_Category Template_Actuals_P&amp;L" xfId="7344"/>
    <cellStyle name="_March MU3 Target Setting_Feb 26_VRAN YTD_Biscuits Actual Results P01_Category Template_Actuals_P&amp;L P06 AFH AC US" xfId="7345"/>
    <cellStyle name="_March MU3 Target Setting_Feb 26_VRAN YTD_Biscuits Actual Results P01_Category Template_Actuals_P&amp;L_P&amp;L KFE" xfId="7346"/>
    <cellStyle name="_March MU3 Target Setting_Feb 26_VRAN YTD_Biscuits Actual Results P01_Category Template_Actuals_P&amp;L_Sheet3" xfId="7347"/>
    <cellStyle name="_March MU3 Target Setting_Feb 26_VRAN YTD_Biscuits Actual Results P01_P&amp;L" xfId="7348"/>
    <cellStyle name="_March MU3 Target Setting_Feb 26_VRAN YTD_Biscuits Actual Results P01_P&amp;L_P&amp;L KFE" xfId="7349"/>
    <cellStyle name="_March MU3 Target Setting_Feb 26_VRAN YTD_Biscuits Actual Results P01_P&amp;L_Sheet3" xfId="7350"/>
    <cellStyle name="_March MU3 Target Setting_Feb 26_VRAN YTD_Biscuits Actual Results P01_VRAN YTD" xfId="7351"/>
    <cellStyle name="_March MU3 Target Setting_Feb 26_VRAN YTD_Biscuits Actual Results P02" xfId="7352"/>
    <cellStyle name="_March MU3 Target Setting_Feb 26_VRAN YTD_Biscuits Actual Results P02 2" xfId="7353"/>
    <cellStyle name="_March MU3 Target Setting_Feb 26_VRAN YTD_Biscuits Actual Results P02_Category Template_Actuals" xfId="7354"/>
    <cellStyle name="_March MU3 Target Setting_Feb 26_VRAN YTD_Biscuits Actual Results P02_Category Template_Actuals_Biscuits Actual Results P04" xfId="7355"/>
    <cellStyle name="_March MU3 Target Setting_Feb 26_VRAN YTD_Biscuits Actual Results P02_Category Template_Actuals_P&amp;L P06 AFH AC US" xfId="7356"/>
    <cellStyle name="_March MU3 Target Setting_Feb 26_VRAN YTD_Biscuits Actual Results P02_P&amp;L" xfId="7357"/>
    <cellStyle name="_March MU3 Target Setting_Feb 26_VRAN YTD_Biscuits Actual Results P02_P&amp;L_P&amp;L KFE" xfId="7358"/>
    <cellStyle name="_March MU3 Target Setting_Feb 26_VRAN YTD_Biscuits Actual Results P02_P&amp;L_Sheet3" xfId="7359"/>
    <cellStyle name="_March MU3 Target Setting_Feb 26_VRAN YTD_Biscuits Actual Results P02_VRAN YTD" xfId="7360"/>
    <cellStyle name="_March MU3 Target Setting_Feb 26_VRAN YTD_Biscuits Actual Results P04" xfId="7361"/>
    <cellStyle name="_March MU3 Target Setting_Feb 26_VRAN YTD_Biscuits Actual Results P1 BIS" xfId="7362"/>
    <cellStyle name="_March MU3 Target Setting_Feb 26_VRAN YTD_Biscuits Actual Results P1 BIS 2" xfId="7363"/>
    <cellStyle name="_March MU3 Target Setting_Feb 26_VRAN YTD_Biscuits Actual Results P1 BIS_Category Template_Actuals" xfId="7364"/>
    <cellStyle name="_March MU3 Target Setting_Feb 26_VRAN YTD_Biscuits Actual Results P1 BIS_Category Template_Actuals_Biscuits Actual Results P04" xfId="7365"/>
    <cellStyle name="_March MU3 Target Setting_Feb 26_VRAN YTD_Biscuits Actual Results P1 BIS_Category Template_Actuals_P&amp;L P06 AFH AC US" xfId="7366"/>
    <cellStyle name="_March MU3 Target Setting_Feb 26_VRAN YTD_Biscuits Actual Results P1 BIS_P&amp;L" xfId="7367"/>
    <cellStyle name="_March MU3 Target Setting_Feb 26_VRAN YTD_Biscuits Actual Results P1 BIS_P&amp;L_P&amp;L KFE" xfId="7368"/>
    <cellStyle name="_March MU3 Target Setting_Feb 26_VRAN YTD_Biscuits Actual Results P1 BIS_P&amp;L_Sheet3" xfId="7369"/>
    <cellStyle name="_March MU3 Target Setting_Feb 26_VRAN YTD_Biscuits Actual Results P1 BIS_VRAN YTD" xfId="7370"/>
    <cellStyle name="_March MU3 Target Setting_Feb 26_VRAN YTD_Biscuits Actual Results P12 161210" xfId="7371"/>
    <cellStyle name="_March MU3 Target Setting_Feb 26_VRAN YTD_Biscuits Actual Results P12 161210 2" xfId="7372"/>
    <cellStyle name="_March MU3 Target Setting_Feb 26_VRAN YTD_Biscuits Actual Results P12 161210_Category Template_Actuals" xfId="7373"/>
    <cellStyle name="_March MU3 Target Setting_Feb 26_VRAN YTD_Biscuits Actual Results P12 161210_Category Template_Actuals 2" xfId="7374"/>
    <cellStyle name="_March MU3 Target Setting_Feb 26_VRAN YTD_Biscuits Actual Results P12 161210_Category Template_Actuals_Biscuits Actual Results P02" xfId="7375"/>
    <cellStyle name="_March MU3 Target Setting_Feb 26_VRAN YTD_Biscuits Actual Results P12 161210_Category Template_Actuals_Biscuits Actual Results P02 2" xfId="7376"/>
    <cellStyle name="_March MU3 Target Setting_Feb 26_VRAN YTD_Biscuits Actual Results P12 161210_Category Template_Actuals_Biscuits Actual Results P02_Category Template_Actuals" xfId="7377"/>
    <cellStyle name="_March MU3 Target Setting_Feb 26_VRAN YTD_Biscuits Actual Results P12 161210_Category Template_Actuals_Biscuits Actual Results P02_Category Template_Actuals_Biscuits Actual Results P04" xfId="7378"/>
    <cellStyle name="_March MU3 Target Setting_Feb 26_VRAN YTD_Biscuits Actual Results P12 161210_Category Template_Actuals_Biscuits Actual Results P02_Category Template_Actuals_P&amp;L P06 AFH AC US" xfId="7379"/>
    <cellStyle name="_March MU3 Target Setting_Feb 26_VRAN YTD_Biscuits Actual Results P12 161210_Category Template_Actuals_Biscuits Actual Results P02_P&amp;L" xfId="7380"/>
    <cellStyle name="_March MU3 Target Setting_Feb 26_VRAN YTD_Biscuits Actual Results P12 161210_Category Template_Actuals_Biscuits Actual Results P02_P&amp;L_P&amp;L KFE" xfId="7381"/>
    <cellStyle name="_March MU3 Target Setting_Feb 26_VRAN YTD_Biscuits Actual Results P12 161210_Category Template_Actuals_Biscuits Actual Results P02_P&amp;L_Sheet3" xfId="7382"/>
    <cellStyle name="_March MU3 Target Setting_Feb 26_VRAN YTD_Biscuits Actual Results P12 161210_Category Template_Actuals_Biscuits Actual Results P02_VRAN YTD" xfId="7383"/>
    <cellStyle name="_March MU3 Target Setting_Feb 26_VRAN YTD_Biscuits Actual Results P12 161210_Category Template_Actuals_Biscuits Actual Results P04" xfId="7384"/>
    <cellStyle name="_March MU3 Target Setting_Feb 26_VRAN YTD_Biscuits Actual Results P12 161210_Category Template_Actuals_P&amp;L" xfId="7385"/>
    <cellStyle name="_March MU3 Target Setting_Feb 26_VRAN YTD_Biscuits Actual Results P12 161210_Category Template_Actuals_P&amp;L P06 AFH AC US" xfId="7386"/>
    <cellStyle name="_March MU3 Target Setting_Feb 26_VRAN YTD_Biscuits Actual Results P12 161210_Category Template_Actuals_P&amp;L_P&amp;L KFE" xfId="7387"/>
    <cellStyle name="_March MU3 Target Setting_Feb 26_VRAN YTD_Biscuits Actual Results P12 161210_Category Template_Actuals_P&amp;L_Sheet3" xfId="7388"/>
    <cellStyle name="_March MU3 Target Setting_Feb 26_VRAN YTD_Biscuits Actual Results P12 161210_P&amp;L" xfId="7389"/>
    <cellStyle name="_March MU3 Target Setting_Feb 26_VRAN YTD_Biscuits Actual Results P12 161210_P&amp;L_P&amp;L KFE" xfId="7390"/>
    <cellStyle name="_March MU3 Target Setting_Feb 26_VRAN YTD_Biscuits Actual Results P12 161210_P&amp;L_Sheet3" xfId="7391"/>
    <cellStyle name="_March MU3 Target Setting_Feb 26_VRAN YTD_Biscuits Actual Results P12 161210_VRAN YTD" xfId="7392"/>
    <cellStyle name="_March MU3 Target Setting_Feb 26_VRAN YTD_P&amp;L" xfId="7393"/>
    <cellStyle name="_March MU3 Target Setting_Feb 26_VRAN YTD_P&amp;L P06 AFH AC US" xfId="7394"/>
    <cellStyle name="_March MU3 Target Setting_Feb 26_VRAN YTD_P&amp;L_P&amp;L KFE" xfId="7395"/>
    <cellStyle name="_March MU3 Target Setting_Feb 26_VRAN YTD_P&amp;L_Sheet3" xfId="7396"/>
    <cellStyle name="_Market" xfId="7397"/>
    <cellStyle name="_Market_AR_TUC new line_Szekes v10" xfId="7398"/>
    <cellStyle name="_Master Staff Data - Core HR Staff" xfId="7399"/>
    <cellStyle name="_May" xfId="7400"/>
    <cellStyle name="_May 04 - Solutions and Delivery Centres Loaded Costs v4.5" xfId="7401"/>
    <cellStyle name="_May 2008" xfId="7402"/>
    <cellStyle name="_May 2008 Incremental file play2" xfId="7403"/>
    <cellStyle name="_May Fc Country presentation template" xfId="7404"/>
    <cellStyle name="_May Forecast - FR OR input" xfId="7405"/>
    <cellStyle name="_May_1" xfId="7406"/>
    <cellStyle name="_MBA P3" xfId="7407"/>
    <cellStyle name="_MBAP1 2005" xfId="7408"/>
    <cellStyle name="_MBU P10 Pacheco" xfId="7409"/>
    <cellStyle name="_MBU P10 Pacheco 2" xfId="7410"/>
    <cellStyle name="_MBU P10 Pacheco 3" xfId="7411"/>
    <cellStyle name="_MBU P10 Villa Mercedes" xfId="7412"/>
    <cellStyle name="_MBU P10 Villa Mercedes 2" xfId="7413"/>
    <cellStyle name="_MBU P10 Villa Mercedes 3" xfId="7414"/>
    <cellStyle name="_MBU P11 Pacheco_version tickets" xfId="7415"/>
    <cellStyle name="_MBU P11 Pacheco_version tickets 2" xfId="7416"/>
    <cellStyle name="_MBU P11 Pacheco_version tickets 3" xfId="7417"/>
    <cellStyle name="_MBU P11 Villa Mercedes_version tickets" xfId="7418"/>
    <cellStyle name="_MBU P11 Villa Mercedes_version tickets 2" xfId="7419"/>
    <cellStyle name="_MBU P11 Villa Mercedes_version tickets 3" xfId="7420"/>
    <cellStyle name="_MBU6 LA Mfg" xfId="7421"/>
    <cellStyle name="_MBU6 LA Mfg 2" xfId="7422"/>
    <cellStyle name="_MBU6 LA Mfg 2 2" xfId="7423"/>
    <cellStyle name="_MBU6 LA Mfg 2 2_P&amp;L KFE" xfId="7424"/>
    <cellStyle name="_MBU6 LA Mfg 2 2_Sheet3" xfId="7425"/>
    <cellStyle name="_MBU6 LA Mfg 2_P&amp;L KFE" xfId="7426"/>
    <cellStyle name="_MBU6 LA Mfg 2_Sheet3" xfId="7427"/>
    <cellStyle name="_MBU6 LA Mfg 3" xfId="7428"/>
    <cellStyle name="_MBU6 LA Mfg 3_P&amp;L KFE" xfId="7429"/>
    <cellStyle name="_MBU6 LA Mfg 3_Sheet3" xfId="7430"/>
    <cellStyle name="_MBU6 LA Mfg 4" xfId="7431"/>
    <cellStyle name="_MBU6 LA Mfg_2011 Targets by category Aug 25" xfId="7432"/>
    <cellStyle name="_MBU6 LA Mfg_AC11 conso @Cst Fx" xfId="7433"/>
    <cellStyle name="_MBU6 LA Mfg_AC11 conso @Cst Fx 2" xfId="7434"/>
    <cellStyle name="_MBU6 LA Mfg_AC11 conso @Cst Fx after LFL restatement" xfId="7435"/>
    <cellStyle name="_MBU6 LA Mfg_AC11 conso @Cst Fx after LFL restatement 2" xfId="7436"/>
    <cellStyle name="_MBU6 LA Mfg_AC11 conso @Cst Fx after LFL restatement_P&amp;L KFE" xfId="7437"/>
    <cellStyle name="_MBU6 LA Mfg_AC11 conso @Cst Fx after LFL restatement_Sheet3" xfId="7438"/>
    <cellStyle name="_MBU6 LA Mfg_AC11 conso @Cst Fx_P&amp;L KFE" xfId="7439"/>
    <cellStyle name="_MBU6 LA Mfg_AC11 conso @Cst Fx_Sheet3" xfId="7440"/>
    <cellStyle name="_MBU6 LA Mfg_ASO P10, Q4  S38 27-09 bis" xfId="7441"/>
    <cellStyle name="_MBU6 LA Mfg_Category PnL" xfId="7442"/>
    <cellStyle name="_MBU6 LA Mfg_Category PnL 2" xfId="7443"/>
    <cellStyle name="_MBU6 LA Mfg_Category PnL_P&amp;L KFE" xfId="7444"/>
    <cellStyle name="_MBU6 LA Mfg_Category PnL_Sheet3" xfId="7445"/>
    <cellStyle name="_MBU6 LA Mfg_Category Targets 2011_1.2" xfId="7446"/>
    <cellStyle name="_MBU6 LA Mfg_Category Template_Actuals" xfId="7447"/>
    <cellStyle name="_MBU6 LA Mfg_Category Template_Actuals 2" xfId="7448"/>
    <cellStyle name="_MBU6 LA Mfg_Category Template_Actuals NEW" xfId="7449"/>
    <cellStyle name="_MBU6 LA Mfg_Category Template_Actuals NEW 2" xfId="7450"/>
    <cellStyle name="_MBU6 LA Mfg_Category Template_Actuals NEW_Biscuits Actual Results P01" xfId="7451"/>
    <cellStyle name="_MBU6 LA Mfg_Category Template_Actuals NEW_Biscuits Actual Results P01 2" xfId="7452"/>
    <cellStyle name="_MBU6 LA Mfg_Category Template_Actuals NEW_Biscuits Actual Results P01_Category Template_Actuals" xfId="7453"/>
    <cellStyle name="_MBU6 LA Mfg_Category Template_Actuals NEW_Biscuits Actual Results P01_Category Template_Actuals 2" xfId="7454"/>
    <cellStyle name="_MBU6 LA Mfg_Category Template_Actuals NEW_Biscuits Actual Results P01_Category Template_Actuals_Biscuits Actual Results P02" xfId="7455"/>
    <cellStyle name="_MBU6 LA Mfg_Category Template_Actuals NEW_Biscuits Actual Results P01_Category Template_Actuals_Biscuits Actual Results P02 2" xfId="7456"/>
    <cellStyle name="_MBU6 LA Mfg_Category Template_Actuals NEW_Biscuits Actual Results P01_Category Template_Actuals_Biscuits Actual Results P02_Category Template_Actuals" xfId="7457"/>
    <cellStyle name="_MBU6 LA Mfg_Category Template_Actuals NEW_Biscuits Actual Results P01_Category Template_Actuals_Biscuits Actual Results P02_Category Template_Actuals_Biscuits Actual Results P04" xfId="7458"/>
    <cellStyle name="_MBU6 LA Mfg_Category Template_Actuals NEW_Biscuits Actual Results P01_Category Template_Actuals_Biscuits Actual Results P02_Category Template_Actuals_P&amp;L P06 AFH AC US" xfId="7459"/>
    <cellStyle name="_MBU6 LA Mfg_Category Template_Actuals NEW_Biscuits Actual Results P01_Category Template_Actuals_Biscuits Actual Results P02_P&amp;L" xfId="7460"/>
    <cellStyle name="_MBU6 LA Mfg_Category Template_Actuals NEW_Biscuits Actual Results P01_Category Template_Actuals_Biscuits Actual Results P02_P&amp;L_P&amp;L KFE" xfId="7461"/>
    <cellStyle name="_MBU6 LA Mfg_Category Template_Actuals NEW_Biscuits Actual Results P01_Category Template_Actuals_Biscuits Actual Results P02_P&amp;L_Sheet3" xfId="7462"/>
    <cellStyle name="_MBU6 LA Mfg_Category Template_Actuals NEW_Biscuits Actual Results P01_Category Template_Actuals_Biscuits Actual Results P02_VRAN YTD" xfId="7463"/>
    <cellStyle name="_MBU6 LA Mfg_Category Template_Actuals NEW_Biscuits Actual Results P01_Category Template_Actuals_Biscuits Actual Results P04" xfId="7464"/>
    <cellStyle name="_MBU6 LA Mfg_Category Template_Actuals NEW_Biscuits Actual Results P01_Category Template_Actuals_P&amp;L" xfId="7465"/>
    <cellStyle name="_MBU6 LA Mfg_Category Template_Actuals NEW_Biscuits Actual Results P01_Category Template_Actuals_P&amp;L P06 AFH AC US" xfId="7466"/>
    <cellStyle name="_MBU6 LA Mfg_Category Template_Actuals NEW_Biscuits Actual Results P01_Category Template_Actuals_P&amp;L_P&amp;L KFE" xfId="7467"/>
    <cellStyle name="_MBU6 LA Mfg_Category Template_Actuals NEW_Biscuits Actual Results P01_Category Template_Actuals_P&amp;L_Sheet3" xfId="7468"/>
    <cellStyle name="_MBU6 LA Mfg_Category Template_Actuals NEW_Biscuits Actual Results P01_P&amp;L" xfId="7469"/>
    <cellStyle name="_MBU6 LA Mfg_Category Template_Actuals NEW_Biscuits Actual Results P01_P&amp;L_P&amp;L KFE" xfId="7470"/>
    <cellStyle name="_MBU6 LA Mfg_Category Template_Actuals NEW_Biscuits Actual Results P01_P&amp;L_Sheet3" xfId="7471"/>
    <cellStyle name="_MBU6 LA Mfg_Category Template_Actuals NEW_Biscuits Actual Results P01_VRAN YTD" xfId="7472"/>
    <cellStyle name="_MBU6 LA Mfg_Category Template_Actuals NEW_Biscuits Actual Results P02" xfId="7473"/>
    <cellStyle name="_MBU6 LA Mfg_Category Template_Actuals NEW_Biscuits Actual Results P02 2" xfId="7474"/>
    <cellStyle name="_MBU6 LA Mfg_Category Template_Actuals NEW_Biscuits Actual Results P02_Category Template_Actuals" xfId="7475"/>
    <cellStyle name="_MBU6 LA Mfg_Category Template_Actuals NEW_Biscuits Actual Results P02_Category Template_Actuals_Biscuits Actual Results P04" xfId="7476"/>
    <cellStyle name="_MBU6 LA Mfg_Category Template_Actuals NEW_Biscuits Actual Results P02_Category Template_Actuals_P&amp;L P06 AFH AC US" xfId="7477"/>
    <cellStyle name="_MBU6 LA Mfg_Category Template_Actuals NEW_Biscuits Actual Results P02_P&amp;L" xfId="7478"/>
    <cellStyle name="_MBU6 LA Mfg_Category Template_Actuals NEW_Biscuits Actual Results P02_P&amp;L_P&amp;L KFE" xfId="7479"/>
    <cellStyle name="_MBU6 LA Mfg_Category Template_Actuals NEW_Biscuits Actual Results P02_P&amp;L_Sheet3" xfId="7480"/>
    <cellStyle name="_MBU6 LA Mfg_Category Template_Actuals NEW_Biscuits Actual Results P02_VRAN YTD" xfId="7481"/>
    <cellStyle name="_MBU6 LA Mfg_Category Template_Actuals NEW_Biscuits Actual Results P04" xfId="7482"/>
    <cellStyle name="_MBU6 LA Mfg_Category Template_Actuals NEW_Biscuits Actual Results P1 BIS" xfId="7483"/>
    <cellStyle name="_MBU6 LA Mfg_Category Template_Actuals NEW_Biscuits Actual Results P1 BIS 2" xfId="7484"/>
    <cellStyle name="_MBU6 LA Mfg_Category Template_Actuals NEW_Biscuits Actual Results P1 BIS_Category Template_Actuals" xfId="7485"/>
    <cellStyle name="_MBU6 LA Mfg_Category Template_Actuals NEW_Biscuits Actual Results P1 BIS_Category Template_Actuals_Biscuits Actual Results P04" xfId="7486"/>
    <cellStyle name="_MBU6 LA Mfg_Category Template_Actuals NEW_Biscuits Actual Results P1 BIS_Category Template_Actuals_P&amp;L P06 AFH AC US" xfId="7487"/>
    <cellStyle name="_MBU6 LA Mfg_Category Template_Actuals NEW_Biscuits Actual Results P1 BIS_P&amp;L" xfId="7488"/>
    <cellStyle name="_MBU6 LA Mfg_Category Template_Actuals NEW_Biscuits Actual Results P1 BIS_P&amp;L_P&amp;L KFE" xfId="7489"/>
    <cellStyle name="_MBU6 LA Mfg_Category Template_Actuals NEW_Biscuits Actual Results P1 BIS_P&amp;L_Sheet3" xfId="7490"/>
    <cellStyle name="_MBU6 LA Mfg_Category Template_Actuals NEW_Biscuits Actual Results P1 BIS_VRAN YTD" xfId="7491"/>
    <cellStyle name="_MBU6 LA Mfg_Category Template_Actuals NEW_Biscuits Actual Results P12 161210" xfId="7492"/>
    <cellStyle name="_MBU6 LA Mfg_Category Template_Actuals NEW_Biscuits Actual Results P12 161210 2" xfId="7493"/>
    <cellStyle name="_MBU6 LA Mfg_Category Template_Actuals NEW_Biscuits Actual Results P12 161210_Category Template_Actuals" xfId="7494"/>
    <cellStyle name="_MBU6 LA Mfg_Category Template_Actuals NEW_Biscuits Actual Results P12 161210_Category Template_Actuals 2" xfId="7495"/>
    <cellStyle name="_MBU6 LA Mfg_Category Template_Actuals NEW_Biscuits Actual Results P12 161210_Category Template_Actuals_Biscuits Actual Results P02" xfId="7496"/>
    <cellStyle name="_MBU6 LA Mfg_Category Template_Actuals NEW_Biscuits Actual Results P12 161210_Category Template_Actuals_Biscuits Actual Results P02 2" xfId="7497"/>
    <cellStyle name="_MBU6 LA Mfg_Category Template_Actuals NEW_Biscuits Actual Results P12 161210_Category Template_Actuals_Biscuits Actual Results P02_Category Template_Actuals" xfId="7498"/>
    <cellStyle name="_MBU6 LA Mfg_Category Template_Actuals NEW_Biscuits Actual Results P12 161210_Category Template_Actuals_Biscuits Actual Results P02_Category Template_Actuals_Biscuits Actual Results P04" xfId="7499"/>
    <cellStyle name="_MBU6 LA Mfg_Category Template_Actuals NEW_Biscuits Actual Results P12 161210_Category Template_Actuals_Biscuits Actual Results P02_Category Template_Actuals_P&amp;L P06 AFH AC US" xfId="7500"/>
    <cellStyle name="_MBU6 LA Mfg_Category Template_Actuals NEW_Biscuits Actual Results P12 161210_Category Template_Actuals_Biscuits Actual Results P02_P&amp;L" xfId="7501"/>
    <cellStyle name="_MBU6 LA Mfg_Category Template_Actuals NEW_Biscuits Actual Results P12 161210_Category Template_Actuals_Biscuits Actual Results P02_P&amp;L_P&amp;L KFE" xfId="7502"/>
    <cellStyle name="_MBU6 LA Mfg_Category Template_Actuals NEW_Biscuits Actual Results P12 161210_Category Template_Actuals_Biscuits Actual Results P02_P&amp;L_Sheet3" xfId="7503"/>
    <cellStyle name="_MBU6 LA Mfg_Category Template_Actuals NEW_Biscuits Actual Results P12 161210_Category Template_Actuals_Biscuits Actual Results P02_VRAN YTD" xfId="7504"/>
    <cellStyle name="_MBU6 LA Mfg_Category Template_Actuals NEW_Biscuits Actual Results P12 161210_Category Template_Actuals_Biscuits Actual Results P04" xfId="7505"/>
    <cellStyle name="_MBU6 LA Mfg_Category Template_Actuals NEW_Biscuits Actual Results P12 161210_Category Template_Actuals_P&amp;L" xfId="7506"/>
    <cellStyle name="_MBU6 LA Mfg_Category Template_Actuals NEW_Biscuits Actual Results P12 161210_Category Template_Actuals_P&amp;L P06 AFH AC US" xfId="7507"/>
    <cellStyle name="_MBU6 LA Mfg_Category Template_Actuals NEW_Biscuits Actual Results P12 161210_Category Template_Actuals_P&amp;L_P&amp;L KFE" xfId="7508"/>
    <cellStyle name="_MBU6 LA Mfg_Category Template_Actuals NEW_Biscuits Actual Results P12 161210_Category Template_Actuals_P&amp;L_Sheet3" xfId="7509"/>
    <cellStyle name="_MBU6 LA Mfg_Category Template_Actuals NEW_Biscuits Actual Results P12 161210_P&amp;L" xfId="7510"/>
    <cellStyle name="_MBU6 LA Mfg_Category Template_Actuals NEW_Biscuits Actual Results P12 161210_P&amp;L_P&amp;L KFE" xfId="7511"/>
    <cellStyle name="_MBU6 LA Mfg_Category Template_Actuals NEW_Biscuits Actual Results P12 161210_P&amp;L_Sheet3" xfId="7512"/>
    <cellStyle name="_MBU6 LA Mfg_Category Template_Actuals NEW_Biscuits Actual Results P12 161210_VRAN YTD" xfId="7513"/>
    <cellStyle name="_MBU6 LA Mfg_Category Template_Actuals NEW_P&amp;L" xfId="7514"/>
    <cellStyle name="_MBU6 LA Mfg_Category Template_Actuals NEW_P&amp;L P06 AFH AC US" xfId="7515"/>
    <cellStyle name="_MBU6 LA Mfg_Category Template_Actuals NEW_P&amp;L_P&amp;L KFE" xfId="7516"/>
    <cellStyle name="_MBU6 LA Mfg_Category Template_Actuals NEW_P&amp;L_Sheet3" xfId="7517"/>
    <cellStyle name="_MBU6 LA Mfg_Category Template_Actuals_Biscuits Actual Results P02" xfId="7518"/>
    <cellStyle name="_MBU6 LA Mfg_Category Template_Actuals_Biscuits Actual Results P02 2" xfId="7519"/>
    <cellStyle name="_MBU6 LA Mfg_Category Template_Actuals_Biscuits Actual Results P02_Category Template_Actuals" xfId="7520"/>
    <cellStyle name="_MBU6 LA Mfg_Category Template_Actuals_Biscuits Actual Results P02_Category Template_Actuals_Biscuits Actual Results P04" xfId="7521"/>
    <cellStyle name="_MBU6 LA Mfg_Category Template_Actuals_Biscuits Actual Results P02_Category Template_Actuals_P&amp;L P06 AFH AC US" xfId="7522"/>
    <cellStyle name="_MBU6 LA Mfg_Category Template_Actuals_Biscuits Actual Results P02_P&amp;L" xfId="7523"/>
    <cellStyle name="_MBU6 LA Mfg_Category Template_Actuals_Biscuits Actual Results P02_P&amp;L_P&amp;L KFE" xfId="7524"/>
    <cellStyle name="_MBU6 LA Mfg_Category Template_Actuals_Biscuits Actual Results P02_P&amp;L_Sheet3" xfId="7525"/>
    <cellStyle name="_MBU6 LA Mfg_Category Template_Actuals_Biscuits Actual Results P02_VRAN YTD" xfId="7526"/>
    <cellStyle name="_MBU6 LA Mfg_Category Template_Actuals_Biscuits Actual Results P04" xfId="7527"/>
    <cellStyle name="_MBU6 LA Mfg_Category Template_Actuals_P&amp;L" xfId="7528"/>
    <cellStyle name="_MBU6 LA Mfg_Category Template_Actuals_P&amp;L P06 AFH AC US" xfId="7529"/>
    <cellStyle name="_MBU6 LA Mfg_Category Template_Actuals_P&amp;L_P&amp;L KFE" xfId="7530"/>
    <cellStyle name="_MBU6 LA Mfg_Category Template_Actuals_P&amp;L_Sheet3" xfId="7531"/>
    <cellStyle name="_MBU6 LA Mfg_KFE Category PnL template_Combined_P03 (2)" xfId="7532"/>
    <cellStyle name="_MBU6 LA Mfg_KFE Category PnL template_Combined_P03 (2)_P&amp;L KFE" xfId="7533"/>
    <cellStyle name="_MBU6 LA Mfg_KFE Category PnL template_Combined_P03 (2)_Sheet3" xfId="7534"/>
    <cellStyle name="_MBU6 LA Mfg_KFE Category PnL template_Kraft Legacy (2)" xfId="7535"/>
    <cellStyle name="_MBU6 LA Mfg_KFE Category PnL template_Kraft Legacy (2)_P&amp;L KFE" xfId="7536"/>
    <cellStyle name="_MBU6 LA Mfg_KFE Category PnL template_Kraft Legacy (2)_Sheet3" xfId="7537"/>
    <cellStyle name="_MBU6 LA Mfg_KFE Category PnL template_Kraft Legacy (4)" xfId="7538"/>
    <cellStyle name="_MBU6 LA Mfg_KFE Category PnL template_Kraft Legacy (4)_P&amp;L KFE" xfId="7539"/>
    <cellStyle name="_MBU6 LA Mfg_KFE Category PnL template_Kraft Legacy (4)_Sheet3" xfId="7540"/>
    <cellStyle name="_MBU6 LA Mfg_OI Bridge 0" xfId="7541"/>
    <cellStyle name="_MBU6 LA Mfg_OI Bridge 0_1" xfId="7542"/>
    <cellStyle name="_MBU6 LA Mfg_OI Bridge 1" xfId="7543"/>
    <cellStyle name="_MBU6 LA Mfg_P&amp;L" xfId="7544"/>
    <cellStyle name="_MBU6 LA Mfg_P&amp;L_P&amp;L KFE" xfId="7545"/>
    <cellStyle name="_MBU6 LA Mfg_P&amp;L_Sheet3" xfId="7546"/>
    <cellStyle name="_MBU6 LA Mfg_Scorecard P02" xfId="7547"/>
    <cellStyle name="_MBU6 LA Mfg_Sheet1" xfId="7548"/>
    <cellStyle name="_MBU6 LA Mfg_VRAN YTD" xfId="7549"/>
    <cellStyle name="_MBU6 LA Mfg_VRAN YTD 2" xfId="7550"/>
    <cellStyle name="_MBU6 LA Mfg_VRAN YTD_Biscuits Actual Results P01" xfId="7551"/>
    <cellStyle name="_MBU6 LA Mfg_VRAN YTD_Biscuits Actual Results P01 2" xfId="7552"/>
    <cellStyle name="_MBU6 LA Mfg_VRAN YTD_Biscuits Actual Results P01_Category Template_Actuals" xfId="7553"/>
    <cellStyle name="_MBU6 LA Mfg_VRAN YTD_Biscuits Actual Results P01_Category Template_Actuals 2" xfId="7554"/>
    <cellStyle name="_MBU6 LA Mfg_VRAN YTD_Biscuits Actual Results P01_Category Template_Actuals_Biscuits Actual Results P02" xfId="7555"/>
    <cellStyle name="_MBU6 LA Mfg_VRAN YTD_Biscuits Actual Results P01_Category Template_Actuals_Biscuits Actual Results P02 2" xfId="7556"/>
    <cellStyle name="_MBU6 LA Mfg_VRAN YTD_Biscuits Actual Results P01_Category Template_Actuals_Biscuits Actual Results P02_Category Template_Actuals" xfId="7557"/>
    <cellStyle name="_MBU6 LA Mfg_VRAN YTD_Biscuits Actual Results P01_Category Template_Actuals_Biscuits Actual Results P02_Category Template_Actuals_Biscuits Actual Results P04" xfId="7558"/>
    <cellStyle name="_MBU6 LA Mfg_VRAN YTD_Biscuits Actual Results P01_Category Template_Actuals_Biscuits Actual Results P02_Category Template_Actuals_P&amp;L P06 AFH AC US" xfId="7559"/>
    <cellStyle name="_MBU6 LA Mfg_VRAN YTD_Biscuits Actual Results P01_Category Template_Actuals_Biscuits Actual Results P02_P&amp;L" xfId="7560"/>
    <cellStyle name="_MBU6 LA Mfg_VRAN YTD_Biscuits Actual Results P01_Category Template_Actuals_Biscuits Actual Results P02_P&amp;L_P&amp;L KFE" xfId="7561"/>
    <cellStyle name="_MBU6 LA Mfg_VRAN YTD_Biscuits Actual Results P01_Category Template_Actuals_Biscuits Actual Results P02_P&amp;L_Sheet3" xfId="7562"/>
    <cellStyle name="_MBU6 LA Mfg_VRAN YTD_Biscuits Actual Results P01_Category Template_Actuals_Biscuits Actual Results P02_VRAN YTD" xfId="7563"/>
    <cellStyle name="_MBU6 LA Mfg_VRAN YTD_Biscuits Actual Results P01_Category Template_Actuals_Biscuits Actual Results P04" xfId="7564"/>
    <cellStyle name="_MBU6 LA Mfg_VRAN YTD_Biscuits Actual Results P01_Category Template_Actuals_P&amp;L" xfId="7565"/>
    <cellStyle name="_MBU6 LA Mfg_VRAN YTD_Biscuits Actual Results P01_Category Template_Actuals_P&amp;L P06 AFH AC US" xfId="7566"/>
    <cellStyle name="_MBU6 LA Mfg_VRAN YTD_Biscuits Actual Results P01_Category Template_Actuals_P&amp;L_P&amp;L KFE" xfId="7567"/>
    <cellStyle name="_MBU6 LA Mfg_VRAN YTD_Biscuits Actual Results P01_Category Template_Actuals_P&amp;L_Sheet3" xfId="7568"/>
    <cellStyle name="_MBU6 LA Mfg_VRAN YTD_Biscuits Actual Results P01_P&amp;L" xfId="7569"/>
    <cellStyle name="_MBU6 LA Mfg_VRAN YTD_Biscuits Actual Results P01_P&amp;L_P&amp;L KFE" xfId="7570"/>
    <cellStyle name="_MBU6 LA Mfg_VRAN YTD_Biscuits Actual Results P01_P&amp;L_Sheet3" xfId="7571"/>
    <cellStyle name="_MBU6 LA Mfg_VRAN YTD_Biscuits Actual Results P01_VRAN YTD" xfId="7572"/>
    <cellStyle name="_MBU6 LA Mfg_VRAN YTD_Biscuits Actual Results P02" xfId="7573"/>
    <cellStyle name="_MBU6 LA Mfg_VRAN YTD_Biscuits Actual Results P02 2" xfId="7574"/>
    <cellStyle name="_MBU6 LA Mfg_VRAN YTD_Biscuits Actual Results P02_Category Template_Actuals" xfId="7575"/>
    <cellStyle name="_MBU6 LA Mfg_VRAN YTD_Biscuits Actual Results P02_Category Template_Actuals_Biscuits Actual Results P04" xfId="7576"/>
    <cellStyle name="_MBU6 LA Mfg_VRAN YTD_Biscuits Actual Results P02_Category Template_Actuals_P&amp;L P06 AFH AC US" xfId="7577"/>
    <cellStyle name="_MBU6 LA Mfg_VRAN YTD_Biscuits Actual Results P02_P&amp;L" xfId="7578"/>
    <cellStyle name="_MBU6 LA Mfg_VRAN YTD_Biscuits Actual Results P02_P&amp;L_P&amp;L KFE" xfId="7579"/>
    <cellStyle name="_MBU6 LA Mfg_VRAN YTD_Biscuits Actual Results P02_P&amp;L_Sheet3" xfId="7580"/>
    <cellStyle name="_MBU6 LA Mfg_VRAN YTD_Biscuits Actual Results P02_VRAN YTD" xfId="7581"/>
    <cellStyle name="_MBU6 LA Mfg_VRAN YTD_Biscuits Actual Results P04" xfId="7582"/>
    <cellStyle name="_MBU6 LA Mfg_VRAN YTD_Biscuits Actual Results P1 BIS" xfId="7583"/>
    <cellStyle name="_MBU6 LA Mfg_VRAN YTD_Biscuits Actual Results P1 BIS 2" xfId="7584"/>
    <cellStyle name="_MBU6 LA Mfg_VRAN YTD_Biscuits Actual Results P1 BIS_Category Template_Actuals" xfId="7585"/>
    <cellStyle name="_MBU6 LA Mfg_VRAN YTD_Biscuits Actual Results P1 BIS_Category Template_Actuals_Biscuits Actual Results P04" xfId="7586"/>
    <cellStyle name="_MBU6 LA Mfg_VRAN YTD_Biscuits Actual Results P1 BIS_Category Template_Actuals_P&amp;L P06 AFH AC US" xfId="7587"/>
    <cellStyle name="_MBU6 LA Mfg_VRAN YTD_Biscuits Actual Results P1 BIS_P&amp;L" xfId="7588"/>
    <cellStyle name="_MBU6 LA Mfg_VRAN YTD_Biscuits Actual Results P1 BIS_P&amp;L_P&amp;L KFE" xfId="7589"/>
    <cellStyle name="_MBU6 LA Mfg_VRAN YTD_Biscuits Actual Results P1 BIS_P&amp;L_Sheet3" xfId="7590"/>
    <cellStyle name="_MBU6 LA Mfg_VRAN YTD_Biscuits Actual Results P1 BIS_VRAN YTD" xfId="7591"/>
    <cellStyle name="_MBU6 LA Mfg_VRAN YTD_Biscuits Actual Results P12 161210" xfId="7592"/>
    <cellStyle name="_MBU6 LA Mfg_VRAN YTD_Biscuits Actual Results P12 161210 2" xfId="7593"/>
    <cellStyle name="_MBU6 LA Mfg_VRAN YTD_Biscuits Actual Results P12 161210_Category Template_Actuals" xfId="7594"/>
    <cellStyle name="_MBU6 LA Mfg_VRAN YTD_Biscuits Actual Results P12 161210_Category Template_Actuals 2" xfId="7595"/>
    <cellStyle name="_MBU6 LA Mfg_VRAN YTD_Biscuits Actual Results P12 161210_Category Template_Actuals_Biscuits Actual Results P02" xfId="7596"/>
    <cellStyle name="_MBU6 LA Mfg_VRAN YTD_Biscuits Actual Results P12 161210_Category Template_Actuals_Biscuits Actual Results P02 2" xfId="7597"/>
    <cellStyle name="_MBU6 LA Mfg_VRAN YTD_Biscuits Actual Results P12 161210_Category Template_Actuals_Biscuits Actual Results P02_Category Template_Actuals" xfId="7598"/>
    <cellStyle name="_MBU6 LA Mfg_VRAN YTD_Biscuits Actual Results P12 161210_Category Template_Actuals_Biscuits Actual Results P02_Category Template_Actuals_Biscuits Actual Results P04" xfId="7599"/>
    <cellStyle name="_MBU6 LA Mfg_VRAN YTD_Biscuits Actual Results P12 161210_Category Template_Actuals_Biscuits Actual Results P02_Category Template_Actuals_P&amp;L P06 AFH AC US" xfId="7600"/>
    <cellStyle name="_MBU6 LA Mfg_VRAN YTD_Biscuits Actual Results P12 161210_Category Template_Actuals_Biscuits Actual Results P02_P&amp;L" xfId="7601"/>
    <cellStyle name="_MBU6 LA Mfg_VRAN YTD_Biscuits Actual Results P12 161210_Category Template_Actuals_Biscuits Actual Results P02_P&amp;L_P&amp;L KFE" xfId="7602"/>
    <cellStyle name="_MBU6 LA Mfg_VRAN YTD_Biscuits Actual Results P12 161210_Category Template_Actuals_Biscuits Actual Results P02_P&amp;L_Sheet3" xfId="7603"/>
    <cellStyle name="_MBU6 LA Mfg_VRAN YTD_Biscuits Actual Results P12 161210_Category Template_Actuals_Biscuits Actual Results P02_VRAN YTD" xfId="7604"/>
    <cellStyle name="_MBU6 LA Mfg_VRAN YTD_Biscuits Actual Results P12 161210_Category Template_Actuals_Biscuits Actual Results P04" xfId="7605"/>
    <cellStyle name="_MBU6 LA Mfg_VRAN YTD_Biscuits Actual Results P12 161210_Category Template_Actuals_P&amp;L" xfId="7606"/>
    <cellStyle name="_MBU6 LA Mfg_VRAN YTD_Biscuits Actual Results P12 161210_Category Template_Actuals_P&amp;L P06 AFH AC US" xfId="7607"/>
    <cellStyle name="_MBU6 LA Mfg_VRAN YTD_Biscuits Actual Results P12 161210_Category Template_Actuals_P&amp;L_P&amp;L KFE" xfId="7608"/>
    <cellStyle name="_MBU6 LA Mfg_VRAN YTD_Biscuits Actual Results P12 161210_Category Template_Actuals_P&amp;L_Sheet3" xfId="7609"/>
    <cellStyle name="_MBU6 LA Mfg_VRAN YTD_Biscuits Actual Results P12 161210_P&amp;L" xfId="7610"/>
    <cellStyle name="_MBU6 LA Mfg_VRAN YTD_Biscuits Actual Results P12 161210_P&amp;L_P&amp;L KFE" xfId="7611"/>
    <cellStyle name="_MBU6 LA Mfg_VRAN YTD_Biscuits Actual Results P12 161210_P&amp;L_Sheet3" xfId="7612"/>
    <cellStyle name="_MBU6 LA Mfg_VRAN YTD_Biscuits Actual Results P12 161210_VRAN YTD" xfId="7613"/>
    <cellStyle name="_MBU6 LA Mfg_VRAN YTD_P&amp;L" xfId="7614"/>
    <cellStyle name="_MBU6 LA Mfg_VRAN YTD_P&amp;L P06 AFH AC US" xfId="7615"/>
    <cellStyle name="_MBU6 LA Mfg_VRAN YTD_P&amp;L_P&amp;L KFE" xfId="7616"/>
    <cellStyle name="_MBU6 LA Mfg_VRAN YTD_P&amp;L_Sheet3" xfId="7617"/>
    <cellStyle name="_MBU6 LA Mfg_WP_AC11 P&amp;L LFL 27.10.10" xfId="7618"/>
    <cellStyle name="_MCD cost allocation to countries (4)" xfId="7619"/>
    <cellStyle name="_MCD cost allocation to countries (4) 2" xfId="7620"/>
    <cellStyle name="_MCD cost allocation to countries (4) 2_P&amp;L KFE" xfId="7621"/>
    <cellStyle name="_MCD cost allocation to countries (4) 2_Sheet3" xfId="7622"/>
    <cellStyle name="_MCD cost allocation to countries (4)_P&amp;L KFE" xfId="7623"/>
    <cellStyle name="_MCD cost allocation to countries (4)_Sheet3" xfId="7624"/>
    <cellStyle name="_MEA - Contract 2010 CV1 - IT Costs with FX" xfId="7625"/>
    <cellStyle name="_Melbourne CC Proposed" xfId="7626"/>
    <cellStyle name="_Mgmt bridge AC'11 vs Aug Fc" xfId="7627"/>
    <cellStyle name="_Mgmt bridge AC'11 vs Aug Fc 2" xfId="7628"/>
    <cellStyle name="_Mgmt bridge AC'11 vs Aug Fc_Category Template AC'11 @Cst Fx 52W vs 53W" xfId="7629"/>
    <cellStyle name="_Mgmt bridge AC'11 vs Aug Fc_Category Template AC'11 @Cst Fx 52W vs 53W 2" xfId="7630"/>
    <cellStyle name="_Mgmt bridge AC'11 vs Aug Fc_Category Template AC'11 @Cst Fx 52W vs 53W_P&amp;L KFE" xfId="7631"/>
    <cellStyle name="_Mgmt bridge AC'11 vs Aug Fc_Category Template AC'11 @Cst Fx 52W vs 53W_Sheet3" xfId="7632"/>
    <cellStyle name="_Mgmt bridge AC'11 vs Aug Fc_P&amp;L KFE" xfId="7633"/>
    <cellStyle name="_Mgmt bridge AC'11 vs Aug Fc_Sheet3" xfId="7634"/>
    <cellStyle name="_Minimal sheets pivot" xfId="7635"/>
    <cellStyle name="_MIP valuation 2009_FY_flat" xfId="7636"/>
    <cellStyle name="_MIP valuation 2009_FY_flat 2" xfId="7637"/>
    <cellStyle name="_Month-end Control File_Mar 09" xfId="7638"/>
    <cellStyle name="_MPL Pack AP2009 EU final corrected" xfId="7639"/>
    <cellStyle name="_MPL Pack AP2009 EU final corrected 2" xfId="7640"/>
    <cellStyle name="_MPL Pack AP2009 EU final corrected 2_P&amp;L KFE" xfId="7641"/>
    <cellStyle name="_MPL Pack AP2009 EU final corrected 2_Sheet3" xfId="7642"/>
    <cellStyle name="_MPL Pack AP2009 EU final corrected_P&amp;L KFE" xfId="7643"/>
    <cellStyle name="_MPL Pack AP2009 EU final corrected_Sheet3" xfId="7644"/>
    <cellStyle name="_My check sheet" xfId="7645"/>
    <cellStyle name="_My check sheet_2009 Period 4 review IT21560 Data Centre" xfId="7646"/>
    <cellStyle name="_My check sheet_Global_Hosting_Services_v02" xfId="7647"/>
    <cellStyle name="_My check sheet_GP25000 BIMA_Central Functions_ IT Management_3+9" xfId="7648"/>
    <cellStyle name="_My check sheet_GP25055 EUS - Desktop Technology Management_Sept 08" xfId="7649"/>
    <cellStyle name="_My check sheet_GP25056 Global Service Desk (UK) 2009" xfId="7650"/>
    <cellStyle name="_My check sheet_GP25057_EUS_Shared_2009_CC_Report" xfId="7651"/>
    <cellStyle name="_My check sheet_GP25060 Global Hosting Services 3+9F v5" xfId="7652"/>
    <cellStyle name="_My check sheet_GP25060 Global Hosting Services_2009 v10 PD" xfId="7653"/>
    <cellStyle name="_My check sheet_SAP" xfId="7654"/>
    <cellStyle name="_My check sheet_Sheet1" xfId="7655"/>
    <cellStyle name="_My check sheet_Sheet2" xfId="7656"/>
    <cellStyle name="_Net net 2010 vs ACT 09 (3)" xfId="7657"/>
    <cellStyle name="_New initiati" xfId="7658"/>
    <cellStyle name="_New initiati 2" xfId="7659"/>
    <cellStyle name="_New initiati_P&amp;L KFE" xfId="7660"/>
    <cellStyle name="_New initiati_Sheet3" xfId="7661"/>
    <cellStyle name="_New initiative 2004 Launch Schedule(for sales)" xfId="7662"/>
    <cellStyle name="_New initiative 2004 Launch Schedule(for sales) 2" xfId="7663"/>
    <cellStyle name="_New initiative 2004 Launch Schedule(for sales)_Book5" xfId="7664"/>
    <cellStyle name="_New initiative 2004 Launch Schedule(for sales)_Book5 2" xfId="7665"/>
    <cellStyle name="_New initiative 2004 Launch Schedule(for sales)_Book5_Category Template AC'11 @Cst Fx 52W vs 53W" xfId="7666"/>
    <cellStyle name="_New initiative 2004 Launch Schedule(for sales)_Book5_Category Template AC'11 @Cst Fx 52W vs 53W 2" xfId="7667"/>
    <cellStyle name="_New initiative 2004 Launch Schedule(for sales)_Book5_Category Template AC'11 @Cst Fx 52W vs 53W_P&amp;L KFE" xfId="7668"/>
    <cellStyle name="_New initiative 2004 Launch Schedule(for sales)_Book5_Category Template AC'11 @Cst Fx 52W vs 53W_Sheet3" xfId="7669"/>
    <cellStyle name="_New initiative 2004 Launch Schedule(for sales)_Book5_P&amp;L KFE" xfId="7670"/>
    <cellStyle name="_New initiative 2004 Launch Schedule(for sales)_Book5_Sheet3" xfId="7671"/>
    <cellStyle name="_New initiative 2004 Launch Schedule(for sales)_CA Masterflow June 15a" xfId="7672"/>
    <cellStyle name="_New initiative 2004 Launch Schedule(for sales)_CA Masterflow June 15a 2" xfId="7673"/>
    <cellStyle name="_New initiative 2004 Launch Schedule(for sales)_CA Masterflow June 15a_Book5" xfId="7674"/>
    <cellStyle name="_New initiative 2004 Launch Schedule(for sales)_CA Masterflow June 15a_Book5 2" xfId="7675"/>
    <cellStyle name="_New initiative 2004 Launch Schedule(for sales)_CA Masterflow June 15a_Book5_Category Template AC'11 @Cst Fx 52W vs 53W" xfId="7676"/>
    <cellStyle name="_New initiative 2004 Launch Schedule(for sales)_CA Masterflow June 15a_Book5_Category Template AC'11 @Cst Fx 52W vs 53W 2" xfId="7677"/>
    <cellStyle name="_New initiative 2004 Launch Schedule(for sales)_CA Masterflow June 15a_Book5_Category Template AC'11 @Cst Fx 52W vs 53W_P&amp;L KFE" xfId="7678"/>
    <cellStyle name="_New initiative 2004 Launch Schedule(for sales)_CA Masterflow June 15a_Book5_Category Template AC'11 @Cst Fx 52W vs 53W_Sheet3" xfId="7679"/>
    <cellStyle name="_New initiative 2004 Launch Schedule(for sales)_CA Masterflow June 15a_Book5_P&amp;L KFE" xfId="7680"/>
    <cellStyle name="_New initiative 2004 Launch Schedule(for sales)_CA Masterflow June 15a_Book5_Sheet3" xfId="7681"/>
    <cellStyle name="_New initiative 2004 Launch Schedule(for sales)_CA Masterflow June 15a_Category Template AC'11 @Cst Fx 52W vs 53W" xfId="7682"/>
    <cellStyle name="_New initiative 2004 Launch Schedule(for sales)_CA Masterflow June 15a_Category Template AC'11 @Cst Fx 52W vs 53W 2" xfId="7683"/>
    <cellStyle name="_New initiative 2004 Launch Schedule(for sales)_CA Masterflow June 15a_Category Template AC'11 @Cst Fx 52W vs 53W_P&amp;L KFE" xfId="7684"/>
    <cellStyle name="_New initiative 2004 Launch Schedule(for sales)_CA Masterflow June 15a_Category Template AC'11 @Cst Fx 52W vs 53W_Sheet3" xfId="7685"/>
    <cellStyle name="_New initiative 2004 Launch Schedule(for sales)_CA Masterflow June 15a_P&amp;L KFE" xfId="7686"/>
    <cellStyle name="_New initiative 2004 Launch Schedule(for sales)_CA Masterflow June 15a_Sheet3" xfId="7687"/>
    <cellStyle name="_New initiative 2004 Launch Schedule(for sales)_CA Masterflow June 15a_Wrigley - 05 budget&amp;calendar LE 050728 (25I)" xfId="7688"/>
    <cellStyle name="_New initiative 2004 Launch Schedule(for sales)_CA Masterflow June 15a_Wrigley - 05 budget&amp;calendar LE 050728 (25I) 2" xfId="7689"/>
    <cellStyle name="_New initiative 2004 Launch Schedule(for sales)_CA Masterflow June 15a_Wrigley - 05 budget&amp;calendar LE 050728 (25I)_Category Template AC'11 @Cst Fx 52W vs 53W" xfId="7690"/>
    <cellStyle name="_New initiative 2004 Launch Schedule(for sales)_CA Masterflow June 15a_Wrigley - 05 budget&amp;calendar LE 050728 (25I)_Category Template AC'11 @Cst Fx 52W vs 53W 2" xfId="7691"/>
    <cellStyle name="_New initiative 2004 Launch Schedule(for sales)_CA Masterflow June 15a_Wrigley - 05 budget&amp;calendar LE 050728 (25I)_Category Template AC'11 @Cst Fx 52W vs 53W_P&amp;L KFE" xfId="7692"/>
    <cellStyle name="_New initiative 2004 Launch Schedule(for sales)_CA Masterflow June 15a_Wrigley - 05 budget&amp;calendar LE 050728 (25I)_Category Template AC'11 @Cst Fx 52W vs 53W_Sheet3" xfId="7693"/>
    <cellStyle name="_New initiative 2004 Launch Schedule(for sales)_CA Masterflow June 15a_Wrigley - 05 budget&amp;calendar LE 050728 (25I)_P&amp;L KFE" xfId="7694"/>
    <cellStyle name="_New initiative 2004 Launch Schedule(for sales)_CA Masterflow June 15a_Wrigley - 05 budget&amp;calendar LE 050728 (25I)_Sheet3" xfId="7695"/>
    <cellStyle name="_New initiative 2004 Launch Schedule(for sales)_CA Masterflow June 15a_Wrigley - 05 budget&amp;calendar LE 050728 (25I)_Wrigley - 06 simple chart Sep 14" xfId="7696"/>
    <cellStyle name="_New initiative 2004 Launch Schedule(for sales)_CA Masterflow June 15a_Wrigley - 05 budget&amp;calendar LE 050728 (25I)_Wrigley - 06 simple chart Sep 14 2" xfId="7697"/>
    <cellStyle name="_New initiative 2004 Launch Schedule(for sales)_CA Masterflow June 15a_Wrigley - 05 budget&amp;calendar LE 050728 (25I)_Wrigley - 06 simple chart Sep 14_Category Template AC'11 @Cst Fx 52W vs 53W" xfId="7698"/>
    <cellStyle name="_New initiative 2004 Launch Schedule(for sales)_CA Masterflow June 15a_Wrigley - 05 budget&amp;calendar LE 050728 (25I)_Wrigley - 06 simple chart Sep 14_Category Template AC'11 @Cst Fx 52W vs 53W 2" xfId="7699"/>
    <cellStyle name="_New initiative 2004 Launch Schedule(for sales)_CA Masterflow June 15a_Wrigley - 05 budget&amp;calendar LE 050728 (25I)_Wrigley - 06 simple chart Sep 14_Category Template AC'11 @Cst Fx 52W vs 53W_P&amp;L KFE" xfId="7700"/>
    <cellStyle name="_New initiative 2004 Launch Schedule(for sales)_CA Masterflow June 15a_Wrigley - 05 budget&amp;calendar LE 050728 (25I)_Wrigley - 06 simple chart Sep 14_Category Template AC'11 @Cst Fx 52W vs 53W_Sheet3" xfId="7701"/>
    <cellStyle name="_New initiative 2004 Launch Schedule(for sales)_CA Masterflow June 15a_Wrigley - 05 budget&amp;calendar LE 050728 (25I)_Wrigley - 06 simple chart Sep 14_P&amp;L KFE" xfId="7702"/>
    <cellStyle name="_New initiative 2004 Launch Schedule(for sales)_CA Masterflow June 15a_Wrigley - 05 budget&amp;calendar LE 050728 (25I)_Wrigley - 06 simple chart Sep 14_Sheet3" xfId="7703"/>
    <cellStyle name="_New initiative 2004 Launch Schedule(for sales)_CA Masterflow June 15a_Wrigley - 05 budget&amp;calendar LE 050824 (25F)" xfId="7704"/>
    <cellStyle name="_New initiative 2004 Launch Schedule(for sales)_CA Masterflow June 15a_Wrigley - 05 budget&amp;calendar LE 050824 (25F) 2" xfId="7705"/>
    <cellStyle name="_New initiative 2004 Launch Schedule(for sales)_CA Masterflow June 15a_Wrigley - 05 budget&amp;calendar LE 050824 (25F)_Category Template AC'11 @Cst Fx 52W vs 53W" xfId="7706"/>
    <cellStyle name="_New initiative 2004 Launch Schedule(for sales)_CA Masterflow June 15a_Wrigley - 05 budget&amp;calendar LE 050824 (25F)_Category Template AC'11 @Cst Fx 52W vs 53W 2" xfId="7707"/>
    <cellStyle name="_New initiative 2004 Launch Schedule(for sales)_CA Masterflow June 15a_Wrigley - 05 budget&amp;calendar LE 050824 (25F)_Category Template AC'11 @Cst Fx 52W vs 53W_P&amp;L KFE" xfId="7708"/>
    <cellStyle name="_New initiative 2004 Launch Schedule(for sales)_CA Masterflow June 15a_Wrigley - 05 budget&amp;calendar LE 050824 (25F)_Category Template AC'11 @Cst Fx 52W vs 53W_Sheet3" xfId="7709"/>
    <cellStyle name="_New initiative 2004 Launch Schedule(for sales)_CA Masterflow June 15a_Wrigley - 05 budget&amp;calendar LE 050824 (25F)_P&amp;L KFE" xfId="7710"/>
    <cellStyle name="_New initiative 2004 Launch Schedule(for sales)_CA Masterflow June 15a_Wrigley - 05 budget&amp;calendar LE 050824 (25F)_Sheet3" xfId="7711"/>
    <cellStyle name="_New initiative 2004 Launch Schedule(for sales)_CA Masterflow June 15a_Wrigley - 05 budget&amp;calendar LE 050824 (25F)_Wrigley - 06 simple chart Sep 14" xfId="7712"/>
    <cellStyle name="_New initiative 2004 Launch Schedule(for sales)_CA Masterflow June 15a_Wrigley - 05 budget&amp;calendar LE 050824 (25F)_Wrigley - 06 simple chart Sep 14 2" xfId="7713"/>
    <cellStyle name="_New initiative 2004 Launch Schedule(for sales)_CA Masterflow June 15a_Wrigley - 05 budget&amp;calendar LE 050824 (25F)_Wrigley - 06 simple chart Sep 14_Category Template AC'11 @Cst Fx 52W vs 53W" xfId="7714"/>
    <cellStyle name="_New initiative 2004 Launch Schedule(for sales)_CA Masterflow June 15a_Wrigley - 05 budget&amp;calendar LE 050824 (25F)_Wrigley - 06 simple chart Sep 14_Category Template AC'11 @Cst Fx 52W vs 53W 2" xfId="7715"/>
    <cellStyle name="_New initiative 2004 Launch Schedule(for sales)_CA Masterflow June 15a_Wrigley - 05 budget&amp;calendar LE 050824 (25F)_Wrigley - 06 simple chart Sep 14_Category Template AC'11 @Cst Fx 52W vs 53W_P&amp;L KFE" xfId="7716"/>
    <cellStyle name="_New initiative 2004 Launch Schedule(for sales)_CA Masterflow June 15a_Wrigley - 05 budget&amp;calendar LE 050824 (25F)_Wrigley - 06 simple chart Sep 14_Category Template AC'11 @Cst Fx 52W vs 53W_Sheet3" xfId="7717"/>
    <cellStyle name="_New initiative 2004 Launch Schedule(for sales)_CA Masterflow June 15a_Wrigley - 05 budget&amp;calendar LE 050824 (25F)_Wrigley - 06 simple chart Sep 14_P&amp;L KFE" xfId="7718"/>
    <cellStyle name="_New initiative 2004 Launch Schedule(for sales)_CA Masterflow June 15a_Wrigley - 05 budget&amp;calendar LE 050824 (25F)_Wrigley - 06 simple chart Sep 14_Sheet3" xfId="7719"/>
    <cellStyle name="_New initiative 2004 Launch Schedule(for sales)_CA Masterflow June 15a_Wrigley - 05 budget&amp;calendar LE 050824 (25I)" xfId="7720"/>
    <cellStyle name="_New initiative 2004 Launch Schedule(for sales)_CA Masterflow June 15a_Wrigley - 05 budget&amp;calendar LE 050824 (25I) 2" xfId="7721"/>
    <cellStyle name="_New initiative 2004 Launch Schedule(for sales)_CA Masterflow June 15a_Wrigley - 05 budget&amp;calendar LE 050824 (25I)_Category Template AC'11 @Cst Fx 52W vs 53W" xfId="7722"/>
    <cellStyle name="_New initiative 2004 Launch Schedule(for sales)_CA Masterflow June 15a_Wrigley - 05 budget&amp;calendar LE 050824 (25I)_Category Template AC'11 @Cst Fx 52W vs 53W 2" xfId="7723"/>
    <cellStyle name="_New initiative 2004 Launch Schedule(for sales)_CA Masterflow June 15a_Wrigley - 05 budget&amp;calendar LE 050824 (25I)_Category Template AC'11 @Cst Fx 52W vs 53W_P&amp;L KFE" xfId="7724"/>
    <cellStyle name="_New initiative 2004 Launch Schedule(for sales)_CA Masterflow June 15a_Wrigley - 05 budget&amp;calendar LE 050824 (25I)_Category Template AC'11 @Cst Fx 52W vs 53W_Sheet3" xfId="7725"/>
    <cellStyle name="_New initiative 2004 Launch Schedule(for sales)_CA Masterflow June 15a_Wrigley - 05 budget&amp;calendar LE 050824 (25I)_P&amp;L KFE" xfId="7726"/>
    <cellStyle name="_New initiative 2004 Launch Schedule(for sales)_CA Masterflow June 15a_Wrigley - 05 budget&amp;calendar LE 050824 (25I)_Sheet3" xfId="7727"/>
    <cellStyle name="_New initiative 2004 Launch Schedule(for sales)_CA Masterflow June 15a_Wrigley - 05 budget&amp;calendar LE 050824 (25I)_Wrigley - 06 simple chart Sep 14" xfId="7728"/>
    <cellStyle name="_New initiative 2004 Launch Schedule(for sales)_CA Masterflow June 15a_Wrigley - 05 budget&amp;calendar LE 050824 (25I)_Wrigley - 06 simple chart Sep 14 2" xfId="7729"/>
    <cellStyle name="_New initiative 2004 Launch Schedule(for sales)_CA Masterflow June 15a_Wrigley - 05 budget&amp;calendar LE 050824 (25I)_Wrigley - 06 simple chart Sep 14_Category Template AC'11 @Cst Fx 52W vs 53W" xfId="7730"/>
    <cellStyle name="_New initiative 2004 Launch Schedule(for sales)_CA Masterflow June 15a_Wrigley - 05 budget&amp;calendar LE 050824 (25I)_Wrigley - 06 simple chart Sep 14_Category Template AC'11 @Cst Fx 52W vs 53W 2" xfId="7731"/>
    <cellStyle name="_New initiative 2004 Launch Schedule(for sales)_CA Masterflow June 15a_Wrigley - 05 budget&amp;calendar LE 050824 (25I)_Wrigley - 06 simple chart Sep 14_Category Template AC'11 @Cst Fx 52W vs 53W_P&amp;L KFE" xfId="7732"/>
    <cellStyle name="_New initiative 2004 Launch Schedule(for sales)_CA Masterflow June 15a_Wrigley - 05 budget&amp;calendar LE 050824 (25I)_Wrigley - 06 simple chart Sep 14_Category Template AC'11 @Cst Fx 52W vs 53W_Sheet3" xfId="7733"/>
    <cellStyle name="_New initiative 2004 Launch Schedule(for sales)_CA Masterflow June 15a_Wrigley - 05 budget&amp;calendar LE 050824 (25I)_Wrigley - 06 simple chart Sep 14_P&amp;L KFE" xfId="7734"/>
    <cellStyle name="_New initiative 2004 Launch Schedule(for sales)_CA Masterflow June 15a_Wrigley - 05 budget&amp;calendar LE 050824 (25I)_Wrigley - 06 simple chart Sep 14_Sheet3" xfId="7735"/>
    <cellStyle name="_New initiative 2004 Launch Schedule(for sales)_CA Masterflow June 15a_Wrigley - 06 simple chart Sep 14" xfId="7736"/>
    <cellStyle name="_New initiative 2004 Launch Schedule(for sales)_CA Masterflow June 15a_Wrigley - 06 simple chart Sep 14 2" xfId="7737"/>
    <cellStyle name="_New initiative 2004 Launch Schedule(for sales)_CA Masterflow June 15a_Wrigley - 06 simple chart Sep 14_Category Template AC'11 @Cst Fx 52W vs 53W" xfId="7738"/>
    <cellStyle name="_New initiative 2004 Launch Schedule(for sales)_CA Masterflow June 15a_Wrigley - 06 simple chart Sep 14_Category Template AC'11 @Cst Fx 52W vs 53W 2" xfId="7739"/>
    <cellStyle name="_New initiative 2004 Launch Schedule(for sales)_CA Masterflow June 15a_Wrigley - 06 simple chart Sep 14_Category Template AC'11 @Cst Fx 52W vs 53W_P&amp;L KFE" xfId="7740"/>
    <cellStyle name="_New initiative 2004 Launch Schedule(for sales)_CA Masterflow June 15a_Wrigley - 06 simple chart Sep 14_Category Template AC'11 @Cst Fx 52W vs 53W_Sheet3" xfId="7741"/>
    <cellStyle name="_New initiative 2004 Launch Schedule(for sales)_CA Masterflow June 15a_Wrigley - 06 simple chart Sep 14_P&amp;L KFE" xfId="7742"/>
    <cellStyle name="_New initiative 2004 Launch Schedule(for sales)_CA Masterflow June 15a_Wrigley - 06 simple chart Sep 14_Sheet3" xfId="7743"/>
    <cellStyle name="_New initiative 2004 Launch Schedule(for sales)_Category Template AC'11 @Cst Fx 52W vs 53W" xfId="7744"/>
    <cellStyle name="_New initiative 2004 Launch Schedule(for sales)_Category Template AC'11 @Cst Fx 52W vs 53W 2" xfId="7745"/>
    <cellStyle name="_New initiative 2004 Launch Schedule(for sales)_Category Template AC'11 @Cst Fx 52W vs 53W_P&amp;L KFE" xfId="7746"/>
    <cellStyle name="_New initiative 2004 Launch Schedule(for sales)_Category Template AC'11 @Cst Fx 52W vs 53W_Sheet3" xfId="7747"/>
    <cellStyle name="_New initiative 2004 Launch Schedule(for sales)_CG Masterflow June 15a" xfId="7748"/>
    <cellStyle name="_New initiative 2004 Launch Schedule(for sales)_CG Masterflow June 15a 2" xfId="7749"/>
    <cellStyle name="_New initiative 2004 Launch Schedule(for sales)_CG Masterflow June 15a_Book5" xfId="7750"/>
    <cellStyle name="_New initiative 2004 Launch Schedule(for sales)_CG Masterflow June 15a_Book5 2" xfId="7751"/>
    <cellStyle name="_New initiative 2004 Launch Schedule(for sales)_CG Masterflow June 15a_Book5_Category Template AC'11 @Cst Fx 52W vs 53W" xfId="7752"/>
    <cellStyle name="_New initiative 2004 Launch Schedule(for sales)_CG Masterflow June 15a_Book5_Category Template AC'11 @Cst Fx 52W vs 53W 2" xfId="7753"/>
    <cellStyle name="_New initiative 2004 Launch Schedule(for sales)_CG Masterflow June 15a_Book5_Category Template AC'11 @Cst Fx 52W vs 53W_P&amp;L KFE" xfId="7754"/>
    <cellStyle name="_New initiative 2004 Launch Schedule(for sales)_CG Masterflow June 15a_Book5_Category Template AC'11 @Cst Fx 52W vs 53W_Sheet3" xfId="7755"/>
    <cellStyle name="_New initiative 2004 Launch Schedule(for sales)_CG Masterflow June 15a_Book5_P&amp;L KFE" xfId="7756"/>
    <cellStyle name="_New initiative 2004 Launch Schedule(for sales)_CG Masterflow June 15a_Book5_Sheet3" xfId="7757"/>
    <cellStyle name="_New initiative 2004 Launch Schedule(for sales)_CG Masterflow June 15a_Category Template AC'11 @Cst Fx 52W vs 53W" xfId="7758"/>
    <cellStyle name="_New initiative 2004 Launch Schedule(for sales)_CG Masterflow June 15a_Category Template AC'11 @Cst Fx 52W vs 53W 2" xfId="7759"/>
    <cellStyle name="_New initiative 2004 Launch Schedule(for sales)_CG Masterflow June 15a_Category Template AC'11 @Cst Fx 52W vs 53W_P&amp;L KFE" xfId="7760"/>
    <cellStyle name="_New initiative 2004 Launch Schedule(for sales)_CG Masterflow June 15a_Category Template AC'11 @Cst Fx 52W vs 53W_Sheet3" xfId="7761"/>
    <cellStyle name="_New initiative 2004 Launch Schedule(for sales)_CG Masterflow June 15a_P&amp;L KFE" xfId="7762"/>
    <cellStyle name="_New initiative 2004 Launch Schedule(for sales)_CG Masterflow June 15a_Sheet3" xfId="7763"/>
    <cellStyle name="_New initiative 2004 Launch Schedule(for sales)_CG Masterflow June 15a_Wrigley - 05 budget&amp;calendar LE 050728 (25I)" xfId="7764"/>
    <cellStyle name="_New initiative 2004 Launch Schedule(for sales)_CG Masterflow June 15a_Wrigley - 05 budget&amp;calendar LE 050728 (25I) 2" xfId="7765"/>
    <cellStyle name="_New initiative 2004 Launch Schedule(for sales)_CG Masterflow June 15a_Wrigley - 05 budget&amp;calendar LE 050728 (25I)_Category Template AC'11 @Cst Fx 52W vs 53W" xfId="7766"/>
    <cellStyle name="_New initiative 2004 Launch Schedule(for sales)_CG Masterflow June 15a_Wrigley - 05 budget&amp;calendar LE 050728 (25I)_Category Template AC'11 @Cst Fx 52W vs 53W 2" xfId="7767"/>
    <cellStyle name="_New initiative 2004 Launch Schedule(for sales)_CG Masterflow June 15a_Wrigley - 05 budget&amp;calendar LE 050728 (25I)_Category Template AC'11 @Cst Fx 52W vs 53W_P&amp;L KFE" xfId="7768"/>
    <cellStyle name="_New initiative 2004 Launch Schedule(for sales)_CG Masterflow June 15a_Wrigley - 05 budget&amp;calendar LE 050728 (25I)_Category Template AC'11 @Cst Fx 52W vs 53W_Sheet3" xfId="7769"/>
    <cellStyle name="_New initiative 2004 Launch Schedule(for sales)_CG Masterflow June 15a_Wrigley - 05 budget&amp;calendar LE 050728 (25I)_P&amp;L KFE" xfId="7770"/>
    <cellStyle name="_New initiative 2004 Launch Schedule(for sales)_CG Masterflow June 15a_Wrigley - 05 budget&amp;calendar LE 050728 (25I)_Sheet3" xfId="7771"/>
    <cellStyle name="_New initiative 2004 Launch Schedule(for sales)_CG Masterflow June 15a_Wrigley - 05 budget&amp;calendar LE 050728 (25I)_Wrigley - 06 simple chart Sep 14" xfId="7772"/>
    <cellStyle name="_New initiative 2004 Launch Schedule(for sales)_CG Masterflow June 15a_Wrigley - 05 budget&amp;calendar LE 050728 (25I)_Wrigley - 06 simple chart Sep 14 2" xfId="7773"/>
    <cellStyle name="_New initiative 2004 Launch Schedule(for sales)_CG Masterflow June 15a_Wrigley - 05 budget&amp;calendar LE 050728 (25I)_Wrigley - 06 simple chart Sep 14_Category Template AC'11 @Cst Fx 52W vs 53W" xfId="7774"/>
    <cellStyle name="_New initiative 2004 Launch Schedule(for sales)_CG Masterflow June 15a_Wrigley - 05 budget&amp;calendar LE 050728 (25I)_Wrigley - 06 simple chart Sep 14_Category Template AC'11 @Cst Fx 52W vs 53W 2" xfId="7775"/>
    <cellStyle name="_New initiative 2004 Launch Schedule(for sales)_CG Masterflow June 15a_Wrigley - 05 budget&amp;calendar LE 050728 (25I)_Wrigley - 06 simple chart Sep 14_Category Template AC'11 @Cst Fx 52W vs 53W_P&amp;L KFE" xfId="7776"/>
    <cellStyle name="_New initiative 2004 Launch Schedule(for sales)_CG Masterflow June 15a_Wrigley - 05 budget&amp;calendar LE 050728 (25I)_Wrigley - 06 simple chart Sep 14_Category Template AC'11 @Cst Fx 52W vs 53W_Sheet3" xfId="7777"/>
    <cellStyle name="_New initiative 2004 Launch Schedule(for sales)_CG Masterflow June 15a_Wrigley - 05 budget&amp;calendar LE 050728 (25I)_Wrigley - 06 simple chart Sep 14_P&amp;L KFE" xfId="7778"/>
    <cellStyle name="_New initiative 2004 Launch Schedule(for sales)_CG Masterflow June 15a_Wrigley - 05 budget&amp;calendar LE 050728 (25I)_Wrigley - 06 simple chart Sep 14_Sheet3" xfId="7779"/>
    <cellStyle name="_New initiative 2004 Launch Schedule(for sales)_CG Masterflow June 15a_Wrigley - 05 budget&amp;calendar LE 050824 (25F)" xfId="7780"/>
    <cellStyle name="_New initiative 2004 Launch Schedule(for sales)_CG Masterflow June 15a_Wrigley - 05 budget&amp;calendar LE 050824 (25F) 2" xfId="7781"/>
    <cellStyle name="_New initiative 2004 Launch Schedule(for sales)_CG Masterflow June 15a_Wrigley - 05 budget&amp;calendar LE 050824 (25F)_Category Template AC'11 @Cst Fx 52W vs 53W" xfId="7782"/>
    <cellStyle name="_New initiative 2004 Launch Schedule(for sales)_CG Masterflow June 15a_Wrigley - 05 budget&amp;calendar LE 050824 (25F)_Category Template AC'11 @Cst Fx 52W vs 53W 2" xfId="7783"/>
    <cellStyle name="_New initiative 2004 Launch Schedule(for sales)_CG Masterflow June 15a_Wrigley - 05 budget&amp;calendar LE 050824 (25F)_Category Template AC'11 @Cst Fx 52W vs 53W_P&amp;L KFE" xfId="7784"/>
    <cellStyle name="_New initiative 2004 Launch Schedule(for sales)_CG Masterflow June 15a_Wrigley - 05 budget&amp;calendar LE 050824 (25F)_Category Template AC'11 @Cst Fx 52W vs 53W_Sheet3" xfId="7785"/>
    <cellStyle name="_New initiative 2004 Launch Schedule(for sales)_CG Masterflow June 15a_Wrigley - 05 budget&amp;calendar LE 050824 (25F)_P&amp;L KFE" xfId="7786"/>
    <cellStyle name="_New initiative 2004 Launch Schedule(for sales)_CG Masterflow June 15a_Wrigley - 05 budget&amp;calendar LE 050824 (25F)_Sheet3" xfId="7787"/>
    <cellStyle name="_New initiative 2004 Launch Schedule(for sales)_CG Masterflow June 15a_Wrigley - 05 budget&amp;calendar LE 050824 (25F)_Wrigley - 06 simple chart Sep 14" xfId="7788"/>
    <cellStyle name="_New initiative 2004 Launch Schedule(for sales)_CG Masterflow June 15a_Wrigley - 05 budget&amp;calendar LE 050824 (25F)_Wrigley - 06 simple chart Sep 14 2" xfId="7789"/>
    <cellStyle name="_New initiative 2004 Launch Schedule(for sales)_CG Masterflow June 15a_Wrigley - 05 budget&amp;calendar LE 050824 (25F)_Wrigley - 06 simple chart Sep 14_Category Template AC'11 @Cst Fx 52W vs 53W" xfId="7790"/>
    <cellStyle name="_New initiative 2004 Launch Schedule(for sales)_CG Masterflow June 15a_Wrigley - 05 budget&amp;calendar LE 050824 (25F)_Wrigley - 06 simple chart Sep 14_Category Template AC'11 @Cst Fx 52W vs 53W 2" xfId="7791"/>
    <cellStyle name="_New initiative 2004 Launch Schedule(for sales)_CG Masterflow June 15a_Wrigley - 05 budget&amp;calendar LE 050824 (25F)_Wrigley - 06 simple chart Sep 14_Category Template AC'11 @Cst Fx 52W vs 53W_P&amp;L KFE" xfId="7792"/>
    <cellStyle name="_New initiative 2004 Launch Schedule(for sales)_CG Masterflow June 15a_Wrigley - 05 budget&amp;calendar LE 050824 (25F)_Wrigley - 06 simple chart Sep 14_Category Template AC'11 @Cst Fx 52W vs 53W_Sheet3" xfId="7793"/>
    <cellStyle name="_New initiative 2004 Launch Schedule(for sales)_CG Masterflow June 15a_Wrigley - 05 budget&amp;calendar LE 050824 (25F)_Wrigley - 06 simple chart Sep 14_P&amp;L KFE" xfId="7794"/>
    <cellStyle name="_New initiative 2004 Launch Schedule(for sales)_CG Masterflow June 15a_Wrigley - 05 budget&amp;calendar LE 050824 (25F)_Wrigley - 06 simple chart Sep 14_Sheet3" xfId="7795"/>
    <cellStyle name="_New initiative 2004 Launch Schedule(for sales)_CG Masterflow June 15a_Wrigley - 05 budget&amp;calendar LE 050824 (25I)" xfId="7796"/>
    <cellStyle name="_New initiative 2004 Launch Schedule(for sales)_CG Masterflow June 15a_Wrigley - 05 budget&amp;calendar LE 050824 (25I) 2" xfId="7797"/>
    <cellStyle name="_New initiative 2004 Launch Schedule(for sales)_CG Masterflow June 15a_Wrigley - 05 budget&amp;calendar LE 050824 (25I)_Category Template AC'11 @Cst Fx 52W vs 53W" xfId="7798"/>
    <cellStyle name="_New initiative 2004 Launch Schedule(for sales)_CG Masterflow June 15a_Wrigley - 05 budget&amp;calendar LE 050824 (25I)_Category Template AC'11 @Cst Fx 52W vs 53W 2" xfId="7799"/>
    <cellStyle name="_New initiative 2004 Launch Schedule(for sales)_CG Masterflow June 15a_Wrigley - 05 budget&amp;calendar LE 050824 (25I)_Category Template AC'11 @Cst Fx 52W vs 53W_P&amp;L KFE" xfId="7800"/>
    <cellStyle name="_New initiative 2004 Launch Schedule(for sales)_CG Masterflow June 15a_Wrigley - 05 budget&amp;calendar LE 050824 (25I)_Category Template AC'11 @Cst Fx 52W vs 53W_Sheet3" xfId="7801"/>
    <cellStyle name="_New initiative 2004 Launch Schedule(for sales)_CG Masterflow June 15a_Wrigley - 05 budget&amp;calendar LE 050824 (25I)_P&amp;L KFE" xfId="7802"/>
    <cellStyle name="_New initiative 2004 Launch Schedule(for sales)_CG Masterflow June 15a_Wrigley - 05 budget&amp;calendar LE 050824 (25I)_Sheet3" xfId="7803"/>
    <cellStyle name="_New initiative 2004 Launch Schedule(for sales)_CG Masterflow June 15a_Wrigley - 05 budget&amp;calendar LE 050824 (25I)_Wrigley - 06 simple chart Sep 14" xfId="7804"/>
    <cellStyle name="_New initiative 2004 Launch Schedule(for sales)_CG Masterflow June 15a_Wrigley - 05 budget&amp;calendar LE 050824 (25I)_Wrigley - 06 simple chart Sep 14 2" xfId="7805"/>
    <cellStyle name="_New initiative 2004 Launch Schedule(for sales)_CG Masterflow June 15a_Wrigley - 05 budget&amp;calendar LE 050824 (25I)_Wrigley - 06 simple chart Sep 14_Category Template AC'11 @Cst Fx 52W vs 53W" xfId="7806"/>
    <cellStyle name="_New initiative 2004 Launch Schedule(for sales)_CG Masterflow June 15a_Wrigley - 05 budget&amp;calendar LE 050824 (25I)_Wrigley - 06 simple chart Sep 14_Category Template AC'11 @Cst Fx 52W vs 53W 2" xfId="7807"/>
    <cellStyle name="_New initiative 2004 Launch Schedule(for sales)_CG Masterflow June 15a_Wrigley - 05 budget&amp;calendar LE 050824 (25I)_Wrigley - 06 simple chart Sep 14_Category Template AC'11 @Cst Fx 52W vs 53W_P&amp;L KFE" xfId="7808"/>
    <cellStyle name="_New initiative 2004 Launch Schedule(for sales)_CG Masterflow June 15a_Wrigley - 05 budget&amp;calendar LE 050824 (25I)_Wrigley - 06 simple chart Sep 14_Category Template AC'11 @Cst Fx 52W vs 53W_Sheet3" xfId="7809"/>
    <cellStyle name="_New initiative 2004 Launch Schedule(for sales)_CG Masterflow June 15a_Wrigley - 05 budget&amp;calendar LE 050824 (25I)_Wrigley - 06 simple chart Sep 14_P&amp;L KFE" xfId="7810"/>
    <cellStyle name="_New initiative 2004 Launch Schedule(for sales)_CG Masterflow June 15a_Wrigley - 05 budget&amp;calendar LE 050824 (25I)_Wrigley - 06 simple chart Sep 14_Sheet3" xfId="7811"/>
    <cellStyle name="_New initiative 2004 Launch Schedule(for sales)_CG Masterflow June 15a_Wrigley - 06 simple chart Sep 14" xfId="7812"/>
    <cellStyle name="_New initiative 2004 Launch Schedule(for sales)_CG Masterflow June 15a_Wrigley - 06 simple chart Sep 14 2" xfId="7813"/>
    <cellStyle name="_New initiative 2004 Launch Schedule(for sales)_CG Masterflow June 15a_Wrigley - 06 simple chart Sep 14_Category Template AC'11 @Cst Fx 52W vs 53W" xfId="7814"/>
    <cellStyle name="_New initiative 2004 Launch Schedule(for sales)_CG Masterflow June 15a_Wrigley - 06 simple chart Sep 14_Category Template AC'11 @Cst Fx 52W vs 53W 2" xfId="7815"/>
    <cellStyle name="_New initiative 2004 Launch Schedule(for sales)_CG Masterflow June 15a_Wrigley - 06 simple chart Sep 14_Category Template AC'11 @Cst Fx 52W vs 53W_P&amp;L KFE" xfId="7816"/>
    <cellStyle name="_New initiative 2004 Launch Schedule(for sales)_CG Masterflow June 15a_Wrigley - 06 simple chart Sep 14_Category Template AC'11 @Cst Fx 52W vs 53W_Sheet3" xfId="7817"/>
    <cellStyle name="_New initiative 2004 Launch Schedule(for sales)_CG Masterflow June 15a_Wrigley - 06 simple chart Sep 14_P&amp;L KFE" xfId="7818"/>
    <cellStyle name="_New initiative 2004 Launch Schedule(for sales)_CG Masterflow June 15a_Wrigley - 06 simple chart Sep 14_Sheet3" xfId="7819"/>
    <cellStyle name="_New initiative 2004 Launch Schedule(for sales)_Copy of DM Masterflow - Jun 15a" xfId="7820"/>
    <cellStyle name="_New initiative 2004 Launch Schedule(for sales)_Copy of DM Masterflow - Jun 15a 2" xfId="7821"/>
    <cellStyle name="_New initiative 2004 Launch Schedule(for sales)_Copy of DM Masterflow - Jun 15a_Book5" xfId="7822"/>
    <cellStyle name="_New initiative 2004 Launch Schedule(for sales)_Copy of DM Masterflow - Jun 15a_Book5 2" xfId="7823"/>
    <cellStyle name="_New initiative 2004 Launch Schedule(for sales)_Copy of DM Masterflow - Jun 15a_Book5_Category Template AC'11 @Cst Fx 52W vs 53W" xfId="7824"/>
    <cellStyle name="_New initiative 2004 Launch Schedule(for sales)_Copy of DM Masterflow - Jun 15a_Book5_Category Template AC'11 @Cst Fx 52W vs 53W 2" xfId="7825"/>
    <cellStyle name="_New initiative 2004 Launch Schedule(for sales)_Copy of DM Masterflow - Jun 15a_Book5_Category Template AC'11 @Cst Fx 52W vs 53W_P&amp;L KFE" xfId="7826"/>
    <cellStyle name="_New initiative 2004 Launch Schedule(for sales)_Copy of DM Masterflow - Jun 15a_Book5_Category Template AC'11 @Cst Fx 52W vs 53W_Sheet3" xfId="7827"/>
    <cellStyle name="_New initiative 2004 Launch Schedule(for sales)_Copy of DM Masterflow - Jun 15a_Book5_P&amp;L KFE" xfId="7828"/>
    <cellStyle name="_New initiative 2004 Launch Schedule(for sales)_Copy of DM Masterflow - Jun 15a_Book5_Sheet3" xfId="7829"/>
    <cellStyle name="_New initiative 2004 Launch Schedule(for sales)_Copy of DM Masterflow - Jun 15a_Category Template AC'11 @Cst Fx 52W vs 53W" xfId="7830"/>
    <cellStyle name="_New initiative 2004 Launch Schedule(for sales)_Copy of DM Masterflow - Jun 15a_Category Template AC'11 @Cst Fx 52W vs 53W 2" xfId="7831"/>
    <cellStyle name="_New initiative 2004 Launch Schedule(for sales)_Copy of DM Masterflow - Jun 15a_Category Template AC'11 @Cst Fx 52W vs 53W_P&amp;L KFE" xfId="7832"/>
    <cellStyle name="_New initiative 2004 Launch Schedule(for sales)_Copy of DM Masterflow - Jun 15a_Category Template AC'11 @Cst Fx 52W vs 53W_Sheet3" xfId="7833"/>
    <cellStyle name="_New initiative 2004 Launch Schedule(for sales)_Copy of DM Masterflow - Jun 15a_P&amp;L KFE" xfId="7834"/>
    <cellStyle name="_New initiative 2004 Launch Schedule(for sales)_Copy of DM Masterflow - Jun 15a_Sheet3" xfId="7835"/>
    <cellStyle name="_New initiative 2004 Launch Schedule(for sales)_Copy of DM Masterflow - Jun 15a_Wrigley - 05 budget&amp;calendar LE 050728 (25I)" xfId="7836"/>
    <cellStyle name="_New initiative 2004 Launch Schedule(for sales)_Copy of DM Masterflow - Jun 15a_Wrigley - 05 budget&amp;calendar LE 050728 (25I) 2" xfId="7837"/>
    <cellStyle name="_New initiative 2004 Launch Schedule(for sales)_Copy of DM Masterflow - Jun 15a_Wrigley - 05 budget&amp;calendar LE 050728 (25I)_Category Template AC'11 @Cst Fx 52W vs 53W" xfId="7838"/>
    <cellStyle name="_New initiative 2004 Launch Schedule(for sales)_Copy of DM Masterflow - Jun 15a_Wrigley - 05 budget&amp;calendar LE 050728 (25I)_Category Template AC'11 @Cst Fx 52W vs 53W 2" xfId="7839"/>
    <cellStyle name="_New initiative 2004 Launch Schedule(for sales)_Copy of DM Masterflow - Jun 15a_Wrigley - 05 budget&amp;calendar LE 050728 (25I)_Category Template AC'11 @Cst Fx 52W vs 53W_P&amp;L KFE" xfId="7840"/>
    <cellStyle name="_New initiative 2004 Launch Schedule(for sales)_Copy of DM Masterflow - Jun 15a_Wrigley - 05 budget&amp;calendar LE 050728 (25I)_Category Template AC'11 @Cst Fx 52W vs 53W_Sheet3" xfId="7841"/>
    <cellStyle name="_New initiative 2004 Launch Schedule(for sales)_Copy of DM Masterflow - Jun 15a_Wrigley - 05 budget&amp;calendar LE 050728 (25I)_P&amp;L KFE" xfId="7842"/>
    <cellStyle name="_New initiative 2004 Launch Schedule(for sales)_Copy of DM Masterflow - Jun 15a_Wrigley - 05 budget&amp;calendar LE 050728 (25I)_Sheet3" xfId="7843"/>
    <cellStyle name="_New initiative 2004 Launch Schedule(for sales)_Copy of DM Masterflow - Jun 15a_Wrigley - 05 budget&amp;calendar LE 050728 (25I)_Wrigley - 06 simple chart Sep 14" xfId="7844"/>
    <cellStyle name="_New initiative 2004 Launch Schedule(for sales)_Copy of DM Masterflow - Jun 15a_Wrigley - 05 budget&amp;calendar LE 050728 (25I)_Wrigley - 06 simple chart Sep 14 2" xfId="7845"/>
    <cellStyle name="_New initiative 2004 Launch Schedule(for sales)_Copy of DM Masterflow - Jun 15a_Wrigley - 05 budget&amp;calendar LE 050728 (25I)_Wrigley - 06 simple chart Sep 14_Category Template AC'11 @Cst Fx 52W vs 53W" xfId="7846"/>
    <cellStyle name="_New initiative 2004 Launch Schedule(for sales)_Copy of DM Masterflow - Jun 15a_Wrigley - 05 budget&amp;calendar LE 050728 (25I)_Wrigley - 06 simple chart Sep 14_Category Template AC'11 @Cst Fx 52W vs 53W 2" xfId="7847"/>
    <cellStyle name="_New initiative 2004 Launch Schedule(for sales)_Copy of DM Masterflow - Jun 15a_Wrigley - 05 budget&amp;calendar LE 050728 (25I)_Wrigley - 06 simple chart Sep 14_Category Template AC'11 @Cst Fx 52W vs 53W_P&amp;L KFE" xfId="7848"/>
    <cellStyle name="_New initiative 2004 Launch Schedule(for sales)_Copy of DM Masterflow - Jun 15a_Wrigley - 05 budget&amp;calendar LE 050728 (25I)_Wrigley - 06 simple chart Sep 14_Category Template AC'11 @Cst Fx 52W vs 53W_Sheet3" xfId="7849"/>
    <cellStyle name="_New initiative 2004 Launch Schedule(for sales)_Copy of DM Masterflow - Jun 15a_Wrigley - 05 budget&amp;calendar LE 050728 (25I)_Wrigley - 06 simple chart Sep 14_P&amp;L KFE" xfId="7850"/>
    <cellStyle name="_New initiative 2004 Launch Schedule(for sales)_Copy of DM Masterflow - Jun 15a_Wrigley - 05 budget&amp;calendar LE 050728 (25I)_Wrigley - 06 simple chart Sep 14_Sheet3" xfId="7851"/>
    <cellStyle name="_New initiative 2004 Launch Schedule(for sales)_Copy of DM Masterflow - Jun 15a_Wrigley - 05 budget&amp;calendar LE 050824 (25F)" xfId="7852"/>
    <cellStyle name="_New initiative 2004 Launch Schedule(for sales)_Copy of DM Masterflow - Jun 15a_Wrigley - 05 budget&amp;calendar LE 050824 (25F) 2" xfId="7853"/>
    <cellStyle name="_New initiative 2004 Launch Schedule(for sales)_Copy of DM Masterflow - Jun 15a_Wrigley - 05 budget&amp;calendar LE 050824 (25F)_Category Template AC'11 @Cst Fx 52W vs 53W" xfId="7854"/>
    <cellStyle name="_New initiative 2004 Launch Schedule(for sales)_Copy of DM Masterflow - Jun 15a_Wrigley - 05 budget&amp;calendar LE 050824 (25F)_Category Template AC'11 @Cst Fx 52W vs 53W 2" xfId="7855"/>
    <cellStyle name="_New initiative 2004 Launch Schedule(for sales)_Copy of DM Masterflow - Jun 15a_Wrigley - 05 budget&amp;calendar LE 050824 (25F)_Category Template AC'11 @Cst Fx 52W vs 53W_P&amp;L KFE" xfId="7856"/>
    <cellStyle name="_New initiative 2004 Launch Schedule(for sales)_Copy of DM Masterflow - Jun 15a_Wrigley - 05 budget&amp;calendar LE 050824 (25F)_Category Template AC'11 @Cst Fx 52W vs 53W_Sheet3" xfId="7857"/>
    <cellStyle name="_New initiative 2004 Launch Schedule(for sales)_Copy of DM Masterflow - Jun 15a_Wrigley - 05 budget&amp;calendar LE 050824 (25F)_P&amp;L KFE" xfId="7858"/>
    <cellStyle name="_New initiative 2004 Launch Schedule(for sales)_Copy of DM Masterflow - Jun 15a_Wrigley - 05 budget&amp;calendar LE 050824 (25F)_Sheet3" xfId="7859"/>
    <cellStyle name="_New initiative 2004 Launch Schedule(for sales)_Copy of DM Masterflow - Jun 15a_Wrigley - 05 budget&amp;calendar LE 050824 (25F)_Wrigley - 06 simple chart Sep 14" xfId="7860"/>
    <cellStyle name="_New initiative 2004 Launch Schedule(for sales)_Copy of DM Masterflow - Jun 15a_Wrigley - 05 budget&amp;calendar LE 050824 (25F)_Wrigley - 06 simple chart Sep 14 2" xfId="7861"/>
    <cellStyle name="_New initiative 2004 Launch Schedule(for sales)_Copy of DM Masterflow - Jun 15a_Wrigley - 05 budget&amp;calendar LE 050824 (25F)_Wrigley - 06 simple chart Sep 14_Category Template AC'11 @Cst Fx 52W vs 53W" xfId="7862"/>
    <cellStyle name="_New initiative 2004 Launch Schedule(for sales)_Copy of DM Masterflow - Jun 15a_Wrigley - 05 budget&amp;calendar LE 050824 (25F)_Wrigley - 06 simple chart Sep 14_Category Template AC'11 @Cst Fx 52W vs 53W 2" xfId="7863"/>
    <cellStyle name="_New initiative 2004 Launch Schedule(for sales)_Copy of DM Masterflow - Jun 15a_Wrigley - 05 budget&amp;calendar LE 050824 (25F)_Wrigley - 06 simple chart Sep 14_Category Template AC'11 @Cst Fx 52W vs 53W_P&amp;L KFE" xfId="7864"/>
    <cellStyle name="_New initiative 2004 Launch Schedule(for sales)_Copy of DM Masterflow - Jun 15a_Wrigley - 05 budget&amp;calendar LE 050824 (25F)_Wrigley - 06 simple chart Sep 14_Category Template AC'11 @Cst Fx 52W vs 53W_Sheet3" xfId="7865"/>
    <cellStyle name="_New initiative 2004 Launch Schedule(for sales)_Copy of DM Masterflow - Jun 15a_Wrigley - 05 budget&amp;calendar LE 050824 (25F)_Wrigley - 06 simple chart Sep 14_P&amp;L KFE" xfId="7866"/>
    <cellStyle name="_New initiative 2004 Launch Schedule(for sales)_Copy of DM Masterflow - Jun 15a_Wrigley - 05 budget&amp;calendar LE 050824 (25F)_Wrigley - 06 simple chart Sep 14_Sheet3" xfId="7867"/>
    <cellStyle name="_New initiative 2004 Launch Schedule(for sales)_Copy of DM Masterflow - Jun 15a_Wrigley - 05 budget&amp;calendar LE 050824 (25I)" xfId="7868"/>
    <cellStyle name="_New initiative 2004 Launch Schedule(for sales)_Copy of DM Masterflow - Jun 15a_Wrigley - 05 budget&amp;calendar LE 050824 (25I) 2" xfId="7869"/>
    <cellStyle name="_New initiative 2004 Launch Schedule(for sales)_Copy of DM Masterflow - Jun 15a_Wrigley - 05 budget&amp;calendar LE 050824 (25I)_Category Template AC'11 @Cst Fx 52W vs 53W" xfId="7870"/>
    <cellStyle name="_New initiative 2004 Launch Schedule(for sales)_Copy of DM Masterflow - Jun 15a_Wrigley - 05 budget&amp;calendar LE 050824 (25I)_Category Template AC'11 @Cst Fx 52W vs 53W 2" xfId="7871"/>
    <cellStyle name="_New initiative 2004 Launch Schedule(for sales)_Copy of DM Masterflow - Jun 15a_Wrigley - 05 budget&amp;calendar LE 050824 (25I)_Category Template AC'11 @Cst Fx 52W vs 53W_P&amp;L KFE" xfId="7872"/>
    <cellStyle name="_New initiative 2004 Launch Schedule(for sales)_Copy of DM Masterflow - Jun 15a_Wrigley - 05 budget&amp;calendar LE 050824 (25I)_Category Template AC'11 @Cst Fx 52W vs 53W_Sheet3" xfId="7873"/>
    <cellStyle name="_New initiative 2004 Launch Schedule(for sales)_Copy of DM Masterflow - Jun 15a_Wrigley - 05 budget&amp;calendar LE 050824 (25I)_P&amp;L KFE" xfId="7874"/>
    <cellStyle name="_New initiative 2004 Launch Schedule(for sales)_Copy of DM Masterflow - Jun 15a_Wrigley - 05 budget&amp;calendar LE 050824 (25I)_Sheet3" xfId="7875"/>
    <cellStyle name="_New initiative 2004 Launch Schedule(for sales)_Copy of DM Masterflow - Jun 15a_Wrigley - 05 budget&amp;calendar LE 050824 (25I)_Wrigley - 06 simple chart Sep 14" xfId="7876"/>
    <cellStyle name="_New initiative 2004 Launch Schedule(for sales)_Copy of DM Masterflow - Jun 15a_Wrigley - 05 budget&amp;calendar LE 050824 (25I)_Wrigley - 06 simple chart Sep 14 2" xfId="7877"/>
    <cellStyle name="_New initiative 2004 Launch Schedule(for sales)_Copy of DM Masterflow - Jun 15a_Wrigley - 05 budget&amp;calendar LE 050824 (25I)_Wrigley - 06 simple chart Sep 14_Category Template AC'11 @Cst Fx 52W vs 53W" xfId="7878"/>
    <cellStyle name="_New initiative 2004 Launch Schedule(for sales)_Copy of DM Masterflow - Jun 15a_Wrigley - 05 budget&amp;calendar LE 050824 (25I)_Wrigley - 06 simple chart Sep 14_Category Template AC'11 @Cst Fx 52W vs 53W 2" xfId="7879"/>
    <cellStyle name="_New initiative 2004 Launch Schedule(for sales)_Copy of DM Masterflow - Jun 15a_Wrigley - 05 budget&amp;calendar LE 050824 (25I)_Wrigley - 06 simple chart Sep 14_Category Template AC'11 @Cst Fx 52W vs 53W_P&amp;L KFE" xfId="7880"/>
    <cellStyle name="_New initiative 2004 Launch Schedule(for sales)_Copy of DM Masterflow - Jun 15a_Wrigley - 05 budget&amp;calendar LE 050824 (25I)_Wrigley - 06 simple chart Sep 14_Category Template AC'11 @Cst Fx 52W vs 53W_Sheet3" xfId="7881"/>
    <cellStyle name="_New initiative 2004 Launch Schedule(for sales)_Copy of DM Masterflow - Jun 15a_Wrigley - 05 budget&amp;calendar LE 050824 (25I)_Wrigley - 06 simple chart Sep 14_P&amp;L KFE" xfId="7882"/>
    <cellStyle name="_New initiative 2004 Launch Schedule(for sales)_Copy of DM Masterflow - Jun 15a_Wrigley - 05 budget&amp;calendar LE 050824 (25I)_Wrigley - 06 simple chart Sep 14_Sheet3" xfId="7883"/>
    <cellStyle name="_New initiative 2004 Launch Schedule(for sales)_Copy of DM Masterflow - Jun 15a_Wrigley - 06 simple chart Sep 14" xfId="7884"/>
    <cellStyle name="_New initiative 2004 Launch Schedule(for sales)_Copy of DM Masterflow - Jun 15a_Wrigley - 06 simple chart Sep 14 2" xfId="7885"/>
    <cellStyle name="_New initiative 2004 Launch Schedule(for sales)_Copy of DM Masterflow - Jun 15a_Wrigley - 06 simple chart Sep 14_Category Template AC'11 @Cst Fx 52W vs 53W" xfId="7886"/>
    <cellStyle name="_New initiative 2004 Launch Schedule(for sales)_Copy of DM Masterflow - Jun 15a_Wrigley - 06 simple chart Sep 14_Category Template AC'11 @Cst Fx 52W vs 53W 2" xfId="7887"/>
    <cellStyle name="_New initiative 2004 Launch Schedule(for sales)_Copy of DM Masterflow - Jun 15a_Wrigley - 06 simple chart Sep 14_Category Template AC'11 @Cst Fx 52W vs 53W_P&amp;L KFE" xfId="7888"/>
    <cellStyle name="_New initiative 2004 Launch Schedule(for sales)_Copy of DM Masterflow - Jun 15a_Wrigley - 06 simple chart Sep 14_Category Template AC'11 @Cst Fx 52W vs 53W_Sheet3" xfId="7889"/>
    <cellStyle name="_New initiative 2004 Launch Schedule(for sales)_Copy of DM Masterflow - Jun 15a_Wrigley - 06 simple chart Sep 14_P&amp;L KFE" xfId="7890"/>
    <cellStyle name="_New initiative 2004 Launch Schedule(for sales)_Copy of DM Masterflow - Jun 15a_Wrigley - 06 simple chart Sep 14_Sheet3" xfId="7891"/>
    <cellStyle name="_New initiative 2004 Launch Schedule(for sales)_Copy of TR Masterflow June 15-a" xfId="7892"/>
    <cellStyle name="_New initiative 2004 Launch Schedule(for sales)_Copy of TR Masterflow June 15-a 2" xfId="7893"/>
    <cellStyle name="_New initiative 2004 Launch Schedule(for sales)_Copy of TR Masterflow June 15-a_Book5" xfId="7894"/>
    <cellStyle name="_New initiative 2004 Launch Schedule(for sales)_Copy of TR Masterflow June 15-a_Book5 2" xfId="7895"/>
    <cellStyle name="_New initiative 2004 Launch Schedule(for sales)_Copy of TR Masterflow June 15-a_Book5_Category Template AC'11 @Cst Fx 52W vs 53W" xfId="7896"/>
    <cellStyle name="_New initiative 2004 Launch Schedule(for sales)_Copy of TR Masterflow June 15-a_Book5_Category Template AC'11 @Cst Fx 52W vs 53W 2" xfId="7897"/>
    <cellStyle name="_New initiative 2004 Launch Schedule(for sales)_Copy of TR Masterflow June 15-a_Book5_Category Template AC'11 @Cst Fx 52W vs 53W_P&amp;L KFE" xfId="7898"/>
    <cellStyle name="_New initiative 2004 Launch Schedule(for sales)_Copy of TR Masterflow June 15-a_Book5_Category Template AC'11 @Cst Fx 52W vs 53W_Sheet3" xfId="7899"/>
    <cellStyle name="_New initiative 2004 Launch Schedule(for sales)_Copy of TR Masterflow June 15-a_Book5_P&amp;L KFE" xfId="7900"/>
    <cellStyle name="_New initiative 2004 Launch Schedule(for sales)_Copy of TR Masterflow June 15-a_Book5_Sheet3" xfId="7901"/>
    <cellStyle name="_New initiative 2004 Launch Schedule(for sales)_Copy of TR Masterflow June 15-a_Category Template AC'11 @Cst Fx 52W vs 53W" xfId="7902"/>
    <cellStyle name="_New initiative 2004 Launch Schedule(for sales)_Copy of TR Masterflow June 15-a_Category Template AC'11 @Cst Fx 52W vs 53W 2" xfId="7903"/>
    <cellStyle name="_New initiative 2004 Launch Schedule(for sales)_Copy of TR Masterflow June 15-a_Category Template AC'11 @Cst Fx 52W vs 53W_P&amp;L KFE" xfId="7904"/>
    <cellStyle name="_New initiative 2004 Launch Schedule(for sales)_Copy of TR Masterflow June 15-a_Category Template AC'11 @Cst Fx 52W vs 53W_Sheet3" xfId="7905"/>
    <cellStyle name="_New initiative 2004 Launch Schedule(for sales)_Copy of TR Masterflow June 15-a_P&amp;L KFE" xfId="7906"/>
    <cellStyle name="_New initiative 2004 Launch Schedule(for sales)_Copy of TR Masterflow June 15-a_Sheet3" xfId="7907"/>
    <cellStyle name="_New initiative 2004 Launch Schedule(for sales)_Copy of TR Masterflow June 15-a_Wrigley - 05 budget&amp;calendar LE 050728 (25I)" xfId="7908"/>
    <cellStyle name="_New initiative 2004 Launch Schedule(for sales)_Copy of TR Masterflow June 15-a_Wrigley - 05 budget&amp;calendar LE 050728 (25I) 2" xfId="7909"/>
    <cellStyle name="_New initiative 2004 Launch Schedule(for sales)_Copy of TR Masterflow June 15-a_Wrigley - 05 budget&amp;calendar LE 050728 (25I)_Category Template AC'11 @Cst Fx 52W vs 53W" xfId="7910"/>
    <cellStyle name="_New initiative 2004 Launch Schedule(for sales)_Copy of TR Masterflow June 15-a_Wrigley - 05 budget&amp;calendar LE 050728 (25I)_Category Template AC'11 @Cst Fx 52W vs 53W 2" xfId="7911"/>
    <cellStyle name="_New initiative 2004 Launch Schedule(for sales)_Copy of TR Masterflow June 15-a_Wrigley - 05 budget&amp;calendar LE 050728 (25I)_Category Template AC'11 @Cst Fx 52W vs 53W_P&amp;L KFE" xfId="7912"/>
    <cellStyle name="_New initiative 2004 Launch Schedule(for sales)_Copy of TR Masterflow June 15-a_Wrigley - 05 budget&amp;calendar LE 050728 (25I)_Category Template AC'11 @Cst Fx 52W vs 53W_Sheet3" xfId="7913"/>
    <cellStyle name="_New initiative 2004 Launch Schedule(for sales)_Copy of TR Masterflow June 15-a_Wrigley - 05 budget&amp;calendar LE 050728 (25I)_P&amp;L KFE" xfId="7914"/>
    <cellStyle name="_New initiative 2004 Launch Schedule(for sales)_Copy of TR Masterflow June 15-a_Wrigley - 05 budget&amp;calendar LE 050728 (25I)_Sheet3" xfId="7915"/>
    <cellStyle name="_New initiative 2004 Launch Schedule(for sales)_Copy of TR Masterflow June 15-a_Wrigley - 05 budget&amp;calendar LE 050728 (25I)_Wrigley - 06 simple chart Sep 14" xfId="7916"/>
    <cellStyle name="_New initiative 2004 Launch Schedule(for sales)_Copy of TR Masterflow June 15-a_Wrigley - 05 budget&amp;calendar LE 050728 (25I)_Wrigley - 06 simple chart Sep 14 2" xfId="7917"/>
    <cellStyle name="_New initiative 2004 Launch Schedule(for sales)_Copy of TR Masterflow June 15-a_Wrigley - 05 budget&amp;calendar LE 050728 (25I)_Wrigley - 06 simple chart Sep 14_Category Template AC'11 @Cst Fx 52W vs 53W" xfId="7918"/>
    <cellStyle name="_New initiative 2004 Launch Schedule(for sales)_Copy of TR Masterflow June 15-a_Wrigley - 05 budget&amp;calendar LE 050728 (25I)_Wrigley - 06 simple chart Sep 14_Category Template AC'11 @Cst Fx 52W vs 53W 2" xfId="7919"/>
    <cellStyle name="_New initiative 2004 Launch Schedule(for sales)_Copy of TR Masterflow June 15-a_Wrigley - 05 budget&amp;calendar LE 050728 (25I)_Wrigley - 06 simple chart Sep 14_Category Template AC'11 @Cst Fx 52W vs 53W_P&amp;L KFE" xfId="7920"/>
    <cellStyle name="_New initiative 2004 Launch Schedule(for sales)_Copy of TR Masterflow June 15-a_Wrigley - 05 budget&amp;calendar LE 050728 (25I)_Wrigley - 06 simple chart Sep 14_Category Template AC'11 @Cst Fx 52W vs 53W_Sheet3" xfId="7921"/>
    <cellStyle name="_New initiative 2004 Launch Schedule(for sales)_Copy of TR Masterflow June 15-a_Wrigley - 05 budget&amp;calendar LE 050728 (25I)_Wrigley - 06 simple chart Sep 14_P&amp;L KFE" xfId="7922"/>
    <cellStyle name="_New initiative 2004 Launch Schedule(for sales)_Copy of TR Masterflow June 15-a_Wrigley - 05 budget&amp;calendar LE 050728 (25I)_Wrigley - 06 simple chart Sep 14_Sheet3" xfId="7923"/>
    <cellStyle name="_New initiative 2004 Launch Schedule(for sales)_Copy of TR Masterflow June 15-a_Wrigley - 05 budget&amp;calendar LE 050824 (25F)" xfId="7924"/>
    <cellStyle name="_New initiative 2004 Launch Schedule(for sales)_Copy of TR Masterflow June 15-a_Wrigley - 05 budget&amp;calendar LE 050824 (25F) 2" xfId="7925"/>
    <cellStyle name="_New initiative 2004 Launch Schedule(for sales)_Copy of TR Masterflow June 15-a_Wrigley - 05 budget&amp;calendar LE 050824 (25F)_Category Template AC'11 @Cst Fx 52W vs 53W" xfId="7926"/>
    <cellStyle name="_New initiative 2004 Launch Schedule(for sales)_Copy of TR Masterflow June 15-a_Wrigley - 05 budget&amp;calendar LE 050824 (25F)_Category Template AC'11 @Cst Fx 52W vs 53W 2" xfId="7927"/>
    <cellStyle name="_New initiative 2004 Launch Schedule(for sales)_Copy of TR Masterflow June 15-a_Wrigley - 05 budget&amp;calendar LE 050824 (25F)_Category Template AC'11 @Cst Fx 52W vs 53W_P&amp;L KFE" xfId="7928"/>
    <cellStyle name="_New initiative 2004 Launch Schedule(for sales)_Copy of TR Masterflow June 15-a_Wrigley - 05 budget&amp;calendar LE 050824 (25F)_Category Template AC'11 @Cst Fx 52W vs 53W_Sheet3" xfId="7929"/>
    <cellStyle name="_New initiative 2004 Launch Schedule(for sales)_Copy of TR Masterflow June 15-a_Wrigley - 05 budget&amp;calendar LE 050824 (25F)_P&amp;L KFE" xfId="7930"/>
    <cellStyle name="_New initiative 2004 Launch Schedule(for sales)_Copy of TR Masterflow June 15-a_Wrigley - 05 budget&amp;calendar LE 050824 (25F)_Sheet3" xfId="7931"/>
    <cellStyle name="_New initiative 2004 Launch Schedule(for sales)_Copy of TR Masterflow June 15-a_Wrigley - 05 budget&amp;calendar LE 050824 (25F)_Wrigley - 06 simple chart Sep 14" xfId="7932"/>
    <cellStyle name="_New initiative 2004 Launch Schedule(for sales)_Copy of TR Masterflow June 15-a_Wrigley - 05 budget&amp;calendar LE 050824 (25F)_Wrigley - 06 simple chart Sep 14 2" xfId="7933"/>
    <cellStyle name="_New initiative 2004 Launch Schedule(for sales)_Copy of TR Masterflow June 15-a_Wrigley - 05 budget&amp;calendar LE 050824 (25F)_Wrigley - 06 simple chart Sep 14_Category Template AC'11 @Cst Fx 52W vs 53W" xfId="7934"/>
    <cellStyle name="_New initiative 2004 Launch Schedule(for sales)_Copy of TR Masterflow June 15-a_Wrigley - 05 budget&amp;calendar LE 050824 (25F)_Wrigley - 06 simple chart Sep 14_Category Template AC'11 @Cst Fx 52W vs 53W 2" xfId="7935"/>
    <cellStyle name="_New initiative 2004 Launch Schedule(for sales)_Copy of TR Masterflow June 15-a_Wrigley - 05 budget&amp;calendar LE 050824 (25F)_Wrigley - 06 simple chart Sep 14_Category Template AC'11 @Cst Fx 52W vs 53W_P&amp;L KFE" xfId="7936"/>
    <cellStyle name="_New initiative 2004 Launch Schedule(for sales)_Copy of TR Masterflow June 15-a_Wrigley - 05 budget&amp;calendar LE 050824 (25F)_Wrigley - 06 simple chart Sep 14_Category Template AC'11 @Cst Fx 52W vs 53W_Sheet3" xfId="7937"/>
    <cellStyle name="_New initiative 2004 Launch Schedule(for sales)_Copy of TR Masterflow June 15-a_Wrigley - 05 budget&amp;calendar LE 050824 (25F)_Wrigley - 06 simple chart Sep 14_P&amp;L KFE" xfId="7938"/>
    <cellStyle name="_New initiative 2004 Launch Schedule(for sales)_Copy of TR Masterflow June 15-a_Wrigley - 05 budget&amp;calendar LE 050824 (25F)_Wrigley - 06 simple chart Sep 14_Sheet3" xfId="7939"/>
    <cellStyle name="_New initiative 2004 Launch Schedule(for sales)_Copy of TR Masterflow June 15-a_Wrigley - 05 budget&amp;calendar LE 050824 (25I)" xfId="7940"/>
    <cellStyle name="_New initiative 2004 Launch Schedule(for sales)_Copy of TR Masterflow June 15-a_Wrigley - 05 budget&amp;calendar LE 050824 (25I) 2" xfId="7941"/>
    <cellStyle name="_New initiative 2004 Launch Schedule(for sales)_Copy of TR Masterflow June 15-a_Wrigley - 05 budget&amp;calendar LE 050824 (25I)_Category Template AC'11 @Cst Fx 52W vs 53W" xfId="7942"/>
    <cellStyle name="_New initiative 2004 Launch Schedule(for sales)_Copy of TR Masterflow June 15-a_Wrigley - 05 budget&amp;calendar LE 050824 (25I)_Category Template AC'11 @Cst Fx 52W vs 53W 2" xfId="7943"/>
    <cellStyle name="_New initiative 2004 Launch Schedule(for sales)_Copy of TR Masterflow June 15-a_Wrigley - 05 budget&amp;calendar LE 050824 (25I)_Category Template AC'11 @Cst Fx 52W vs 53W_P&amp;L KFE" xfId="7944"/>
    <cellStyle name="_New initiative 2004 Launch Schedule(for sales)_Copy of TR Masterflow June 15-a_Wrigley - 05 budget&amp;calendar LE 050824 (25I)_Category Template AC'11 @Cst Fx 52W vs 53W_Sheet3" xfId="7945"/>
    <cellStyle name="_New initiative 2004 Launch Schedule(for sales)_Copy of TR Masterflow June 15-a_Wrigley - 05 budget&amp;calendar LE 050824 (25I)_P&amp;L KFE" xfId="7946"/>
    <cellStyle name="_New initiative 2004 Launch Schedule(for sales)_Copy of TR Masterflow June 15-a_Wrigley - 05 budget&amp;calendar LE 050824 (25I)_Sheet3" xfId="7947"/>
    <cellStyle name="_New initiative 2004 Launch Schedule(for sales)_Copy of TR Masterflow June 15-a_Wrigley - 05 budget&amp;calendar LE 050824 (25I)_Wrigley - 06 simple chart Sep 14" xfId="7948"/>
    <cellStyle name="_New initiative 2004 Launch Schedule(for sales)_Copy of TR Masterflow June 15-a_Wrigley - 05 budget&amp;calendar LE 050824 (25I)_Wrigley - 06 simple chart Sep 14 2" xfId="7949"/>
    <cellStyle name="_New initiative 2004 Launch Schedule(for sales)_Copy of TR Masterflow June 15-a_Wrigley - 05 budget&amp;calendar LE 050824 (25I)_Wrigley - 06 simple chart Sep 14_Category Template AC'11 @Cst Fx 52W vs 53W" xfId="7950"/>
    <cellStyle name="_New initiative 2004 Launch Schedule(for sales)_Copy of TR Masterflow June 15-a_Wrigley - 05 budget&amp;calendar LE 050824 (25I)_Wrigley - 06 simple chart Sep 14_Category Template AC'11 @Cst Fx 52W vs 53W 2" xfId="7951"/>
    <cellStyle name="_New initiative 2004 Launch Schedule(for sales)_Copy of TR Masterflow June 15-a_Wrigley - 05 budget&amp;calendar LE 050824 (25I)_Wrigley - 06 simple chart Sep 14_Category Template AC'11 @Cst Fx 52W vs 53W_P&amp;L KFE" xfId="7952"/>
    <cellStyle name="_New initiative 2004 Launch Schedule(for sales)_Copy of TR Masterflow June 15-a_Wrigley - 05 budget&amp;calendar LE 050824 (25I)_Wrigley - 06 simple chart Sep 14_Category Template AC'11 @Cst Fx 52W vs 53W_Sheet3" xfId="7953"/>
    <cellStyle name="_New initiative 2004 Launch Schedule(for sales)_Copy of TR Masterflow June 15-a_Wrigley - 05 budget&amp;calendar LE 050824 (25I)_Wrigley - 06 simple chart Sep 14_P&amp;L KFE" xfId="7954"/>
    <cellStyle name="_New initiative 2004 Launch Schedule(for sales)_Copy of TR Masterflow June 15-a_Wrigley - 05 budget&amp;calendar LE 050824 (25I)_Wrigley - 06 simple chart Sep 14_Sheet3" xfId="7955"/>
    <cellStyle name="_New initiative 2004 Launch Schedule(for sales)_Copy of TR Masterflow June 15-a_Wrigley - 06 simple chart Sep 14" xfId="7956"/>
    <cellStyle name="_New initiative 2004 Launch Schedule(for sales)_Copy of TR Masterflow June 15-a_Wrigley - 06 simple chart Sep 14 2" xfId="7957"/>
    <cellStyle name="_New initiative 2004 Launch Schedule(for sales)_Copy of TR Masterflow June 15-a_Wrigley - 06 simple chart Sep 14_Category Template AC'11 @Cst Fx 52W vs 53W" xfId="7958"/>
    <cellStyle name="_New initiative 2004 Launch Schedule(for sales)_Copy of TR Masterflow June 15-a_Wrigley - 06 simple chart Sep 14_Category Template AC'11 @Cst Fx 52W vs 53W 2" xfId="7959"/>
    <cellStyle name="_New initiative 2004 Launch Schedule(for sales)_Copy of TR Masterflow June 15-a_Wrigley - 06 simple chart Sep 14_Category Template AC'11 @Cst Fx 52W vs 53W_P&amp;L KFE" xfId="7960"/>
    <cellStyle name="_New initiative 2004 Launch Schedule(for sales)_Copy of TR Masterflow June 15-a_Wrigley - 06 simple chart Sep 14_Category Template AC'11 @Cst Fx 52W vs 53W_Sheet3" xfId="7961"/>
    <cellStyle name="_New initiative 2004 Launch Schedule(for sales)_Copy of TR Masterflow June 15-a_Wrigley - 06 simple chart Sep 14_P&amp;L KFE" xfId="7962"/>
    <cellStyle name="_New initiative 2004 Launch Schedule(for sales)_Copy of TR Masterflow June 15-a_Wrigley - 06 simple chart Sep 14_Sheet3" xfId="7963"/>
    <cellStyle name="_New initiative 2004 Launch Schedule(for sales)_EX Master Flowchart June 15a" xfId="7964"/>
    <cellStyle name="_New initiative 2004 Launch Schedule(for sales)_EX Master Flowchart June 15a 2" xfId="7965"/>
    <cellStyle name="_New initiative 2004 Launch Schedule(for sales)_EX Master Flowchart June 15a_Book5" xfId="7966"/>
    <cellStyle name="_New initiative 2004 Launch Schedule(for sales)_EX Master Flowchart June 15a_Book5 2" xfId="7967"/>
    <cellStyle name="_New initiative 2004 Launch Schedule(for sales)_EX Master Flowchart June 15a_Book5_Category Template AC'11 @Cst Fx 52W vs 53W" xfId="7968"/>
    <cellStyle name="_New initiative 2004 Launch Schedule(for sales)_EX Master Flowchart June 15a_Book5_Category Template AC'11 @Cst Fx 52W vs 53W 2" xfId="7969"/>
    <cellStyle name="_New initiative 2004 Launch Schedule(for sales)_EX Master Flowchart June 15a_Book5_Category Template AC'11 @Cst Fx 52W vs 53W_P&amp;L KFE" xfId="7970"/>
    <cellStyle name="_New initiative 2004 Launch Schedule(for sales)_EX Master Flowchart June 15a_Book5_Category Template AC'11 @Cst Fx 52W vs 53W_Sheet3" xfId="7971"/>
    <cellStyle name="_New initiative 2004 Launch Schedule(for sales)_EX Master Flowchart June 15a_Book5_P&amp;L KFE" xfId="7972"/>
    <cellStyle name="_New initiative 2004 Launch Schedule(for sales)_EX Master Flowchart June 15a_Book5_Sheet3" xfId="7973"/>
    <cellStyle name="_New initiative 2004 Launch Schedule(for sales)_EX Master Flowchart June 15a_Category Template AC'11 @Cst Fx 52W vs 53W" xfId="7974"/>
    <cellStyle name="_New initiative 2004 Launch Schedule(for sales)_EX Master Flowchart June 15a_Category Template AC'11 @Cst Fx 52W vs 53W 2" xfId="7975"/>
    <cellStyle name="_New initiative 2004 Launch Schedule(for sales)_EX Master Flowchart June 15a_Category Template AC'11 @Cst Fx 52W vs 53W_P&amp;L KFE" xfId="7976"/>
    <cellStyle name="_New initiative 2004 Launch Schedule(for sales)_EX Master Flowchart June 15a_Category Template AC'11 @Cst Fx 52W vs 53W_Sheet3" xfId="7977"/>
    <cellStyle name="_New initiative 2004 Launch Schedule(for sales)_EX Master Flowchart June 15a_P&amp;L KFE" xfId="7978"/>
    <cellStyle name="_New initiative 2004 Launch Schedule(for sales)_EX Master Flowchart June 15a_Sheet3" xfId="7979"/>
    <cellStyle name="_New initiative 2004 Launch Schedule(for sales)_EX Master Flowchart June 15a_Wrigley - 05 budget&amp;calendar LE 050728 (25I)" xfId="7980"/>
    <cellStyle name="_New initiative 2004 Launch Schedule(for sales)_EX Master Flowchart June 15a_Wrigley - 05 budget&amp;calendar LE 050728 (25I) 2" xfId="7981"/>
    <cellStyle name="_New initiative 2004 Launch Schedule(for sales)_EX Master Flowchart June 15a_Wrigley - 05 budget&amp;calendar LE 050728 (25I)_Category Template AC'11 @Cst Fx 52W vs 53W" xfId="7982"/>
    <cellStyle name="_New initiative 2004 Launch Schedule(for sales)_EX Master Flowchart June 15a_Wrigley - 05 budget&amp;calendar LE 050728 (25I)_Category Template AC'11 @Cst Fx 52W vs 53W 2" xfId="7983"/>
    <cellStyle name="_New initiative 2004 Launch Schedule(for sales)_EX Master Flowchart June 15a_Wrigley - 05 budget&amp;calendar LE 050728 (25I)_Category Template AC'11 @Cst Fx 52W vs 53W_P&amp;L KFE" xfId="7984"/>
    <cellStyle name="_New initiative 2004 Launch Schedule(for sales)_EX Master Flowchart June 15a_Wrigley - 05 budget&amp;calendar LE 050728 (25I)_Category Template AC'11 @Cst Fx 52W vs 53W_Sheet3" xfId="7985"/>
    <cellStyle name="_New initiative 2004 Launch Schedule(for sales)_EX Master Flowchart June 15a_Wrigley - 05 budget&amp;calendar LE 050728 (25I)_P&amp;L KFE" xfId="7986"/>
    <cellStyle name="_New initiative 2004 Launch Schedule(for sales)_EX Master Flowchart June 15a_Wrigley - 05 budget&amp;calendar LE 050728 (25I)_Sheet3" xfId="7987"/>
    <cellStyle name="_New initiative 2004 Launch Schedule(for sales)_EX Master Flowchart June 15a_Wrigley - 05 budget&amp;calendar LE 050728 (25I)_Wrigley - 06 simple chart Sep 14" xfId="7988"/>
    <cellStyle name="_New initiative 2004 Launch Schedule(for sales)_EX Master Flowchart June 15a_Wrigley - 05 budget&amp;calendar LE 050728 (25I)_Wrigley - 06 simple chart Sep 14 2" xfId="7989"/>
    <cellStyle name="_New initiative 2004 Launch Schedule(for sales)_EX Master Flowchart June 15a_Wrigley - 05 budget&amp;calendar LE 050728 (25I)_Wrigley - 06 simple chart Sep 14_Category Template AC'11 @Cst Fx 52W vs 53W" xfId="7990"/>
    <cellStyle name="_New initiative 2004 Launch Schedule(for sales)_EX Master Flowchart June 15a_Wrigley - 05 budget&amp;calendar LE 050728 (25I)_Wrigley - 06 simple chart Sep 14_Category Template AC'11 @Cst Fx 52W vs 53W 2" xfId="7991"/>
    <cellStyle name="_New initiative 2004 Launch Schedule(for sales)_EX Master Flowchart June 15a_Wrigley - 05 budget&amp;calendar LE 050728 (25I)_Wrigley - 06 simple chart Sep 14_Category Template AC'11 @Cst Fx 52W vs 53W_P&amp;L KFE" xfId="7992"/>
    <cellStyle name="_New initiative 2004 Launch Schedule(for sales)_EX Master Flowchart June 15a_Wrigley - 05 budget&amp;calendar LE 050728 (25I)_Wrigley - 06 simple chart Sep 14_Category Template AC'11 @Cst Fx 52W vs 53W_Sheet3" xfId="7993"/>
    <cellStyle name="_New initiative 2004 Launch Schedule(for sales)_EX Master Flowchart June 15a_Wrigley - 05 budget&amp;calendar LE 050728 (25I)_Wrigley - 06 simple chart Sep 14_P&amp;L KFE" xfId="7994"/>
    <cellStyle name="_New initiative 2004 Launch Schedule(for sales)_EX Master Flowchart June 15a_Wrigley - 05 budget&amp;calendar LE 050728 (25I)_Wrigley - 06 simple chart Sep 14_Sheet3" xfId="7995"/>
    <cellStyle name="_New initiative 2004 Launch Schedule(for sales)_EX Master Flowchart June 15a_Wrigley - 05 budget&amp;calendar LE 050824 (25F)" xfId="7996"/>
    <cellStyle name="_New initiative 2004 Launch Schedule(for sales)_EX Master Flowchart June 15a_Wrigley - 05 budget&amp;calendar LE 050824 (25F) 2" xfId="7997"/>
    <cellStyle name="_New initiative 2004 Launch Schedule(for sales)_EX Master Flowchart June 15a_Wrigley - 05 budget&amp;calendar LE 050824 (25F)_Category Template AC'11 @Cst Fx 52W vs 53W" xfId="7998"/>
    <cellStyle name="_New initiative 2004 Launch Schedule(for sales)_EX Master Flowchart June 15a_Wrigley - 05 budget&amp;calendar LE 050824 (25F)_Category Template AC'11 @Cst Fx 52W vs 53W 2" xfId="7999"/>
    <cellStyle name="_New initiative 2004 Launch Schedule(for sales)_EX Master Flowchart June 15a_Wrigley - 05 budget&amp;calendar LE 050824 (25F)_Category Template AC'11 @Cst Fx 52W vs 53W_P&amp;L KFE" xfId="8000"/>
    <cellStyle name="_New initiative 2004 Launch Schedule(for sales)_EX Master Flowchart June 15a_Wrigley - 05 budget&amp;calendar LE 050824 (25F)_Category Template AC'11 @Cst Fx 52W vs 53W_Sheet3" xfId="8001"/>
    <cellStyle name="_New initiative 2004 Launch Schedule(for sales)_EX Master Flowchart June 15a_Wrigley - 05 budget&amp;calendar LE 050824 (25F)_P&amp;L KFE" xfId="8002"/>
    <cellStyle name="_New initiative 2004 Launch Schedule(for sales)_EX Master Flowchart June 15a_Wrigley - 05 budget&amp;calendar LE 050824 (25F)_Sheet3" xfId="8003"/>
    <cellStyle name="_New initiative 2004 Launch Schedule(for sales)_EX Master Flowchart June 15a_Wrigley - 05 budget&amp;calendar LE 050824 (25F)_Wrigley - 06 simple chart Sep 14" xfId="8004"/>
    <cellStyle name="_New initiative 2004 Launch Schedule(for sales)_EX Master Flowchart June 15a_Wrigley - 05 budget&amp;calendar LE 050824 (25F)_Wrigley - 06 simple chart Sep 14 2" xfId="8005"/>
    <cellStyle name="_New initiative 2004 Launch Schedule(for sales)_EX Master Flowchart June 15a_Wrigley - 05 budget&amp;calendar LE 050824 (25F)_Wrigley - 06 simple chart Sep 14_Category Template AC'11 @Cst Fx 52W vs 53W" xfId="8006"/>
    <cellStyle name="_New initiative 2004 Launch Schedule(for sales)_EX Master Flowchart June 15a_Wrigley - 05 budget&amp;calendar LE 050824 (25F)_Wrigley - 06 simple chart Sep 14_Category Template AC'11 @Cst Fx 52W vs 53W 2" xfId="8007"/>
    <cellStyle name="_New initiative 2004 Launch Schedule(for sales)_EX Master Flowchart June 15a_Wrigley - 05 budget&amp;calendar LE 050824 (25F)_Wrigley - 06 simple chart Sep 14_Category Template AC'11 @Cst Fx 52W vs 53W_P&amp;L KFE" xfId="8008"/>
    <cellStyle name="_New initiative 2004 Launch Schedule(for sales)_EX Master Flowchart June 15a_Wrigley - 05 budget&amp;calendar LE 050824 (25F)_Wrigley - 06 simple chart Sep 14_Category Template AC'11 @Cst Fx 52W vs 53W_Sheet3" xfId="8009"/>
    <cellStyle name="_New initiative 2004 Launch Schedule(for sales)_EX Master Flowchart June 15a_Wrigley - 05 budget&amp;calendar LE 050824 (25F)_Wrigley - 06 simple chart Sep 14_P&amp;L KFE" xfId="8010"/>
    <cellStyle name="_New initiative 2004 Launch Schedule(for sales)_EX Master Flowchart June 15a_Wrigley - 05 budget&amp;calendar LE 050824 (25F)_Wrigley - 06 simple chart Sep 14_Sheet3" xfId="8011"/>
    <cellStyle name="_New initiative 2004 Launch Schedule(for sales)_EX Master Flowchart June 15a_Wrigley - 05 budget&amp;calendar LE 050824 (25I)" xfId="8012"/>
    <cellStyle name="_New initiative 2004 Launch Schedule(for sales)_EX Master Flowchart June 15a_Wrigley - 05 budget&amp;calendar LE 050824 (25I) 2" xfId="8013"/>
    <cellStyle name="_New initiative 2004 Launch Schedule(for sales)_EX Master Flowchart June 15a_Wrigley - 05 budget&amp;calendar LE 050824 (25I)_Category Template AC'11 @Cst Fx 52W vs 53W" xfId="8014"/>
    <cellStyle name="_New initiative 2004 Launch Schedule(for sales)_EX Master Flowchart June 15a_Wrigley - 05 budget&amp;calendar LE 050824 (25I)_Category Template AC'11 @Cst Fx 52W vs 53W 2" xfId="8015"/>
    <cellStyle name="_New initiative 2004 Launch Schedule(for sales)_EX Master Flowchart June 15a_Wrigley - 05 budget&amp;calendar LE 050824 (25I)_Category Template AC'11 @Cst Fx 52W vs 53W_P&amp;L KFE" xfId="8016"/>
    <cellStyle name="_New initiative 2004 Launch Schedule(for sales)_EX Master Flowchart June 15a_Wrigley - 05 budget&amp;calendar LE 050824 (25I)_Category Template AC'11 @Cst Fx 52W vs 53W_Sheet3" xfId="8017"/>
    <cellStyle name="_New initiative 2004 Launch Schedule(for sales)_EX Master Flowchart June 15a_Wrigley - 05 budget&amp;calendar LE 050824 (25I)_P&amp;L KFE" xfId="8018"/>
    <cellStyle name="_New initiative 2004 Launch Schedule(for sales)_EX Master Flowchart June 15a_Wrigley - 05 budget&amp;calendar LE 050824 (25I)_Sheet3" xfId="8019"/>
    <cellStyle name="_New initiative 2004 Launch Schedule(for sales)_EX Master Flowchart June 15a_Wrigley - 05 budget&amp;calendar LE 050824 (25I)_Wrigley - 06 simple chart Sep 14" xfId="8020"/>
    <cellStyle name="_New initiative 2004 Launch Schedule(for sales)_EX Master Flowchart June 15a_Wrigley - 05 budget&amp;calendar LE 050824 (25I)_Wrigley - 06 simple chart Sep 14 2" xfId="8021"/>
    <cellStyle name="_New initiative 2004 Launch Schedule(for sales)_EX Master Flowchart June 15a_Wrigley - 05 budget&amp;calendar LE 050824 (25I)_Wrigley - 06 simple chart Sep 14_Category Template AC'11 @Cst Fx 52W vs 53W" xfId="8022"/>
    <cellStyle name="_New initiative 2004 Launch Schedule(for sales)_EX Master Flowchart June 15a_Wrigley - 05 budget&amp;calendar LE 050824 (25I)_Wrigley - 06 simple chart Sep 14_Category Template AC'11 @Cst Fx 52W vs 53W 2" xfId="8023"/>
    <cellStyle name="_New initiative 2004 Launch Schedule(for sales)_EX Master Flowchart June 15a_Wrigley - 05 budget&amp;calendar LE 050824 (25I)_Wrigley - 06 simple chart Sep 14_Category Template AC'11 @Cst Fx 52W vs 53W_P&amp;L KFE" xfId="8024"/>
    <cellStyle name="_New initiative 2004 Launch Schedule(for sales)_EX Master Flowchart June 15a_Wrigley - 05 budget&amp;calendar LE 050824 (25I)_Wrigley - 06 simple chart Sep 14_Category Template AC'11 @Cst Fx 52W vs 53W_Sheet3" xfId="8025"/>
    <cellStyle name="_New initiative 2004 Launch Schedule(for sales)_EX Master Flowchart June 15a_Wrigley - 05 budget&amp;calendar LE 050824 (25I)_Wrigley - 06 simple chart Sep 14_P&amp;L KFE" xfId="8026"/>
    <cellStyle name="_New initiative 2004 Launch Schedule(for sales)_EX Master Flowchart June 15a_Wrigley - 05 budget&amp;calendar LE 050824 (25I)_Wrigley - 06 simple chart Sep 14_Sheet3" xfId="8027"/>
    <cellStyle name="_New initiative 2004 Launch Schedule(for sales)_EX Master Flowchart June 15a_Wrigley - 06 simple chart Sep 14" xfId="8028"/>
    <cellStyle name="_New initiative 2004 Launch Schedule(for sales)_EX Master Flowchart June 15a_Wrigley - 06 simple chart Sep 14 2" xfId="8029"/>
    <cellStyle name="_New initiative 2004 Launch Schedule(for sales)_EX Master Flowchart June 15a_Wrigley - 06 simple chart Sep 14_Category Template AC'11 @Cst Fx 52W vs 53W" xfId="8030"/>
    <cellStyle name="_New initiative 2004 Launch Schedule(for sales)_EX Master Flowchart June 15a_Wrigley - 06 simple chart Sep 14_Category Template AC'11 @Cst Fx 52W vs 53W 2" xfId="8031"/>
    <cellStyle name="_New initiative 2004 Launch Schedule(for sales)_EX Master Flowchart June 15a_Wrigley - 06 simple chart Sep 14_Category Template AC'11 @Cst Fx 52W vs 53W_P&amp;L KFE" xfId="8032"/>
    <cellStyle name="_New initiative 2004 Launch Schedule(for sales)_EX Master Flowchart June 15a_Wrigley - 06 simple chart Sep 14_Category Template AC'11 @Cst Fx 52W vs 53W_Sheet3" xfId="8033"/>
    <cellStyle name="_New initiative 2004 Launch Schedule(for sales)_EX Master Flowchart June 15a_Wrigley - 06 simple chart Sep 14_P&amp;L KFE" xfId="8034"/>
    <cellStyle name="_New initiative 2004 Launch Schedule(for sales)_EX Master Flowchart June 15a_Wrigley - 06 simple chart Sep 14_Sheet3" xfId="8035"/>
    <cellStyle name="_New initiative 2004 Launch Schedule(for sales)_JF Masterflow June 15a" xfId="8036"/>
    <cellStyle name="_New initiative 2004 Launch Schedule(for sales)_JF Masterflow June 15a 2" xfId="8037"/>
    <cellStyle name="_New initiative 2004 Launch Schedule(for sales)_JF Masterflow June 15a_Book5" xfId="8038"/>
    <cellStyle name="_New initiative 2004 Launch Schedule(for sales)_JF Masterflow June 15a_Book5 2" xfId="8039"/>
    <cellStyle name="_New initiative 2004 Launch Schedule(for sales)_JF Masterflow June 15a_Book5_Category Template AC'11 @Cst Fx 52W vs 53W" xfId="8040"/>
    <cellStyle name="_New initiative 2004 Launch Schedule(for sales)_JF Masterflow June 15a_Book5_Category Template AC'11 @Cst Fx 52W vs 53W 2" xfId="8041"/>
    <cellStyle name="_New initiative 2004 Launch Schedule(for sales)_JF Masterflow June 15a_Book5_Category Template AC'11 @Cst Fx 52W vs 53W_P&amp;L KFE" xfId="8042"/>
    <cellStyle name="_New initiative 2004 Launch Schedule(for sales)_JF Masterflow June 15a_Book5_Category Template AC'11 @Cst Fx 52W vs 53W_Sheet3" xfId="8043"/>
    <cellStyle name="_New initiative 2004 Launch Schedule(for sales)_JF Masterflow June 15a_Book5_P&amp;L KFE" xfId="8044"/>
    <cellStyle name="_New initiative 2004 Launch Schedule(for sales)_JF Masterflow June 15a_Book5_Sheet3" xfId="8045"/>
    <cellStyle name="_New initiative 2004 Launch Schedule(for sales)_JF Masterflow June 15a_Category Template AC'11 @Cst Fx 52W vs 53W" xfId="8046"/>
    <cellStyle name="_New initiative 2004 Launch Schedule(for sales)_JF Masterflow June 15a_Category Template AC'11 @Cst Fx 52W vs 53W 2" xfId="8047"/>
    <cellStyle name="_New initiative 2004 Launch Schedule(for sales)_JF Masterflow June 15a_Category Template AC'11 @Cst Fx 52W vs 53W_P&amp;L KFE" xfId="8048"/>
    <cellStyle name="_New initiative 2004 Launch Schedule(for sales)_JF Masterflow June 15a_Category Template AC'11 @Cst Fx 52W vs 53W_Sheet3" xfId="8049"/>
    <cellStyle name="_New initiative 2004 Launch Schedule(for sales)_JF Masterflow June 15a_P&amp;L KFE" xfId="8050"/>
    <cellStyle name="_New initiative 2004 Launch Schedule(for sales)_JF Masterflow June 15a_Sheet3" xfId="8051"/>
    <cellStyle name="_New initiative 2004 Launch Schedule(for sales)_JF Masterflow June 15a_Wrigley - 05 budget&amp;calendar LE 050728 (25I)" xfId="8052"/>
    <cellStyle name="_New initiative 2004 Launch Schedule(for sales)_JF Masterflow June 15a_Wrigley - 05 budget&amp;calendar LE 050728 (25I) 2" xfId="8053"/>
    <cellStyle name="_New initiative 2004 Launch Schedule(for sales)_JF Masterflow June 15a_Wrigley - 05 budget&amp;calendar LE 050728 (25I)_Category Template AC'11 @Cst Fx 52W vs 53W" xfId="8054"/>
    <cellStyle name="_New initiative 2004 Launch Schedule(for sales)_JF Masterflow June 15a_Wrigley - 05 budget&amp;calendar LE 050728 (25I)_Category Template AC'11 @Cst Fx 52W vs 53W 2" xfId="8055"/>
    <cellStyle name="_New initiative 2004 Launch Schedule(for sales)_JF Masterflow June 15a_Wrigley - 05 budget&amp;calendar LE 050728 (25I)_Category Template AC'11 @Cst Fx 52W vs 53W_P&amp;L KFE" xfId="8056"/>
    <cellStyle name="_New initiative 2004 Launch Schedule(for sales)_JF Masterflow June 15a_Wrigley - 05 budget&amp;calendar LE 050728 (25I)_Category Template AC'11 @Cst Fx 52W vs 53W_Sheet3" xfId="8057"/>
    <cellStyle name="_New initiative 2004 Launch Schedule(for sales)_JF Masterflow June 15a_Wrigley - 05 budget&amp;calendar LE 050728 (25I)_P&amp;L KFE" xfId="8058"/>
    <cellStyle name="_New initiative 2004 Launch Schedule(for sales)_JF Masterflow June 15a_Wrigley - 05 budget&amp;calendar LE 050728 (25I)_Sheet3" xfId="8059"/>
    <cellStyle name="_New initiative 2004 Launch Schedule(for sales)_JF Masterflow June 15a_Wrigley - 05 budget&amp;calendar LE 050728 (25I)_Wrigley - 06 simple chart Sep 14" xfId="8060"/>
    <cellStyle name="_New initiative 2004 Launch Schedule(for sales)_JF Masterflow June 15a_Wrigley - 05 budget&amp;calendar LE 050728 (25I)_Wrigley - 06 simple chart Sep 14 2" xfId="8061"/>
    <cellStyle name="_New initiative 2004 Launch Schedule(for sales)_JF Masterflow June 15a_Wrigley - 05 budget&amp;calendar LE 050728 (25I)_Wrigley - 06 simple chart Sep 14_Category Template AC'11 @Cst Fx 52W vs 53W" xfId="8062"/>
    <cellStyle name="_New initiative 2004 Launch Schedule(for sales)_JF Masterflow June 15a_Wrigley - 05 budget&amp;calendar LE 050728 (25I)_Wrigley - 06 simple chart Sep 14_Category Template AC'11 @Cst Fx 52W vs 53W 2" xfId="8063"/>
    <cellStyle name="_New initiative 2004 Launch Schedule(for sales)_JF Masterflow June 15a_Wrigley - 05 budget&amp;calendar LE 050728 (25I)_Wrigley - 06 simple chart Sep 14_Category Template AC'11 @Cst Fx 52W vs 53W_P&amp;L KFE" xfId="8064"/>
    <cellStyle name="_New initiative 2004 Launch Schedule(for sales)_JF Masterflow June 15a_Wrigley - 05 budget&amp;calendar LE 050728 (25I)_Wrigley - 06 simple chart Sep 14_Category Template AC'11 @Cst Fx 52W vs 53W_Sheet3" xfId="8065"/>
    <cellStyle name="_New initiative 2004 Launch Schedule(for sales)_JF Masterflow June 15a_Wrigley - 05 budget&amp;calendar LE 050728 (25I)_Wrigley - 06 simple chart Sep 14_P&amp;L KFE" xfId="8066"/>
    <cellStyle name="_New initiative 2004 Launch Schedule(for sales)_JF Masterflow June 15a_Wrigley - 05 budget&amp;calendar LE 050728 (25I)_Wrigley - 06 simple chart Sep 14_Sheet3" xfId="8067"/>
    <cellStyle name="_New initiative 2004 Launch Schedule(for sales)_JF Masterflow June 15a_Wrigley - 05 budget&amp;calendar LE 050824 (25F)" xfId="8068"/>
    <cellStyle name="_New initiative 2004 Launch Schedule(for sales)_JF Masterflow June 15a_Wrigley - 05 budget&amp;calendar LE 050824 (25F) 2" xfId="8069"/>
    <cellStyle name="_New initiative 2004 Launch Schedule(for sales)_JF Masterflow June 15a_Wrigley - 05 budget&amp;calendar LE 050824 (25F)_Category Template AC'11 @Cst Fx 52W vs 53W" xfId="8070"/>
    <cellStyle name="_New initiative 2004 Launch Schedule(for sales)_JF Masterflow June 15a_Wrigley - 05 budget&amp;calendar LE 050824 (25F)_Category Template AC'11 @Cst Fx 52W vs 53W 2" xfId="8071"/>
    <cellStyle name="_New initiative 2004 Launch Schedule(for sales)_JF Masterflow June 15a_Wrigley - 05 budget&amp;calendar LE 050824 (25F)_Category Template AC'11 @Cst Fx 52W vs 53W_P&amp;L KFE" xfId="8072"/>
    <cellStyle name="_New initiative 2004 Launch Schedule(for sales)_JF Masterflow June 15a_Wrigley - 05 budget&amp;calendar LE 050824 (25F)_Category Template AC'11 @Cst Fx 52W vs 53W_Sheet3" xfId="8073"/>
    <cellStyle name="_New initiative 2004 Launch Schedule(for sales)_JF Masterflow June 15a_Wrigley - 05 budget&amp;calendar LE 050824 (25F)_P&amp;L KFE" xfId="8074"/>
    <cellStyle name="_New initiative 2004 Launch Schedule(for sales)_JF Masterflow June 15a_Wrigley - 05 budget&amp;calendar LE 050824 (25F)_Sheet3" xfId="8075"/>
    <cellStyle name="_New initiative 2004 Launch Schedule(for sales)_JF Masterflow June 15a_Wrigley - 05 budget&amp;calendar LE 050824 (25F)_Wrigley - 06 simple chart Sep 14" xfId="8076"/>
    <cellStyle name="_New initiative 2004 Launch Schedule(for sales)_JF Masterflow June 15a_Wrigley - 05 budget&amp;calendar LE 050824 (25F)_Wrigley - 06 simple chart Sep 14 2" xfId="8077"/>
    <cellStyle name="_New initiative 2004 Launch Schedule(for sales)_JF Masterflow June 15a_Wrigley - 05 budget&amp;calendar LE 050824 (25F)_Wrigley - 06 simple chart Sep 14_Category Template AC'11 @Cst Fx 52W vs 53W" xfId="8078"/>
    <cellStyle name="_New initiative 2004 Launch Schedule(for sales)_JF Masterflow June 15a_Wrigley - 05 budget&amp;calendar LE 050824 (25F)_Wrigley - 06 simple chart Sep 14_Category Template AC'11 @Cst Fx 52W vs 53W 2" xfId="8079"/>
    <cellStyle name="_New initiative 2004 Launch Schedule(for sales)_JF Masterflow June 15a_Wrigley - 05 budget&amp;calendar LE 050824 (25F)_Wrigley - 06 simple chart Sep 14_Category Template AC'11 @Cst Fx 52W vs 53W_P&amp;L KFE" xfId="8080"/>
    <cellStyle name="_New initiative 2004 Launch Schedule(for sales)_JF Masterflow June 15a_Wrigley - 05 budget&amp;calendar LE 050824 (25F)_Wrigley - 06 simple chart Sep 14_Category Template AC'11 @Cst Fx 52W vs 53W_Sheet3" xfId="8081"/>
    <cellStyle name="_New initiative 2004 Launch Schedule(for sales)_JF Masterflow June 15a_Wrigley - 05 budget&amp;calendar LE 050824 (25F)_Wrigley - 06 simple chart Sep 14_P&amp;L KFE" xfId="8082"/>
    <cellStyle name="_New initiative 2004 Launch Schedule(for sales)_JF Masterflow June 15a_Wrigley - 05 budget&amp;calendar LE 050824 (25F)_Wrigley - 06 simple chart Sep 14_Sheet3" xfId="8083"/>
    <cellStyle name="_New initiative 2004 Launch Schedule(for sales)_JF Masterflow June 15a_Wrigley - 05 budget&amp;calendar LE 050824 (25I)" xfId="8084"/>
    <cellStyle name="_New initiative 2004 Launch Schedule(for sales)_JF Masterflow June 15a_Wrigley - 05 budget&amp;calendar LE 050824 (25I) 2" xfId="8085"/>
    <cellStyle name="_New initiative 2004 Launch Schedule(for sales)_JF Masterflow June 15a_Wrigley - 05 budget&amp;calendar LE 050824 (25I)_Category Template AC'11 @Cst Fx 52W vs 53W" xfId="8086"/>
    <cellStyle name="_New initiative 2004 Launch Schedule(for sales)_JF Masterflow June 15a_Wrigley - 05 budget&amp;calendar LE 050824 (25I)_Category Template AC'11 @Cst Fx 52W vs 53W 2" xfId="8087"/>
    <cellStyle name="_New initiative 2004 Launch Schedule(for sales)_JF Masterflow June 15a_Wrigley - 05 budget&amp;calendar LE 050824 (25I)_Category Template AC'11 @Cst Fx 52W vs 53W_P&amp;L KFE" xfId="8088"/>
    <cellStyle name="_New initiative 2004 Launch Schedule(for sales)_JF Masterflow June 15a_Wrigley - 05 budget&amp;calendar LE 050824 (25I)_Category Template AC'11 @Cst Fx 52W vs 53W_Sheet3" xfId="8089"/>
    <cellStyle name="_New initiative 2004 Launch Schedule(for sales)_JF Masterflow June 15a_Wrigley - 05 budget&amp;calendar LE 050824 (25I)_P&amp;L KFE" xfId="8090"/>
    <cellStyle name="_New initiative 2004 Launch Schedule(for sales)_JF Masterflow June 15a_Wrigley - 05 budget&amp;calendar LE 050824 (25I)_Sheet3" xfId="8091"/>
    <cellStyle name="_New initiative 2004 Launch Schedule(for sales)_JF Masterflow June 15a_Wrigley - 05 budget&amp;calendar LE 050824 (25I)_Wrigley - 06 simple chart Sep 14" xfId="8092"/>
    <cellStyle name="_New initiative 2004 Launch Schedule(for sales)_JF Masterflow June 15a_Wrigley - 05 budget&amp;calendar LE 050824 (25I)_Wrigley - 06 simple chart Sep 14 2" xfId="8093"/>
    <cellStyle name="_New initiative 2004 Launch Schedule(for sales)_JF Masterflow June 15a_Wrigley - 05 budget&amp;calendar LE 050824 (25I)_Wrigley - 06 simple chart Sep 14_Category Template AC'11 @Cst Fx 52W vs 53W" xfId="8094"/>
    <cellStyle name="_New initiative 2004 Launch Schedule(for sales)_JF Masterflow June 15a_Wrigley - 05 budget&amp;calendar LE 050824 (25I)_Wrigley - 06 simple chart Sep 14_Category Template AC'11 @Cst Fx 52W vs 53W 2" xfId="8095"/>
    <cellStyle name="_New initiative 2004 Launch Schedule(for sales)_JF Masterflow June 15a_Wrigley - 05 budget&amp;calendar LE 050824 (25I)_Wrigley - 06 simple chart Sep 14_Category Template AC'11 @Cst Fx 52W vs 53W_P&amp;L KFE" xfId="8096"/>
    <cellStyle name="_New initiative 2004 Launch Schedule(for sales)_JF Masterflow June 15a_Wrigley - 05 budget&amp;calendar LE 050824 (25I)_Wrigley - 06 simple chart Sep 14_Category Template AC'11 @Cst Fx 52W vs 53W_Sheet3" xfId="8097"/>
    <cellStyle name="_New initiative 2004 Launch Schedule(for sales)_JF Masterflow June 15a_Wrigley - 05 budget&amp;calendar LE 050824 (25I)_Wrigley - 06 simple chart Sep 14_P&amp;L KFE" xfId="8098"/>
    <cellStyle name="_New initiative 2004 Launch Schedule(for sales)_JF Masterflow June 15a_Wrigley - 05 budget&amp;calendar LE 050824 (25I)_Wrigley - 06 simple chart Sep 14_Sheet3" xfId="8099"/>
    <cellStyle name="_New initiative 2004 Launch Schedule(for sales)_JF Masterflow June 15a_Wrigley - 06 simple chart Sep 14" xfId="8100"/>
    <cellStyle name="_New initiative 2004 Launch Schedule(for sales)_JF Masterflow June 15a_Wrigley - 06 simple chart Sep 14 2" xfId="8101"/>
    <cellStyle name="_New initiative 2004 Launch Schedule(for sales)_JF Masterflow June 15a_Wrigley - 06 simple chart Sep 14_Category Template AC'11 @Cst Fx 52W vs 53W" xfId="8102"/>
    <cellStyle name="_New initiative 2004 Launch Schedule(for sales)_JF Masterflow June 15a_Wrigley - 06 simple chart Sep 14_Category Template AC'11 @Cst Fx 52W vs 53W 2" xfId="8103"/>
    <cellStyle name="_New initiative 2004 Launch Schedule(for sales)_JF Masterflow June 15a_Wrigley - 06 simple chart Sep 14_Category Template AC'11 @Cst Fx 52W vs 53W_P&amp;L KFE" xfId="8104"/>
    <cellStyle name="_New initiative 2004 Launch Schedule(for sales)_JF Masterflow June 15a_Wrigley - 06 simple chart Sep 14_Category Template AC'11 @Cst Fx 52W vs 53W_Sheet3" xfId="8105"/>
    <cellStyle name="_New initiative 2004 Launch Schedule(for sales)_JF Masterflow June 15a_Wrigley - 06 simple chart Sep 14_P&amp;L KFE" xfId="8106"/>
    <cellStyle name="_New initiative 2004 Launch Schedule(for sales)_JF Masterflow June 15a_Wrigley - 06 simple chart Sep 14_Sheet3" xfId="8107"/>
    <cellStyle name="_New initiative 2004 Launch Schedule(for sales)_P&amp;L KFE" xfId="8108"/>
    <cellStyle name="_New initiative 2004 Launch Schedule(for sales)_PP Masterflow June 15a" xfId="8109"/>
    <cellStyle name="_New initiative 2004 Launch Schedule(for sales)_PP Masterflow June 15a 2" xfId="8110"/>
    <cellStyle name="_New initiative 2004 Launch Schedule(for sales)_PP Masterflow June 15a_Book5" xfId="8111"/>
    <cellStyle name="_New initiative 2004 Launch Schedule(for sales)_PP Masterflow June 15a_Book5 2" xfId="8112"/>
    <cellStyle name="_New initiative 2004 Launch Schedule(for sales)_PP Masterflow June 15a_Book5_Category Template AC'11 @Cst Fx 52W vs 53W" xfId="8113"/>
    <cellStyle name="_New initiative 2004 Launch Schedule(for sales)_PP Masterflow June 15a_Book5_Category Template AC'11 @Cst Fx 52W vs 53W 2" xfId="8114"/>
    <cellStyle name="_New initiative 2004 Launch Schedule(for sales)_PP Masterflow June 15a_Book5_Category Template AC'11 @Cst Fx 52W vs 53W_P&amp;L KFE" xfId="8115"/>
    <cellStyle name="_New initiative 2004 Launch Schedule(for sales)_PP Masterflow June 15a_Book5_Category Template AC'11 @Cst Fx 52W vs 53W_Sheet3" xfId="8116"/>
    <cellStyle name="_New initiative 2004 Launch Schedule(for sales)_PP Masterflow June 15a_Book5_P&amp;L KFE" xfId="8117"/>
    <cellStyle name="_New initiative 2004 Launch Schedule(for sales)_PP Masterflow June 15a_Book5_Sheet3" xfId="8118"/>
    <cellStyle name="_New initiative 2004 Launch Schedule(for sales)_PP Masterflow June 15a_Category Template AC'11 @Cst Fx 52W vs 53W" xfId="8119"/>
    <cellStyle name="_New initiative 2004 Launch Schedule(for sales)_PP Masterflow June 15a_Category Template AC'11 @Cst Fx 52W vs 53W 2" xfId="8120"/>
    <cellStyle name="_New initiative 2004 Launch Schedule(for sales)_PP Masterflow June 15a_Category Template AC'11 @Cst Fx 52W vs 53W_P&amp;L KFE" xfId="8121"/>
    <cellStyle name="_New initiative 2004 Launch Schedule(for sales)_PP Masterflow June 15a_Category Template AC'11 @Cst Fx 52W vs 53W_Sheet3" xfId="8122"/>
    <cellStyle name="_New initiative 2004 Launch Schedule(for sales)_PP Masterflow June 15a_P&amp;L KFE" xfId="8123"/>
    <cellStyle name="_New initiative 2004 Launch Schedule(for sales)_PP Masterflow June 15a_Sheet3" xfId="8124"/>
    <cellStyle name="_New initiative 2004 Launch Schedule(for sales)_PP Masterflow June 15a_Wrigley - 05 budget&amp;calendar LE 050728 (25I)" xfId="8125"/>
    <cellStyle name="_New initiative 2004 Launch Schedule(for sales)_PP Masterflow June 15a_Wrigley - 05 budget&amp;calendar LE 050728 (25I) 2" xfId="8126"/>
    <cellStyle name="_New initiative 2004 Launch Schedule(for sales)_PP Masterflow June 15a_Wrigley - 05 budget&amp;calendar LE 050728 (25I)_Category Template AC'11 @Cst Fx 52W vs 53W" xfId="8127"/>
    <cellStyle name="_New initiative 2004 Launch Schedule(for sales)_PP Masterflow June 15a_Wrigley - 05 budget&amp;calendar LE 050728 (25I)_Category Template AC'11 @Cst Fx 52W vs 53W 2" xfId="8128"/>
    <cellStyle name="_New initiative 2004 Launch Schedule(for sales)_PP Masterflow June 15a_Wrigley - 05 budget&amp;calendar LE 050728 (25I)_Category Template AC'11 @Cst Fx 52W vs 53W_P&amp;L KFE" xfId="8129"/>
    <cellStyle name="_New initiative 2004 Launch Schedule(for sales)_PP Masterflow June 15a_Wrigley - 05 budget&amp;calendar LE 050728 (25I)_Category Template AC'11 @Cst Fx 52W vs 53W_Sheet3" xfId="8130"/>
    <cellStyle name="_New initiative 2004 Launch Schedule(for sales)_PP Masterflow June 15a_Wrigley - 05 budget&amp;calendar LE 050728 (25I)_P&amp;L KFE" xfId="8131"/>
    <cellStyle name="_New initiative 2004 Launch Schedule(for sales)_PP Masterflow June 15a_Wrigley - 05 budget&amp;calendar LE 050728 (25I)_Sheet3" xfId="8132"/>
    <cellStyle name="_New initiative 2004 Launch Schedule(for sales)_PP Masterflow June 15a_Wrigley - 05 budget&amp;calendar LE 050728 (25I)_Wrigley - 06 simple chart Sep 14" xfId="8133"/>
    <cellStyle name="_New initiative 2004 Launch Schedule(for sales)_PP Masterflow June 15a_Wrigley - 05 budget&amp;calendar LE 050728 (25I)_Wrigley - 06 simple chart Sep 14 2" xfId="8134"/>
    <cellStyle name="_New initiative 2004 Launch Schedule(for sales)_PP Masterflow June 15a_Wrigley - 05 budget&amp;calendar LE 050728 (25I)_Wrigley - 06 simple chart Sep 14_Category Template AC'11 @Cst Fx 52W vs 53W" xfId="8135"/>
    <cellStyle name="_New initiative 2004 Launch Schedule(for sales)_PP Masterflow June 15a_Wrigley - 05 budget&amp;calendar LE 050728 (25I)_Wrigley - 06 simple chart Sep 14_Category Template AC'11 @Cst Fx 52W vs 53W 2" xfId="8136"/>
    <cellStyle name="_New initiative 2004 Launch Schedule(for sales)_PP Masterflow June 15a_Wrigley - 05 budget&amp;calendar LE 050728 (25I)_Wrigley - 06 simple chart Sep 14_Category Template AC'11 @Cst Fx 52W vs 53W_P&amp;L KFE" xfId="8137"/>
    <cellStyle name="_New initiative 2004 Launch Schedule(for sales)_PP Masterflow June 15a_Wrigley - 05 budget&amp;calendar LE 050728 (25I)_Wrigley - 06 simple chart Sep 14_Category Template AC'11 @Cst Fx 52W vs 53W_Sheet3" xfId="8138"/>
    <cellStyle name="_New initiative 2004 Launch Schedule(for sales)_PP Masterflow June 15a_Wrigley - 05 budget&amp;calendar LE 050728 (25I)_Wrigley - 06 simple chart Sep 14_P&amp;L KFE" xfId="8139"/>
    <cellStyle name="_New initiative 2004 Launch Schedule(for sales)_PP Masterflow June 15a_Wrigley - 05 budget&amp;calendar LE 050728 (25I)_Wrigley - 06 simple chart Sep 14_Sheet3" xfId="8140"/>
    <cellStyle name="_New initiative 2004 Launch Schedule(for sales)_PP Masterflow June 15a_Wrigley - 05 budget&amp;calendar LE 050824 (25F)" xfId="8141"/>
    <cellStyle name="_New initiative 2004 Launch Schedule(for sales)_PP Masterflow June 15a_Wrigley - 05 budget&amp;calendar LE 050824 (25F) 2" xfId="8142"/>
    <cellStyle name="_New initiative 2004 Launch Schedule(for sales)_PP Masterflow June 15a_Wrigley - 05 budget&amp;calendar LE 050824 (25F)_Category Template AC'11 @Cst Fx 52W vs 53W" xfId="8143"/>
    <cellStyle name="_New initiative 2004 Launch Schedule(for sales)_PP Masterflow June 15a_Wrigley - 05 budget&amp;calendar LE 050824 (25F)_Category Template AC'11 @Cst Fx 52W vs 53W 2" xfId="8144"/>
    <cellStyle name="_New initiative 2004 Launch Schedule(for sales)_PP Masterflow June 15a_Wrigley - 05 budget&amp;calendar LE 050824 (25F)_Category Template AC'11 @Cst Fx 52W vs 53W_P&amp;L KFE" xfId="8145"/>
    <cellStyle name="_New initiative 2004 Launch Schedule(for sales)_PP Masterflow June 15a_Wrigley - 05 budget&amp;calendar LE 050824 (25F)_Category Template AC'11 @Cst Fx 52W vs 53W_Sheet3" xfId="8146"/>
    <cellStyle name="_New initiative 2004 Launch Schedule(for sales)_PP Masterflow June 15a_Wrigley - 05 budget&amp;calendar LE 050824 (25F)_P&amp;L KFE" xfId="8147"/>
    <cellStyle name="_New initiative 2004 Launch Schedule(for sales)_PP Masterflow June 15a_Wrigley - 05 budget&amp;calendar LE 050824 (25F)_Sheet3" xfId="8148"/>
    <cellStyle name="_New initiative 2004 Launch Schedule(for sales)_PP Masterflow June 15a_Wrigley - 05 budget&amp;calendar LE 050824 (25F)_Wrigley - 06 simple chart Sep 14" xfId="8149"/>
    <cellStyle name="_New initiative 2004 Launch Schedule(for sales)_PP Masterflow June 15a_Wrigley - 05 budget&amp;calendar LE 050824 (25F)_Wrigley - 06 simple chart Sep 14 2" xfId="8150"/>
    <cellStyle name="_New initiative 2004 Launch Schedule(for sales)_PP Masterflow June 15a_Wrigley - 05 budget&amp;calendar LE 050824 (25F)_Wrigley - 06 simple chart Sep 14_Category Template AC'11 @Cst Fx 52W vs 53W" xfId="8151"/>
    <cellStyle name="_New initiative 2004 Launch Schedule(for sales)_PP Masterflow June 15a_Wrigley - 05 budget&amp;calendar LE 050824 (25F)_Wrigley - 06 simple chart Sep 14_Category Template AC'11 @Cst Fx 52W vs 53W 2" xfId="8152"/>
    <cellStyle name="_New initiative 2004 Launch Schedule(for sales)_PP Masterflow June 15a_Wrigley - 05 budget&amp;calendar LE 050824 (25F)_Wrigley - 06 simple chart Sep 14_Category Template AC'11 @Cst Fx 52W vs 53W_P&amp;L KFE" xfId="8153"/>
    <cellStyle name="_New initiative 2004 Launch Schedule(for sales)_PP Masterflow June 15a_Wrigley - 05 budget&amp;calendar LE 050824 (25F)_Wrigley - 06 simple chart Sep 14_Category Template AC'11 @Cst Fx 52W vs 53W_Sheet3" xfId="8154"/>
    <cellStyle name="_New initiative 2004 Launch Schedule(for sales)_PP Masterflow June 15a_Wrigley - 05 budget&amp;calendar LE 050824 (25F)_Wrigley - 06 simple chart Sep 14_P&amp;L KFE" xfId="8155"/>
    <cellStyle name="_New initiative 2004 Launch Schedule(for sales)_PP Masterflow June 15a_Wrigley - 05 budget&amp;calendar LE 050824 (25F)_Wrigley - 06 simple chart Sep 14_Sheet3" xfId="8156"/>
    <cellStyle name="_New initiative 2004 Launch Schedule(for sales)_PP Masterflow June 15a_Wrigley - 05 budget&amp;calendar LE 050824 (25I)" xfId="8157"/>
    <cellStyle name="_New initiative 2004 Launch Schedule(for sales)_PP Masterflow June 15a_Wrigley - 05 budget&amp;calendar LE 050824 (25I) 2" xfId="8158"/>
    <cellStyle name="_New initiative 2004 Launch Schedule(for sales)_PP Masterflow June 15a_Wrigley - 05 budget&amp;calendar LE 050824 (25I)_Category Template AC'11 @Cst Fx 52W vs 53W" xfId="8159"/>
    <cellStyle name="_New initiative 2004 Launch Schedule(for sales)_PP Masterflow June 15a_Wrigley - 05 budget&amp;calendar LE 050824 (25I)_Category Template AC'11 @Cst Fx 52W vs 53W 2" xfId="8160"/>
    <cellStyle name="_New initiative 2004 Launch Schedule(for sales)_PP Masterflow June 15a_Wrigley - 05 budget&amp;calendar LE 050824 (25I)_Category Template AC'11 @Cst Fx 52W vs 53W_P&amp;L KFE" xfId="8161"/>
    <cellStyle name="_New initiative 2004 Launch Schedule(for sales)_PP Masterflow June 15a_Wrigley - 05 budget&amp;calendar LE 050824 (25I)_Category Template AC'11 @Cst Fx 52W vs 53W_Sheet3" xfId="8162"/>
    <cellStyle name="_New initiative 2004 Launch Schedule(for sales)_PP Masterflow June 15a_Wrigley - 05 budget&amp;calendar LE 050824 (25I)_P&amp;L KFE" xfId="8163"/>
    <cellStyle name="_New initiative 2004 Launch Schedule(for sales)_PP Masterflow June 15a_Wrigley - 05 budget&amp;calendar LE 050824 (25I)_Sheet3" xfId="8164"/>
    <cellStyle name="_New initiative 2004 Launch Schedule(for sales)_PP Masterflow June 15a_Wrigley - 05 budget&amp;calendar LE 050824 (25I)_Wrigley - 06 simple chart Sep 14" xfId="8165"/>
    <cellStyle name="_New initiative 2004 Launch Schedule(for sales)_PP Masterflow June 15a_Wrigley - 05 budget&amp;calendar LE 050824 (25I)_Wrigley - 06 simple chart Sep 14 2" xfId="8166"/>
    <cellStyle name="_New initiative 2004 Launch Schedule(for sales)_PP Masterflow June 15a_Wrigley - 05 budget&amp;calendar LE 050824 (25I)_Wrigley - 06 simple chart Sep 14_Category Template AC'11 @Cst Fx 52W vs 53W" xfId="8167"/>
    <cellStyle name="_New initiative 2004 Launch Schedule(for sales)_PP Masterflow June 15a_Wrigley - 05 budget&amp;calendar LE 050824 (25I)_Wrigley - 06 simple chart Sep 14_Category Template AC'11 @Cst Fx 52W vs 53W 2" xfId="8168"/>
    <cellStyle name="_New initiative 2004 Launch Schedule(for sales)_PP Masterflow June 15a_Wrigley - 05 budget&amp;calendar LE 050824 (25I)_Wrigley - 06 simple chart Sep 14_Category Template AC'11 @Cst Fx 52W vs 53W_P&amp;L KFE" xfId="8169"/>
    <cellStyle name="_New initiative 2004 Launch Schedule(for sales)_PP Masterflow June 15a_Wrigley - 05 budget&amp;calendar LE 050824 (25I)_Wrigley - 06 simple chart Sep 14_Category Template AC'11 @Cst Fx 52W vs 53W_Sheet3" xfId="8170"/>
    <cellStyle name="_New initiative 2004 Launch Schedule(for sales)_PP Masterflow June 15a_Wrigley - 05 budget&amp;calendar LE 050824 (25I)_Wrigley - 06 simple chart Sep 14_P&amp;L KFE" xfId="8171"/>
    <cellStyle name="_New initiative 2004 Launch Schedule(for sales)_PP Masterflow June 15a_Wrigley - 05 budget&amp;calendar LE 050824 (25I)_Wrigley - 06 simple chart Sep 14_Sheet3" xfId="8172"/>
    <cellStyle name="_New initiative 2004 Launch Schedule(for sales)_PP Masterflow June 15a_Wrigley - 06 simple chart Sep 14" xfId="8173"/>
    <cellStyle name="_New initiative 2004 Launch Schedule(for sales)_PP Masterflow June 15a_Wrigley - 06 simple chart Sep 14 2" xfId="8174"/>
    <cellStyle name="_New initiative 2004 Launch Schedule(for sales)_PP Masterflow June 15a_Wrigley - 06 simple chart Sep 14_Category Template AC'11 @Cst Fx 52W vs 53W" xfId="8175"/>
    <cellStyle name="_New initiative 2004 Launch Schedule(for sales)_PP Masterflow June 15a_Wrigley - 06 simple chart Sep 14_Category Template AC'11 @Cst Fx 52W vs 53W 2" xfId="8176"/>
    <cellStyle name="_New initiative 2004 Launch Schedule(for sales)_PP Masterflow June 15a_Wrigley - 06 simple chart Sep 14_Category Template AC'11 @Cst Fx 52W vs 53W_P&amp;L KFE" xfId="8177"/>
    <cellStyle name="_New initiative 2004 Launch Schedule(for sales)_PP Masterflow June 15a_Wrigley - 06 simple chart Sep 14_Category Template AC'11 @Cst Fx 52W vs 53W_Sheet3" xfId="8178"/>
    <cellStyle name="_New initiative 2004 Launch Schedule(for sales)_PP Masterflow June 15a_Wrigley - 06 simple chart Sep 14_P&amp;L KFE" xfId="8179"/>
    <cellStyle name="_New initiative 2004 Launch Schedule(for sales)_PP Masterflow June 15a_Wrigley - 06 simple chart Sep 14_Sheet3" xfId="8180"/>
    <cellStyle name="_New initiative 2004 Launch Schedule(for sales)_Sheet3" xfId="8181"/>
    <cellStyle name="_New initiative 2004 Launch Schedule(for sales)_simple chart 050321 (128MMSSU)" xfId="8182"/>
    <cellStyle name="_New initiative 2004 Launch Schedule(for sales)_simple chart 050321 (128MMSSU) 2" xfId="8183"/>
    <cellStyle name="_New initiative 2004 Launch Schedule(for sales)_simple chart 050321 (128MMSSU)_Book5" xfId="8184"/>
    <cellStyle name="_New initiative 2004 Launch Schedule(for sales)_simple chart 050321 (128MMSSU)_Book5 2" xfId="8185"/>
    <cellStyle name="_New initiative 2004 Launch Schedule(for sales)_simple chart 050321 (128MMSSU)_Book5_Category Template AC'11 @Cst Fx 52W vs 53W" xfId="8186"/>
    <cellStyle name="_New initiative 2004 Launch Schedule(for sales)_simple chart 050321 (128MMSSU)_Book5_Category Template AC'11 @Cst Fx 52W vs 53W 2" xfId="8187"/>
    <cellStyle name="_New initiative 2004 Launch Schedule(for sales)_simple chart 050321 (128MMSSU)_Book5_Category Template AC'11 @Cst Fx 52W vs 53W_P&amp;L KFE" xfId="8188"/>
    <cellStyle name="_New initiative 2004 Launch Schedule(for sales)_simple chart 050321 (128MMSSU)_Book5_Category Template AC'11 @Cst Fx 52W vs 53W_Sheet3" xfId="8189"/>
    <cellStyle name="_New initiative 2004 Launch Schedule(for sales)_simple chart 050321 (128MMSSU)_Book5_P&amp;L KFE" xfId="8190"/>
    <cellStyle name="_New initiative 2004 Launch Schedule(for sales)_simple chart 050321 (128MMSSU)_Book5_Sheet3" xfId="8191"/>
    <cellStyle name="_New initiative 2004 Launch Schedule(for sales)_simple chart 050321 (128MMSSU)_CA Masterflow June 15a" xfId="8192"/>
    <cellStyle name="_New initiative 2004 Launch Schedule(for sales)_simple chart 050321 (128MMSSU)_CA Masterflow June 15a 2" xfId="8193"/>
    <cellStyle name="_New initiative 2004 Launch Schedule(for sales)_simple chart 050321 (128MMSSU)_CA Masterflow June 15a_Book5" xfId="8194"/>
    <cellStyle name="_New initiative 2004 Launch Schedule(for sales)_simple chart 050321 (128MMSSU)_CA Masterflow June 15a_Book5 2" xfId="8195"/>
    <cellStyle name="_New initiative 2004 Launch Schedule(for sales)_simple chart 050321 (128MMSSU)_CA Masterflow June 15a_Book5_Category Template AC'11 @Cst Fx 52W vs 53W" xfId="8196"/>
    <cellStyle name="_New initiative 2004 Launch Schedule(for sales)_simple chart 050321 (128MMSSU)_CA Masterflow June 15a_Book5_Category Template AC'11 @Cst Fx 52W vs 53W 2" xfId="8197"/>
    <cellStyle name="_New initiative 2004 Launch Schedule(for sales)_simple chart 050321 (128MMSSU)_CA Masterflow June 15a_Book5_Category Template AC'11 @Cst Fx 52W vs 53W_P&amp;L KFE" xfId="8198"/>
    <cellStyle name="_New initiative 2004 Launch Schedule(for sales)_simple chart 050321 (128MMSSU)_CA Masterflow June 15a_Book5_Category Template AC'11 @Cst Fx 52W vs 53W_Sheet3" xfId="8199"/>
    <cellStyle name="_New initiative 2004 Launch Schedule(for sales)_simple chart 050321 (128MMSSU)_CA Masterflow June 15a_Book5_P&amp;L KFE" xfId="8200"/>
    <cellStyle name="_New initiative 2004 Launch Schedule(for sales)_simple chart 050321 (128MMSSU)_CA Masterflow June 15a_Book5_Sheet3" xfId="8201"/>
    <cellStyle name="_New initiative 2004 Launch Schedule(for sales)_simple chart 050321 (128MMSSU)_CA Masterflow June 15a_Category Template AC'11 @Cst Fx 52W vs 53W" xfId="8202"/>
    <cellStyle name="_New initiative 2004 Launch Schedule(for sales)_simple chart 050321 (128MMSSU)_CA Masterflow June 15a_Category Template AC'11 @Cst Fx 52W vs 53W 2" xfId="8203"/>
    <cellStyle name="_New initiative 2004 Launch Schedule(for sales)_simple chart 050321 (128MMSSU)_CA Masterflow June 15a_Category Template AC'11 @Cst Fx 52W vs 53W_P&amp;L KFE" xfId="8204"/>
    <cellStyle name="_New initiative 2004 Launch Schedule(for sales)_simple chart 050321 (128MMSSU)_CA Masterflow June 15a_Category Template AC'11 @Cst Fx 52W vs 53W_Sheet3" xfId="8205"/>
    <cellStyle name="_New initiative 2004 Launch Schedule(for sales)_simple chart 050321 (128MMSSU)_CA Masterflow June 15a_P&amp;L KFE" xfId="8206"/>
    <cellStyle name="_New initiative 2004 Launch Schedule(for sales)_simple chart 050321 (128MMSSU)_CA Masterflow June 15a_Sheet3" xfId="8207"/>
    <cellStyle name="_New initiative 2004 Launch Schedule(for sales)_simple chart 050321 (128MMSSU)_CA Masterflow June 15a_Wrigley - 05 budget&amp;calendar LE 050728 (25I)" xfId="8208"/>
    <cellStyle name="_New initiative 2004 Launch Schedule(for sales)_simple chart 050321 (128MMSSU)_CA Masterflow June 15a_Wrigley - 05 budget&amp;calendar LE 050728 (25I) 2" xfId="8209"/>
    <cellStyle name="_New initiative 2004 Launch Schedule(for sales)_simple chart 050321 (128MMSSU)_CA Masterflow June 15a_Wrigley - 05 budget&amp;calendar LE 050728 (25I)_Category Template AC'11 @Cst Fx 52W vs 53W" xfId="8210"/>
    <cellStyle name="_New initiative 2004 Launch Schedule(for sales)_simple chart 050321 (128MMSSU)_CA Masterflow June 15a_Wrigley - 05 budget&amp;calendar LE 050728 (25I)_Category Template AC'11 @Cst Fx 52W vs 53W 2" xfId="8211"/>
    <cellStyle name="_New initiative 2004 Launch Schedule(for sales)_simple chart 050321 (128MMSSU)_CA Masterflow June 15a_Wrigley - 05 budget&amp;calendar LE 050728 (25I)_Category Template AC'11 @Cst Fx 52W vs 53W_P&amp;L KFE" xfId="8212"/>
    <cellStyle name="_New initiative 2004 Launch Schedule(for sales)_simple chart 050321 (128MMSSU)_CA Masterflow June 15a_Wrigley - 05 budget&amp;calendar LE 050728 (25I)_Category Template AC'11 @Cst Fx 52W vs 53W_Sheet3" xfId="8213"/>
    <cellStyle name="_New initiative 2004 Launch Schedule(for sales)_simple chart 050321 (128MMSSU)_CA Masterflow June 15a_Wrigley - 05 budget&amp;calendar LE 050728 (25I)_P&amp;L KFE" xfId="8214"/>
    <cellStyle name="_New initiative 2004 Launch Schedule(for sales)_simple chart 050321 (128MMSSU)_CA Masterflow June 15a_Wrigley - 05 budget&amp;calendar LE 050728 (25I)_Sheet3" xfId="8215"/>
    <cellStyle name="_New initiative 2004 Launch Schedule(for sales)_simple chart 050321 (128MMSSU)_CA Masterflow June 15a_Wrigley - 05 budget&amp;calendar LE 050728 (25I)_Wrigley - 06 simple chart Sep 14" xfId="8216"/>
    <cellStyle name="_New initiative 2004 Launch Schedule(for sales)_simple chart 050321 (128MMSSU)_CA Masterflow June 15a_Wrigley - 05 budget&amp;calendar LE 050728 (25I)_Wrigley - 06 simple chart Sep 14 2" xfId="8217"/>
    <cellStyle name="_New initiative 2004 Launch Schedule(for sales)_simple chart 050321 (128MMSSU)_CA Masterflow June 15a_Wrigley - 05 budget&amp;calendar LE 050728 (25I)_Wrigley - 06 simple chart Sep 14_Category Template AC'11 @Cst Fx 52W vs 53W" xfId="8218"/>
    <cellStyle name="_New initiative 2004 Launch Schedule(for sales)_simple chart 050321 (128MMSSU)_CA Masterflow June 15a_Wrigley - 05 budget&amp;calendar LE 050728 (25I)_Wrigley - 06 simple chart Sep 14_Category Template AC'11 @Cst Fx 52W vs 53W 2" xfId="8219"/>
    <cellStyle name="_New initiative 2004 Launch Schedule(for sales)_simple chart 050321 (128MMSSU)_CA Masterflow June 15a_Wrigley - 05 budget&amp;calendar LE 050728 (25I)_Wrigley - 06 simple chart Sep 14_Category Template AC'11 @Cst Fx 52W vs 53W_P&amp;L KFE" xfId="8220"/>
    <cellStyle name="_New initiative 2004 Launch Schedule(for sales)_simple chart 050321 (128MMSSU)_CA Masterflow June 15a_Wrigley - 05 budget&amp;calendar LE 050728 (25I)_Wrigley - 06 simple chart Sep 14_Category Template AC'11 @Cst Fx 52W vs 53W_Sheet3" xfId="8221"/>
    <cellStyle name="_New initiative 2004 Launch Schedule(for sales)_simple chart 050321 (128MMSSU)_CA Masterflow June 15a_Wrigley - 05 budget&amp;calendar LE 050728 (25I)_Wrigley - 06 simple chart Sep 14_P&amp;L KFE" xfId="8222"/>
    <cellStyle name="_New initiative 2004 Launch Schedule(for sales)_simple chart 050321 (128MMSSU)_CA Masterflow June 15a_Wrigley - 05 budget&amp;calendar LE 050728 (25I)_Wrigley - 06 simple chart Sep 14_Sheet3" xfId="8223"/>
    <cellStyle name="_New initiative 2004 Launch Schedule(for sales)_simple chart 050321 (128MMSSU)_CA Masterflow June 15a_Wrigley - 05 budget&amp;calendar LE 050824 (25F)" xfId="8224"/>
    <cellStyle name="_New initiative 2004 Launch Schedule(for sales)_simple chart 050321 (128MMSSU)_CA Masterflow June 15a_Wrigley - 05 budget&amp;calendar LE 050824 (25F) 2" xfId="8225"/>
    <cellStyle name="_New initiative 2004 Launch Schedule(for sales)_simple chart 050321 (128MMSSU)_CA Masterflow June 15a_Wrigley - 05 budget&amp;calendar LE 050824 (25F)_Category Template AC'11 @Cst Fx 52W vs 53W" xfId="8226"/>
    <cellStyle name="_New initiative 2004 Launch Schedule(for sales)_simple chart 050321 (128MMSSU)_CA Masterflow June 15a_Wrigley - 05 budget&amp;calendar LE 050824 (25F)_Category Template AC'11 @Cst Fx 52W vs 53W 2" xfId="8227"/>
    <cellStyle name="_New initiative 2004 Launch Schedule(for sales)_simple chart 050321 (128MMSSU)_CA Masterflow June 15a_Wrigley - 05 budget&amp;calendar LE 050824 (25F)_Category Template AC'11 @Cst Fx 52W vs 53W_P&amp;L KFE" xfId="8228"/>
    <cellStyle name="_New initiative 2004 Launch Schedule(for sales)_simple chart 050321 (128MMSSU)_CA Masterflow June 15a_Wrigley - 05 budget&amp;calendar LE 050824 (25F)_Category Template AC'11 @Cst Fx 52W vs 53W_Sheet3" xfId="8229"/>
    <cellStyle name="_New initiative 2004 Launch Schedule(for sales)_simple chart 050321 (128MMSSU)_CA Masterflow June 15a_Wrigley - 05 budget&amp;calendar LE 050824 (25F)_P&amp;L KFE" xfId="8230"/>
    <cellStyle name="_New initiative 2004 Launch Schedule(for sales)_simple chart 050321 (128MMSSU)_CA Masterflow June 15a_Wrigley - 05 budget&amp;calendar LE 050824 (25F)_Sheet3" xfId="8231"/>
    <cellStyle name="_New initiative 2004 Launch Schedule(for sales)_simple chart 050321 (128MMSSU)_CA Masterflow June 15a_Wrigley - 05 budget&amp;calendar LE 050824 (25F)_Wrigley - 06 simple chart Sep 14" xfId="8232"/>
    <cellStyle name="_New initiative 2004 Launch Schedule(for sales)_simple chart 050321 (128MMSSU)_CA Masterflow June 15a_Wrigley - 05 budget&amp;calendar LE 050824 (25F)_Wrigley - 06 simple chart Sep 14 2" xfId="8233"/>
    <cellStyle name="_New initiative 2004 Launch Schedule(for sales)_simple chart 050321 (128MMSSU)_CA Masterflow June 15a_Wrigley - 05 budget&amp;calendar LE 050824 (25F)_Wrigley - 06 simple chart Sep 14_Category Template AC'11 @Cst Fx 52W vs 53W" xfId="8234"/>
    <cellStyle name="_New initiative 2004 Launch Schedule(for sales)_simple chart 050321 (128MMSSU)_CA Masterflow June 15a_Wrigley - 05 budget&amp;calendar LE 050824 (25F)_Wrigley - 06 simple chart Sep 14_Category Template AC'11 @Cst Fx 52W vs 53W 2" xfId="8235"/>
    <cellStyle name="_New initiative 2004 Launch Schedule(for sales)_simple chart 050321 (128MMSSU)_CA Masterflow June 15a_Wrigley - 05 budget&amp;calendar LE 050824 (25F)_Wrigley - 06 simple chart Sep 14_Category Template AC'11 @Cst Fx 52W vs 53W_P&amp;L KFE" xfId="8236"/>
    <cellStyle name="_New initiative 2004 Launch Schedule(for sales)_simple chart 050321 (128MMSSU)_CA Masterflow June 15a_Wrigley - 05 budget&amp;calendar LE 050824 (25F)_Wrigley - 06 simple chart Sep 14_Category Template AC'11 @Cst Fx 52W vs 53W_Sheet3" xfId="8237"/>
    <cellStyle name="_New initiative 2004 Launch Schedule(for sales)_simple chart 050321 (128MMSSU)_CA Masterflow June 15a_Wrigley - 05 budget&amp;calendar LE 050824 (25F)_Wrigley - 06 simple chart Sep 14_P&amp;L KFE" xfId="8238"/>
    <cellStyle name="_New initiative 2004 Launch Schedule(for sales)_simple chart 050321 (128MMSSU)_CA Masterflow June 15a_Wrigley - 05 budget&amp;calendar LE 050824 (25F)_Wrigley - 06 simple chart Sep 14_Sheet3" xfId="8239"/>
    <cellStyle name="_New initiative 2004 Launch Schedule(for sales)_simple chart 050321 (128MMSSU)_CA Masterflow June 15a_Wrigley - 05 budget&amp;calendar LE 050824 (25I)" xfId="8240"/>
    <cellStyle name="_New initiative 2004 Launch Schedule(for sales)_simple chart 050321 (128MMSSU)_CA Masterflow June 15a_Wrigley - 05 budget&amp;calendar LE 050824 (25I) 2" xfId="8241"/>
    <cellStyle name="_New initiative 2004 Launch Schedule(for sales)_simple chart 050321 (128MMSSU)_CA Masterflow June 15a_Wrigley - 05 budget&amp;calendar LE 050824 (25I)_Category Template AC'11 @Cst Fx 52W vs 53W" xfId="8242"/>
    <cellStyle name="_New initiative 2004 Launch Schedule(for sales)_simple chart 050321 (128MMSSU)_CA Masterflow June 15a_Wrigley - 05 budget&amp;calendar LE 050824 (25I)_Category Template AC'11 @Cst Fx 52W vs 53W 2" xfId="8243"/>
    <cellStyle name="_New initiative 2004 Launch Schedule(for sales)_simple chart 050321 (128MMSSU)_CA Masterflow June 15a_Wrigley - 05 budget&amp;calendar LE 050824 (25I)_Category Template AC'11 @Cst Fx 52W vs 53W_P&amp;L KFE" xfId="8244"/>
    <cellStyle name="_New initiative 2004 Launch Schedule(for sales)_simple chart 050321 (128MMSSU)_CA Masterflow June 15a_Wrigley - 05 budget&amp;calendar LE 050824 (25I)_Category Template AC'11 @Cst Fx 52W vs 53W_Sheet3" xfId="8245"/>
    <cellStyle name="_New initiative 2004 Launch Schedule(for sales)_simple chart 050321 (128MMSSU)_CA Masterflow June 15a_Wrigley - 05 budget&amp;calendar LE 050824 (25I)_P&amp;L KFE" xfId="8246"/>
    <cellStyle name="_New initiative 2004 Launch Schedule(for sales)_simple chart 050321 (128MMSSU)_CA Masterflow June 15a_Wrigley - 05 budget&amp;calendar LE 050824 (25I)_Sheet3" xfId="8247"/>
    <cellStyle name="_New initiative 2004 Launch Schedule(for sales)_simple chart 050321 (128MMSSU)_CA Masterflow June 15a_Wrigley - 05 budget&amp;calendar LE 050824 (25I)_Wrigley - 06 simple chart Sep 14" xfId="8248"/>
    <cellStyle name="_New initiative 2004 Launch Schedule(for sales)_simple chart 050321 (128MMSSU)_CA Masterflow June 15a_Wrigley - 05 budget&amp;calendar LE 050824 (25I)_Wrigley - 06 simple chart Sep 14 2" xfId="8249"/>
    <cellStyle name="_New initiative 2004 Launch Schedule(for sales)_simple chart 050321 (128MMSSU)_CA Masterflow June 15a_Wrigley - 05 budget&amp;calendar LE 050824 (25I)_Wrigley - 06 simple chart Sep 14_Category Template AC'11 @Cst Fx 52W vs 53W" xfId="8250"/>
    <cellStyle name="_New initiative 2004 Launch Schedule(for sales)_simple chart 050321 (128MMSSU)_CA Masterflow June 15a_Wrigley - 05 budget&amp;calendar LE 050824 (25I)_Wrigley - 06 simple chart Sep 14_Category Template AC'11 @Cst Fx 52W vs 53W 2" xfId="8251"/>
    <cellStyle name="_New initiative 2004 Launch Schedule(for sales)_simple chart 050321 (128MMSSU)_CA Masterflow June 15a_Wrigley - 05 budget&amp;calendar LE 050824 (25I)_Wrigley - 06 simple chart Sep 14_Category Template AC'11 @Cst Fx 52W vs 53W_P&amp;L KFE" xfId="8252"/>
    <cellStyle name="_New initiative 2004 Launch Schedule(for sales)_simple chart 050321 (128MMSSU)_CA Masterflow June 15a_Wrigley - 05 budget&amp;calendar LE 050824 (25I)_Wrigley - 06 simple chart Sep 14_Category Template AC'11 @Cst Fx 52W vs 53W_Sheet3" xfId="8253"/>
    <cellStyle name="_New initiative 2004 Launch Schedule(for sales)_simple chart 050321 (128MMSSU)_CA Masterflow June 15a_Wrigley - 05 budget&amp;calendar LE 050824 (25I)_Wrigley - 06 simple chart Sep 14_P&amp;L KFE" xfId="8254"/>
    <cellStyle name="_New initiative 2004 Launch Schedule(for sales)_simple chart 050321 (128MMSSU)_CA Masterflow June 15a_Wrigley - 05 budget&amp;calendar LE 050824 (25I)_Wrigley - 06 simple chart Sep 14_Sheet3" xfId="8255"/>
    <cellStyle name="_New initiative 2004 Launch Schedule(for sales)_simple chart 050321 (128MMSSU)_CA Masterflow June 15a_Wrigley - 06 simple chart Sep 14" xfId="8256"/>
    <cellStyle name="_New initiative 2004 Launch Schedule(for sales)_simple chart 050321 (128MMSSU)_CA Masterflow June 15a_Wrigley - 06 simple chart Sep 14 2" xfId="8257"/>
    <cellStyle name="_New initiative 2004 Launch Schedule(for sales)_simple chart 050321 (128MMSSU)_CA Masterflow June 15a_Wrigley - 06 simple chart Sep 14_Category Template AC'11 @Cst Fx 52W vs 53W" xfId="8258"/>
    <cellStyle name="_New initiative 2004 Launch Schedule(for sales)_simple chart 050321 (128MMSSU)_CA Masterflow June 15a_Wrigley - 06 simple chart Sep 14_Category Template AC'11 @Cst Fx 52W vs 53W 2" xfId="8259"/>
    <cellStyle name="_New initiative 2004 Launch Schedule(for sales)_simple chart 050321 (128MMSSU)_CA Masterflow June 15a_Wrigley - 06 simple chart Sep 14_Category Template AC'11 @Cst Fx 52W vs 53W_P&amp;L KFE" xfId="8260"/>
    <cellStyle name="_New initiative 2004 Launch Schedule(for sales)_simple chart 050321 (128MMSSU)_CA Masterflow June 15a_Wrigley - 06 simple chart Sep 14_Category Template AC'11 @Cst Fx 52W vs 53W_Sheet3" xfId="8261"/>
    <cellStyle name="_New initiative 2004 Launch Schedule(for sales)_simple chart 050321 (128MMSSU)_CA Masterflow June 15a_Wrigley - 06 simple chart Sep 14_P&amp;L KFE" xfId="8262"/>
    <cellStyle name="_New initiative 2004 Launch Schedule(for sales)_simple chart 050321 (128MMSSU)_CA Masterflow June 15a_Wrigley - 06 simple chart Sep 14_Sheet3" xfId="8263"/>
    <cellStyle name="_New initiative 2004 Launch Schedule(for sales)_simple chart 050321 (128MMSSU)_Category Template AC'11 @Cst Fx 52W vs 53W" xfId="8264"/>
    <cellStyle name="_New initiative 2004 Launch Schedule(for sales)_simple chart 050321 (128MMSSU)_Category Template AC'11 @Cst Fx 52W vs 53W 2" xfId="8265"/>
    <cellStyle name="_New initiative 2004 Launch Schedule(for sales)_simple chart 050321 (128MMSSU)_Category Template AC'11 @Cst Fx 52W vs 53W_P&amp;L KFE" xfId="8266"/>
    <cellStyle name="_New initiative 2004 Launch Schedule(for sales)_simple chart 050321 (128MMSSU)_Category Template AC'11 @Cst Fx 52W vs 53W_Sheet3" xfId="8267"/>
    <cellStyle name="_New initiative 2004 Launch Schedule(for sales)_simple chart 050321 (128MMSSU)_CG Masterflow June 15a" xfId="8268"/>
    <cellStyle name="_New initiative 2004 Launch Schedule(for sales)_simple chart 050321 (128MMSSU)_CG Masterflow June 15a 2" xfId="8269"/>
    <cellStyle name="_New initiative 2004 Launch Schedule(for sales)_simple chart 050321 (128MMSSU)_CG Masterflow June 15a_Book5" xfId="8270"/>
    <cellStyle name="_New initiative 2004 Launch Schedule(for sales)_simple chart 050321 (128MMSSU)_CG Masterflow June 15a_Book5 2" xfId="8271"/>
    <cellStyle name="_New initiative 2004 Launch Schedule(for sales)_simple chart 050321 (128MMSSU)_CG Masterflow June 15a_Book5_Category Template AC'11 @Cst Fx 52W vs 53W" xfId="8272"/>
    <cellStyle name="_New initiative 2004 Launch Schedule(for sales)_simple chart 050321 (128MMSSU)_CG Masterflow June 15a_Book5_Category Template AC'11 @Cst Fx 52W vs 53W 2" xfId="8273"/>
    <cellStyle name="_New initiative 2004 Launch Schedule(for sales)_simple chart 050321 (128MMSSU)_CG Masterflow June 15a_Book5_Category Template AC'11 @Cst Fx 52W vs 53W_P&amp;L KFE" xfId="8274"/>
    <cellStyle name="_New initiative 2004 Launch Schedule(for sales)_simple chart 050321 (128MMSSU)_CG Masterflow June 15a_Book5_Category Template AC'11 @Cst Fx 52W vs 53W_Sheet3" xfId="8275"/>
    <cellStyle name="_New initiative 2004 Launch Schedule(for sales)_simple chart 050321 (128MMSSU)_CG Masterflow June 15a_Book5_P&amp;L KFE" xfId="8276"/>
    <cellStyle name="_New initiative 2004 Launch Schedule(for sales)_simple chart 050321 (128MMSSU)_CG Masterflow June 15a_Book5_Sheet3" xfId="8277"/>
    <cellStyle name="_New initiative 2004 Launch Schedule(for sales)_simple chart 050321 (128MMSSU)_CG Masterflow June 15a_Category Template AC'11 @Cst Fx 52W vs 53W" xfId="8278"/>
    <cellStyle name="_New initiative 2004 Launch Schedule(for sales)_simple chart 050321 (128MMSSU)_CG Masterflow June 15a_Category Template AC'11 @Cst Fx 52W vs 53W 2" xfId="8279"/>
    <cellStyle name="_New initiative 2004 Launch Schedule(for sales)_simple chart 050321 (128MMSSU)_CG Masterflow June 15a_Category Template AC'11 @Cst Fx 52W vs 53W_P&amp;L KFE" xfId="8280"/>
    <cellStyle name="_New initiative 2004 Launch Schedule(for sales)_simple chart 050321 (128MMSSU)_CG Masterflow June 15a_Category Template AC'11 @Cst Fx 52W vs 53W_Sheet3" xfId="8281"/>
    <cellStyle name="_New initiative 2004 Launch Schedule(for sales)_simple chart 050321 (128MMSSU)_CG Masterflow June 15a_P&amp;L KFE" xfId="8282"/>
    <cellStyle name="_New initiative 2004 Launch Schedule(for sales)_simple chart 050321 (128MMSSU)_CG Masterflow June 15a_Sheet3" xfId="8283"/>
    <cellStyle name="_New initiative 2004 Launch Schedule(for sales)_simple chart 050321 (128MMSSU)_CG Masterflow June 15a_Wrigley - 05 budget&amp;calendar LE 050728 (25I)" xfId="8284"/>
    <cellStyle name="_New initiative 2004 Launch Schedule(for sales)_simple chart 050321 (128MMSSU)_CG Masterflow June 15a_Wrigley - 05 budget&amp;calendar LE 050728 (25I) 2" xfId="8285"/>
    <cellStyle name="_New initiative 2004 Launch Schedule(for sales)_simple chart 050321 (128MMSSU)_CG Masterflow June 15a_Wrigley - 05 budget&amp;calendar LE 050728 (25I)_Category Template AC'11 @Cst Fx 52W vs 53W" xfId="8286"/>
    <cellStyle name="_New initiative 2004 Launch Schedule(for sales)_simple chart 050321 (128MMSSU)_CG Masterflow June 15a_Wrigley - 05 budget&amp;calendar LE 050728 (25I)_Category Template AC'11 @Cst Fx 52W vs 53W 2" xfId="8287"/>
    <cellStyle name="_New initiative 2004 Launch Schedule(for sales)_simple chart 050321 (128MMSSU)_CG Masterflow June 15a_Wrigley - 05 budget&amp;calendar LE 050728 (25I)_Category Template AC'11 @Cst Fx 52W vs 53W_P&amp;L KFE" xfId="8288"/>
    <cellStyle name="_New initiative 2004 Launch Schedule(for sales)_simple chart 050321 (128MMSSU)_CG Masterflow June 15a_Wrigley - 05 budget&amp;calendar LE 050728 (25I)_Category Template AC'11 @Cst Fx 52W vs 53W_Sheet3" xfId="8289"/>
    <cellStyle name="_New initiative 2004 Launch Schedule(for sales)_simple chart 050321 (128MMSSU)_CG Masterflow June 15a_Wrigley - 05 budget&amp;calendar LE 050728 (25I)_P&amp;L KFE" xfId="8290"/>
    <cellStyle name="_New initiative 2004 Launch Schedule(for sales)_simple chart 050321 (128MMSSU)_CG Masterflow June 15a_Wrigley - 05 budget&amp;calendar LE 050728 (25I)_Sheet3" xfId="8291"/>
    <cellStyle name="_New initiative 2004 Launch Schedule(for sales)_simple chart 050321 (128MMSSU)_CG Masterflow June 15a_Wrigley - 05 budget&amp;calendar LE 050728 (25I)_Wrigley - 06 simple chart Sep 14" xfId="8292"/>
    <cellStyle name="_New initiative 2004 Launch Schedule(for sales)_simple chart 050321 (128MMSSU)_CG Masterflow June 15a_Wrigley - 05 budget&amp;calendar LE 050728 (25I)_Wrigley - 06 simple chart Sep 14 2" xfId="8293"/>
    <cellStyle name="_New initiative 2004 Launch Schedule(for sales)_simple chart 050321 (128MMSSU)_CG Masterflow June 15a_Wrigley - 05 budget&amp;calendar LE 050728 (25I)_Wrigley - 06 simple chart Sep 14_Category Template AC'11 @Cst Fx 52W vs 53W" xfId="8294"/>
    <cellStyle name="_New initiative 2004 Launch Schedule(for sales)_simple chart 050321 (128MMSSU)_CG Masterflow June 15a_Wrigley - 05 budget&amp;calendar LE 050728 (25I)_Wrigley - 06 simple chart Sep 14_Category Template AC'11 @Cst Fx 52W vs 53W 2" xfId="8295"/>
    <cellStyle name="_New initiative 2004 Launch Schedule(for sales)_simple chart 050321 (128MMSSU)_CG Masterflow June 15a_Wrigley - 05 budget&amp;calendar LE 050728 (25I)_Wrigley - 06 simple chart Sep 14_Category Template AC'11 @Cst Fx 52W vs 53W_P&amp;L KFE" xfId="8296"/>
    <cellStyle name="_New initiative 2004 Launch Schedule(for sales)_simple chart 050321 (128MMSSU)_CG Masterflow June 15a_Wrigley - 05 budget&amp;calendar LE 050728 (25I)_Wrigley - 06 simple chart Sep 14_Category Template AC'11 @Cst Fx 52W vs 53W_Sheet3" xfId="8297"/>
    <cellStyle name="_New initiative 2004 Launch Schedule(for sales)_simple chart 050321 (128MMSSU)_CG Masterflow June 15a_Wrigley - 05 budget&amp;calendar LE 050728 (25I)_Wrigley - 06 simple chart Sep 14_P&amp;L KFE" xfId="8298"/>
    <cellStyle name="_New initiative 2004 Launch Schedule(for sales)_simple chart 050321 (128MMSSU)_CG Masterflow June 15a_Wrigley - 05 budget&amp;calendar LE 050728 (25I)_Wrigley - 06 simple chart Sep 14_Sheet3" xfId="8299"/>
    <cellStyle name="_New initiative 2004 Launch Schedule(for sales)_simple chart 050321 (128MMSSU)_CG Masterflow June 15a_Wrigley - 05 budget&amp;calendar LE 050824 (25F)" xfId="8300"/>
    <cellStyle name="_New initiative 2004 Launch Schedule(for sales)_simple chart 050321 (128MMSSU)_CG Masterflow June 15a_Wrigley - 05 budget&amp;calendar LE 050824 (25F) 2" xfId="8301"/>
    <cellStyle name="_New initiative 2004 Launch Schedule(for sales)_simple chart 050321 (128MMSSU)_CG Masterflow June 15a_Wrigley - 05 budget&amp;calendar LE 050824 (25F)_Category Template AC'11 @Cst Fx 52W vs 53W" xfId="8302"/>
    <cellStyle name="_New initiative 2004 Launch Schedule(for sales)_simple chart 050321 (128MMSSU)_CG Masterflow June 15a_Wrigley - 05 budget&amp;calendar LE 050824 (25F)_Category Template AC'11 @Cst Fx 52W vs 53W 2" xfId="8303"/>
    <cellStyle name="_New initiative 2004 Launch Schedule(for sales)_simple chart 050321 (128MMSSU)_CG Masterflow June 15a_Wrigley - 05 budget&amp;calendar LE 050824 (25F)_Category Template AC'11 @Cst Fx 52W vs 53W_P&amp;L KFE" xfId="8304"/>
    <cellStyle name="_New initiative 2004 Launch Schedule(for sales)_simple chart 050321 (128MMSSU)_CG Masterflow June 15a_Wrigley - 05 budget&amp;calendar LE 050824 (25F)_Category Template AC'11 @Cst Fx 52W vs 53W_Sheet3" xfId="8305"/>
    <cellStyle name="_New initiative 2004 Launch Schedule(for sales)_simple chart 050321 (128MMSSU)_CG Masterflow June 15a_Wrigley - 05 budget&amp;calendar LE 050824 (25F)_P&amp;L KFE" xfId="8306"/>
    <cellStyle name="_New initiative 2004 Launch Schedule(for sales)_simple chart 050321 (128MMSSU)_CG Masterflow June 15a_Wrigley - 05 budget&amp;calendar LE 050824 (25F)_Sheet3" xfId="8307"/>
    <cellStyle name="_New initiative 2004 Launch Schedule(for sales)_simple chart 050321 (128MMSSU)_CG Masterflow June 15a_Wrigley - 05 budget&amp;calendar LE 050824 (25F)_Wrigley - 06 simple chart Sep 14" xfId="8308"/>
    <cellStyle name="_New initiative 2004 Launch Schedule(for sales)_simple chart 050321 (128MMSSU)_CG Masterflow June 15a_Wrigley - 05 budget&amp;calendar LE 050824 (25F)_Wrigley - 06 simple chart Sep 14 2" xfId="8309"/>
    <cellStyle name="_New initiative 2004 Launch Schedule(for sales)_simple chart 050321 (128MMSSU)_CG Masterflow June 15a_Wrigley - 05 budget&amp;calendar LE 050824 (25F)_Wrigley - 06 simple chart Sep 14_Category Template AC'11 @Cst Fx 52W vs 53W" xfId="8310"/>
    <cellStyle name="_New initiative 2004 Launch Schedule(for sales)_simple chart 050321 (128MMSSU)_CG Masterflow June 15a_Wrigley - 05 budget&amp;calendar LE 050824 (25F)_Wrigley - 06 simple chart Sep 14_Category Template AC'11 @Cst Fx 52W vs 53W 2" xfId="8311"/>
    <cellStyle name="_New initiative 2004 Launch Schedule(for sales)_simple chart 050321 (128MMSSU)_CG Masterflow June 15a_Wrigley - 05 budget&amp;calendar LE 050824 (25F)_Wrigley - 06 simple chart Sep 14_Category Template AC'11 @Cst Fx 52W vs 53W_P&amp;L KFE" xfId="8312"/>
    <cellStyle name="_New initiative 2004 Launch Schedule(for sales)_simple chart 050321 (128MMSSU)_CG Masterflow June 15a_Wrigley - 05 budget&amp;calendar LE 050824 (25F)_Wrigley - 06 simple chart Sep 14_Category Template AC'11 @Cst Fx 52W vs 53W_Sheet3" xfId="8313"/>
    <cellStyle name="_New initiative 2004 Launch Schedule(for sales)_simple chart 050321 (128MMSSU)_CG Masterflow June 15a_Wrigley - 05 budget&amp;calendar LE 050824 (25F)_Wrigley - 06 simple chart Sep 14_P&amp;L KFE" xfId="8314"/>
    <cellStyle name="_New initiative 2004 Launch Schedule(for sales)_simple chart 050321 (128MMSSU)_CG Masterflow June 15a_Wrigley - 05 budget&amp;calendar LE 050824 (25F)_Wrigley - 06 simple chart Sep 14_Sheet3" xfId="8315"/>
    <cellStyle name="_New initiative 2004 Launch Schedule(for sales)_simple chart 050321 (128MMSSU)_CG Masterflow June 15a_Wrigley - 05 budget&amp;calendar LE 050824 (25I)" xfId="8316"/>
    <cellStyle name="_New initiative 2004 Launch Schedule(for sales)_simple chart 050321 (128MMSSU)_CG Masterflow June 15a_Wrigley - 05 budget&amp;calendar LE 050824 (25I) 2" xfId="8317"/>
    <cellStyle name="_New initiative 2004 Launch Schedule(for sales)_simple chart 050321 (128MMSSU)_CG Masterflow June 15a_Wrigley - 05 budget&amp;calendar LE 050824 (25I)_Category Template AC'11 @Cst Fx 52W vs 53W" xfId="8318"/>
    <cellStyle name="_New initiative 2004 Launch Schedule(for sales)_simple chart 050321 (128MMSSU)_CG Masterflow June 15a_Wrigley - 05 budget&amp;calendar LE 050824 (25I)_Category Template AC'11 @Cst Fx 52W vs 53W 2" xfId="8319"/>
    <cellStyle name="_New initiative 2004 Launch Schedule(for sales)_simple chart 050321 (128MMSSU)_CG Masterflow June 15a_Wrigley - 05 budget&amp;calendar LE 050824 (25I)_Category Template AC'11 @Cst Fx 52W vs 53W_P&amp;L KFE" xfId="8320"/>
    <cellStyle name="_New initiative 2004 Launch Schedule(for sales)_simple chart 050321 (128MMSSU)_CG Masterflow June 15a_Wrigley - 05 budget&amp;calendar LE 050824 (25I)_Category Template AC'11 @Cst Fx 52W vs 53W_Sheet3" xfId="8321"/>
    <cellStyle name="_New initiative 2004 Launch Schedule(for sales)_simple chart 050321 (128MMSSU)_CG Masterflow June 15a_Wrigley - 05 budget&amp;calendar LE 050824 (25I)_P&amp;L KFE" xfId="8322"/>
    <cellStyle name="_New initiative 2004 Launch Schedule(for sales)_simple chart 050321 (128MMSSU)_CG Masterflow June 15a_Wrigley - 05 budget&amp;calendar LE 050824 (25I)_Sheet3" xfId="8323"/>
    <cellStyle name="_New initiative 2004 Launch Schedule(for sales)_simple chart 050321 (128MMSSU)_CG Masterflow June 15a_Wrigley - 05 budget&amp;calendar LE 050824 (25I)_Wrigley - 06 simple chart Sep 14" xfId="8324"/>
    <cellStyle name="_New initiative 2004 Launch Schedule(for sales)_simple chart 050321 (128MMSSU)_CG Masterflow June 15a_Wrigley - 05 budget&amp;calendar LE 050824 (25I)_Wrigley - 06 simple chart Sep 14 2" xfId="8325"/>
    <cellStyle name="_New initiative 2004 Launch Schedule(for sales)_simple chart 050321 (128MMSSU)_CG Masterflow June 15a_Wrigley - 05 budget&amp;calendar LE 050824 (25I)_Wrigley - 06 simple chart Sep 14_Category Template AC'11 @Cst Fx 52W vs 53W" xfId="8326"/>
    <cellStyle name="_New initiative 2004 Launch Schedule(for sales)_simple chart 050321 (128MMSSU)_CG Masterflow June 15a_Wrigley - 05 budget&amp;calendar LE 050824 (25I)_Wrigley - 06 simple chart Sep 14_Category Template AC'11 @Cst Fx 52W vs 53W 2" xfId="8327"/>
    <cellStyle name="_New initiative 2004 Launch Schedule(for sales)_simple chart 050321 (128MMSSU)_CG Masterflow June 15a_Wrigley - 05 budget&amp;calendar LE 050824 (25I)_Wrigley - 06 simple chart Sep 14_Category Template AC'11 @Cst Fx 52W vs 53W_P&amp;L KFE" xfId="8328"/>
    <cellStyle name="_New initiative 2004 Launch Schedule(for sales)_simple chart 050321 (128MMSSU)_CG Masterflow June 15a_Wrigley - 05 budget&amp;calendar LE 050824 (25I)_Wrigley - 06 simple chart Sep 14_Category Template AC'11 @Cst Fx 52W vs 53W_Sheet3" xfId="8329"/>
    <cellStyle name="_New initiative 2004 Launch Schedule(for sales)_simple chart 050321 (128MMSSU)_CG Masterflow June 15a_Wrigley - 05 budget&amp;calendar LE 050824 (25I)_Wrigley - 06 simple chart Sep 14_P&amp;L KFE" xfId="8330"/>
    <cellStyle name="_New initiative 2004 Launch Schedule(for sales)_simple chart 050321 (128MMSSU)_CG Masterflow June 15a_Wrigley - 05 budget&amp;calendar LE 050824 (25I)_Wrigley - 06 simple chart Sep 14_Sheet3" xfId="8331"/>
    <cellStyle name="_New initiative 2004 Launch Schedule(for sales)_simple chart 050321 (128MMSSU)_CG Masterflow June 15a_Wrigley - 06 simple chart Sep 14" xfId="8332"/>
    <cellStyle name="_New initiative 2004 Launch Schedule(for sales)_simple chart 050321 (128MMSSU)_CG Masterflow June 15a_Wrigley - 06 simple chart Sep 14 2" xfId="8333"/>
    <cellStyle name="_New initiative 2004 Launch Schedule(for sales)_simple chart 050321 (128MMSSU)_CG Masterflow June 15a_Wrigley - 06 simple chart Sep 14_Category Template AC'11 @Cst Fx 52W vs 53W" xfId="8334"/>
    <cellStyle name="_New initiative 2004 Launch Schedule(for sales)_simple chart 050321 (128MMSSU)_CG Masterflow June 15a_Wrigley - 06 simple chart Sep 14_Category Template AC'11 @Cst Fx 52W vs 53W 2" xfId="8335"/>
    <cellStyle name="_New initiative 2004 Launch Schedule(for sales)_simple chart 050321 (128MMSSU)_CG Masterflow June 15a_Wrigley - 06 simple chart Sep 14_Category Template AC'11 @Cst Fx 52W vs 53W_P&amp;L KFE" xfId="8336"/>
    <cellStyle name="_New initiative 2004 Launch Schedule(for sales)_simple chart 050321 (128MMSSU)_CG Masterflow June 15a_Wrigley - 06 simple chart Sep 14_Category Template AC'11 @Cst Fx 52W vs 53W_Sheet3" xfId="8337"/>
    <cellStyle name="_New initiative 2004 Launch Schedule(for sales)_simple chart 050321 (128MMSSU)_CG Masterflow June 15a_Wrigley - 06 simple chart Sep 14_P&amp;L KFE" xfId="8338"/>
    <cellStyle name="_New initiative 2004 Launch Schedule(for sales)_simple chart 050321 (128MMSSU)_CG Masterflow June 15a_Wrigley - 06 simple chart Sep 14_Sheet3" xfId="8339"/>
    <cellStyle name="_New initiative 2004 Launch Schedule(for sales)_simple chart 050321 (128MMSSU)_Copy of DM Masterflow - Jun 15a" xfId="8340"/>
    <cellStyle name="_New initiative 2004 Launch Schedule(for sales)_simple chart 050321 (128MMSSU)_Copy of DM Masterflow - Jun 15a 2" xfId="8341"/>
    <cellStyle name="_New initiative 2004 Launch Schedule(for sales)_simple chart 050321 (128MMSSU)_Copy of DM Masterflow - Jun 15a_Book5" xfId="8342"/>
    <cellStyle name="_New initiative 2004 Launch Schedule(for sales)_simple chart 050321 (128MMSSU)_Copy of DM Masterflow - Jun 15a_Book5 2" xfId="8343"/>
    <cellStyle name="_New initiative 2004 Launch Schedule(for sales)_simple chart 050321 (128MMSSU)_Copy of DM Masterflow - Jun 15a_Book5_Category Template AC'11 @Cst Fx 52W vs 53W" xfId="8344"/>
    <cellStyle name="_New initiative 2004 Launch Schedule(for sales)_simple chart 050321 (128MMSSU)_Copy of DM Masterflow - Jun 15a_Book5_Category Template AC'11 @Cst Fx 52W vs 53W 2" xfId="8345"/>
    <cellStyle name="_New initiative 2004 Launch Schedule(for sales)_simple chart 050321 (128MMSSU)_Copy of DM Masterflow - Jun 15a_Book5_Category Template AC'11 @Cst Fx 52W vs 53W_P&amp;L KFE" xfId="8346"/>
    <cellStyle name="_New initiative 2004 Launch Schedule(for sales)_simple chart 050321 (128MMSSU)_Copy of DM Masterflow - Jun 15a_Book5_Category Template AC'11 @Cst Fx 52W vs 53W_Sheet3" xfId="8347"/>
    <cellStyle name="_New initiative 2004 Launch Schedule(for sales)_simple chart 050321 (128MMSSU)_Copy of DM Masterflow - Jun 15a_Book5_P&amp;L KFE" xfId="8348"/>
    <cellStyle name="_New initiative 2004 Launch Schedule(for sales)_simple chart 050321 (128MMSSU)_Copy of DM Masterflow - Jun 15a_Book5_Sheet3" xfId="8349"/>
    <cellStyle name="_New initiative 2004 Launch Schedule(for sales)_simple chart 050321 (128MMSSU)_Copy of DM Masterflow - Jun 15a_Category Template AC'11 @Cst Fx 52W vs 53W" xfId="8350"/>
    <cellStyle name="_New initiative 2004 Launch Schedule(for sales)_simple chart 050321 (128MMSSU)_Copy of DM Masterflow - Jun 15a_Category Template AC'11 @Cst Fx 52W vs 53W 2" xfId="8351"/>
    <cellStyle name="_New initiative 2004 Launch Schedule(for sales)_simple chart 050321 (128MMSSU)_Copy of DM Masterflow - Jun 15a_Category Template AC'11 @Cst Fx 52W vs 53W_P&amp;L KFE" xfId="8352"/>
    <cellStyle name="_New initiative 2004 Launch Schedule(for sales)_simple chart 050321 (128MMSSU)_Copy of DM Masterflow - Jun 15a_Category Template AC'11 @Cst Fx 52W vs 53W_Sheet3" xfId="8353"/>
    <cellStyle name="_New initiative 2004 Launch Schedule(for sales)_simple chart 050321 (128MMSSU)_Copy of DM Masterflow - Jun 15a_P&amp;L KFE" xfId="8354"/>
    <cellStyle name="_New initiative 2004 Launch Schedule(for sales)_simple chart 050321 (128MMSSU)_Copy of DM Masterflow - Jun 15a_Sheet3" xfId="8355"/>
    <cellStyle name="_New initiative 2004 Launch Schedule(for sales)_simple chart 050321 (128MMSSU)_Copy of DM Masterflow - Jun 15a_Wrigley - 05 budget&amp;calendar LE 050728 (25I)" xfId="8356"/>
    <cellStyle name="_New initiative 2004 Launch Schedule(for sales)_simple chart 050321 (128MMSSU)_Copy of DM Masterflow - Jun 15a_Wrigley - 05 budget&amp;calendar LE 050728 (25I) 2" xfId="8357"/>
    <cellStyle name="_New initiative 2004 Launch Schedule(for sales)_simple chart 050321 (128MMSSU)_Copy of DM Masterflow - Jun 15a_Wrigley - 05 budget&amp;calendar LE 050728 (25I)_Category Template AC'11 @Cst Fx 52W vs 53W" xfId="8358"/>
    <cellStyle name="_New initiative 2004 Launch Schedule(for sales)_simple chart 050321 (128MMSSU)_Copy of DM Masterflow - Jun 15a_Wrigley - 05 budget&amp;calendar LE 050728 (25I)_Category Template AC'11 @Cst Fx 52W vs 53W 2" xfId="8359"/>
    <cellStyle name="_New initiative 2004 Launch Schedule(for sales)_simple chart 050321 (128MMSSU)_Copy of DM Masterflow - Jun 15a_Wrigley - 05 budget&amp;calendar LE 050728 (25I)_Category Template AC'11 @Cst Fx 52W vs 53W_P&amp;L KFE" xfId="8360"/>
    <cellStyle name="_New initiative 2004 Launch Schedule(for sales)_simple chart 050321 (128MMSSU)_Copy of DM Masterflow - Jun 15a_Wrigley - 05 budget&amp;calendar LE 050728 (25I)_Category Template AC'11 @Cst Fx 52W vs 53W_Sheet3" xfId="8361"/>
    <cellStyle name="_New initiative 2004 Launch Schedule(for sales)_simple chart 050321 (128MMSSU)_Copy of DM Masterflow - Jun 15a_Wrigley - 05 budget&amp;calendar LE 050728 (25I)_P&amp;L KFE" xfId="8362"/>
    <cellStyle name="_New initiative 2004 Launch Schedule(for sales)_simple chart 050321 (128MMSSU)_Copy of DM Masterflow - Jun 15a_Wrigley - 05 budget&amp;calendar LE 050728 (25I)_Sheet3" xfId="8363"/>
    <cellStyle name="_New initiative 2004 Launch Schedule(for sales)_simple chart 050321 (128MMSSU)_Copy of DM Masterflow - Jun 15a_Wrigley - 05 budget&amp;calendar LE 050728 (25I)_Wrigley - 06 simple chart Sep 14" xfId="8364"/>
    <cellStyle name="_New initiative 2004 Launch Schedule(for sales)_simple chart 050321 (128MMSSU)_Copy of DM Masterflow - Jun 15a_Wrigley - 05 budget&amp;calendar LE 050728 (25I)_Wrigley - 06 simple chart Sep 14 2" xfId="8365"/>
    <cellStyle name="_New initiative 2004 Launch Schedule(for sales)_simple chart 050321 (128MMSSU)_Copy of DM Masterflow - Jun 15a_Wrigley - 05 budget&amp;calendar LE 050728 (25I)_Wrigley - 06 simple chart Sep 14_Category Template AC'11 @Cst Fx 52W vs 53W" xfId="8366"/>
    <cellStyle name="_New initiative 2004 Launch Schedule(for sales)_simple chart 050321 (128MMSSU)_Copy of DM Masterflow - Jun 15a_Wrigley - 05 budget&amp;calendar LE 050728 (25I)_Wrigley - 06 simple chart Sep 14_Category Template AC'11 @Cst Fx 52W vs 53W 2" xfId="8367"/>
    <cellStyle name="_New initiative 2004 Launch Schedule(for sales)_simple chart 050321 (128MMSSU)_Copy of DM Masterflow - Jun 15a_Wrigley - 05 budget&amp;calendar LE 050728 (25I)_Wrigley - 06 simple chart Sep 14_Category Template AC'11 @Cst Fx 52W vs 53W_P&amp;L KFE" xfId="8368"/>
    <cellStyle name="_New initiative 2004 Launch Schedule(for sales)_simple chart 050321 (128MMSSU)_Copy of DM Masterflow - Jun 15a_Wrigley - 05 budget&amp;calendar LE 050728 (25I)_Wrigley - 06 simple chart Sep 14_Category Template AC'11 @Cst Fx 52W vs 53W_Sheet3" xfId="8369"/>
    <cellStyle name="_New initiative 2004 Launch Schedule(for sales)_simple chart 050321 (128MMSSU)_Copy of DM Masterflow - Jun 15a_Wrigley - 05 budget&amp;calendar LE 050728 (25I)_Wrigley - 06 simple chart Sep 14_P&amp;L KFE" xfId="8370"/>
    <cellStyle name="_New initiative 2004 Launch Schedule(for sales)_simple chart 050321 (128MMSSU)_Copy of DM Masterflow - Jun 15a_Wrigley - 05 budget&amp;calendar LE 050728 (25I)_Wrigley - 06 simple chart Sep 14_Sheet3" xfId="8371"/>
    <cellStyle name="_New initiative 2004 Launch Schedule(for sales)_simple chart 050321 (128MMSSU)_Copy of DM Masterflow - Jun 15a_Wrigley - 05 budget&amp;calendar LE 050824 (25F)" xfId="8372"/>
    <cellStyle name="_New initiative 2004 Launch Schedule(for sales)_simple chart 050321 (128MMSSU)_Copy of DM Masterflow - Jun 15a_Wrigley - 05 budget&amp;calendar LE 050824 (25F) 2" xfId="8373"/>
    <cellStyle name="_New initiative 2004 Launch Schedule(for sales)_simple chart 050321 (128MMSSU)_Copy of DM Masterflow - Jun 15a_Wrigley - 05 budget&amp;calendar LE 050824 (25F)_Category Template AC'11 @Cst Fx 52W vs 53W" xfId="8374"/>
    <cellStyle name="_New initiative 2004 Launch Schedule(for sales)_simple chart 050321 (128MMSSU)_Copy of DM Masterflow - Jun 15a_Wrigley - 05 budget&amp;calendar LE 050824 (25F)_Category Template AC'11 @Cst Fx 52W vs 53W 2" xfId="8375"/>
    <cellStyle name="_New initiative 2004 Launch Schedule(for sales)_simple chart 050321 (128MMSSU)_Copy of DM Masterflow - Jun 15a_Wrigley - 05 budget&amp;calendar LE 050824 (25F)_Category Template AC'11 @Cst Fx 52W vs 53W_P&amp;L KFE" xfId="8376"/>
    <cellStyle name="_New initiative 2004 Launch Schedule(for sales)_simple chart 050321 (128MMSSU)_Copy of DM Masterflow - Jun 15a_Wrigley - 05 budget&amp;calendar LE 050824 (25F)_Category Template AC'11 @Cst Fx 52W vs 53W_Sheet3" xfId="8377"/>
    <cellStyle name="_New initiative 2004 Launch Schedule(for sales)_simple chart 050321 (128MMSSU)_Copy of DM Masterflow - Jun 15a_Wrigley - 05 budget&amp;calendar LE 050824 (25F)_P&amp;L KFE" xfId="8378"/>
    <cellStyle name="_New initiative 2004 Launch Schedule(for sales)_simple chart 050321 (128MMSSU)_Copy of DM Masterflow - Jun 15a_Wrigley - 05 budget&amp;calendar LE 050824 (25F)_Sheet3" xfId="8379"/>
    <cellStyle name="_New initiative 2004 Launch Schedule(for sales)_simple chart 050321 (128MMSSU)_Copy of DM Masterflow - Jun 15a_Wrigley - 05 budget&amp;calendar LE 050824 (25F)_Wrigley - 06 simple chart Sep 14" xfId="8380"/>
    <cellStyle name="_New initiative 2004 Launch Schedule(for sales)_simple chart 050321 (128MMSSU)_Copy of DM Masterflow - Jun 15a_Wrigley - 05 budget&amp;calendar LE 050824 (25F)_Wrigley - 06 simple chart Sep 14 2" xfId="8381"/>
    <cellStyle name="_New initiative 2004 Launch Schedule(for sales)_simple chart 050321 (128MMSSU)_Copy of DM Masterflow - Jun 15a_Wrigley - 05 budget&amp;calendar LE 050824 (25F)_Wrigley - 06 simple chart Sep 14_Category Template AC'11 @Cst Fx 52W vs 53W" xfId="8382"/>
    <cellStyle name="_New initiative 2004 Launch Schedule(for sales)_simple chart 050321 (128MMSSU)_Copy of DM Masterflow - Jun 15a_Wrigley - 05 budget&amp;calendar LE 050824 (25F)_Wrigley - 06 simple chart Sep 14_Category Template AC'11 @Cst Fx 52W vs 53W 2" xfId="8383"/>
    <cellStyle name="_New initiative 2004 Launch Schedule(for sales)_simple chart 050321 (128MMSSU)_Copy of DM Masterflow - Jun 15a_Wrigley - 05 budget&amp;calendar LE 050824 (25F)_Wrigley - 06 simple chart Sep 14_Category Template AC'11 @Cst Fx 52W vs 53W_P&amp;L KFE" xfId="8384"/>
    <cellStyle name="_New initiative 2004 Launch Schedule(for sales)_simple chart 050321 (128MMSSU)_Copy of DM Masterflow - Jun 15a_Wrigley - 05 budget&amp;calendar LE 050824 (25F)_Wrigley - 06 simple chart Sep 14_Category Template AC'11 @Cst Fx 52W vs 53W_Sheet3" xfId="8385"/>
    <cellStyle name="_New initiative 2004 Launch Schedule(for sales)_simple chart 050321 (128MMSSU)_Copy of DM Masterflow - Jun 15a_Wrigley - 05 budget&amp;calendar LE 050824 (25F)_Wrigley - 06 simple chart Sep 14_P&amp;L KFE" xfId="8386"/>
    <cellStyle name="_New initiative 2004 Launch Schedule(for sales)_simple chart 050321 (128MMSSU)_Copy of DM Masterflow - Jun 15a_Wrigley - 05 budget&amp;calendar LE 050824 (25F)_Wrigley - 06 simple chart Sep 14_Sheet3" xfId="8387"/>
    <cellStyle name="_New initiative 2004 Launch Schedule(for sales)_simple chart 050321 (128MMSSU)_Copy of DM Masterflow - Jun 15a_Wrigley - 05 budget&amp;calendar LE 050824 (25I)" xfId="8388"/>
    <cellStyle name="_New initiative 2004 Launch Schedule(for sales)_simple chart 050321 (128MMSSU)_Copy of DM Masterflow - Jun 15a_Wrigley - 05 budget&amp;calendar LE 050824 (25I) 2" xfId="8389"/>
    <cellStyle name="_New initiative 2004 Launch Schedule(for sales)_simple chart 050321 (128MMSSU)_Copy of DM Masterflow - Jun 15a_Wrigley - 05 budget&amp;calendar LE 050824 (25I)_Category Template AC'11 @Cst Fx 52W vs 53W" xfId="8390"/>
    <cellStyle name="_New initiative 2004 Launch Schedule(for sales)_simple chart 050321 (128MMSSU)_Copy of DM Masterflow - Jun 15a_Wrigley - 05 budget&amp;calendar LE 050824 (25I)_Category Template AC'11 @Cst Fx 52W vs 53W 2" xfId="8391"/>
    <cellStyle name="_New initiative 2004 Launch Schedule(for sales)_simple chart 050321 (128MMSSU)_Copy of DM Masterflow - Jun 15a_Wrigley - 05 budget&amp;calendar LE 050824 (25I)_Category Template AC'11 @Cst Fx 52W vs 53W_P&amp;L KFE" xfId="8392"/>
    <cellStyle name="_New initiative 2004 Launch Schedule(for sales)_simple chart 050321 (128MMSSU)_Copy of DM Masterflow - Jun 15a_Wrigley - 05 budget&amp;calendar LE 050824 (25I)_Category Template AC'11 @Cst Fx 52W vs 53W_Sheet3" xfId="8393"/>
    <cellStyle name="_New initiative 2004 Launch Schedule(for sales)_simple chart 050321 (128MMSSU)_Copy of DM Masterflow - Jun 15a_Wrigley - 05 budget&amp;calendar LE 050824 (25I)_P&amp;L KFE" xfId="8394"/>
    <cellStyle name="_New initiative 2004 Launch Schedule(for sales)_simple chart 050321 (128MMSSU)_Copy of DM Masterflow - Jun 15a_Wrigley - 05 budget&amp;calendar LE 050824 (25I)_Sheet3" xfId="8395"/>
    <cellStyle name="_New initiative 2004 Launch Schedule(for sales)_simple chart 050321 (128MMSSU)_Copy of DM Masterflow - Jun 15a_Wrigley - 05 budget&amp;calendar LE 050824 (25I)_Wrigley - 06 simple chart Sep 14" xfId="8396"/>
    <cellStyle name="_New initiative 2004 Launch Schedule(for sales)_simple chart 050321 (128MMSSU)_Copy of DM Masterflow - Jun 15a_Wrigley - 05 budget&amp;calendar LE 050824 (25I)_Wrigley - 06 simple chart Sep 14 2" xfId="8397"/>
    <cellStyle name="_New initiative 2004 Launch Schedule(for sales)_simple chart 050321 (128MMSSU)_Copy of DM Masterflow - Jun 15a_Wrigley - 05 budget&amp;calendar LE 050824 (25I)_Wrigley - 06 simple chart Sep 14_Category Template AC'11 @Cst Fx 52W vs 53W" xfId="8398"/>
    <cellStyle name="_New initiative 2004 Launch Schedule(for sales)_simple chart 050321 (128MMSSU)_Copy of DM Masterflow - Jun 15a_Wrigley - 05 budget&amp;calendar LE 050824 (25I)_Wrigley - 06 simple chart Sep 14_Category Template AC'11 @Cst Fx 52W vs 53W 2" xfId="8399"/>
    <cellStyle name="_New initiative 2004 Launch Schedule(for sales)_simple chart 050321 (128MMSSU)_Copy of DM Masterflow - Jun 15a_Wrigley - 05 budget&amp;calendar LE 050824 (25I)_Wrigley - 06 simple chart Sep 14_Category Template AC'11 @Cst Fx 52W vs 53W_P&amp;L KFE" xfId="8400"/>
    <cellStyle name="_New initiative 2004 Launch Schedule(for sales)_simple chart 050321 (128MMSSU)_Copy of DM Masterflow - Jun 15a_Wrigley - 05 budget&amp;calendar LE 050824 (25I)_Wrigley - 06 simple chart Sep 14_Category Template AC'11 @Cst Fx 52W vs 53W_Sheet3" xfId="8401"/>
    <cellStyle name="_New initiative 2004 Launch Schedule(for sales)_simple chart 050321 (128MMSSU)_Copy of DM Masterflow - Jun 15a_Wrigley - 05 budget&amp;calendar LE 050824 (25I)_Wrigley - 06 simple chart Sep 14_P&amp;L KFE" xfId="8402"/>
    <cellStyle name="_New initiative 2004 Launch Schedule(for sales)_simple chart 050321 (128MMSSU)_Copy of DM Masterflow - Jun 15a_Wrigley - 05 budget&amp;calendar LE 050824 (25I)_Wrigley - 06 simple chart Sep 14_Sheet3" xfId="8403"/>
    <cellStyle name="_New initiative 2004 Launch Schedule(for sales)_simple chart 050321 (128MMSSU)_Copy of DM Masterflow - Jun 15a_Wrigley - 06 simple chart Sep 14" xfId="8404"/>
    <cellStyle name="_New initiative 2004 Launch Schedule(for sales)_simple chart 050321 (128MMSSU)_Copy of DM Masterflow - Jun 15a_Wrigley - 06 simple chart Sep 14 2" xfId="8405"/>
    <cellStyle name="_New initiative 2004 Launch Schedule(for sales)_simple chart 050321 (128MMSSU)_Copy of DM Masterflow - Jun 15a_Wrigley - 06 simple chart Sep 14_Category Template AC'11 @Cst Fx 52W vs 53W" xfId="8406"/>
    <cellStyle name="_New initiative 2004 Launch Schedule(for sales)_simple chart 050321 (128MMSSU)_Copy of DM Masterflow - Jun 15a_Wrigley - 06 simple chart Sep 14_Category Template AC'11 @Cst Fx 52W vs 53W 2" xfId="8407"/>
    <cellStyle name="_New initiative 2004 Launch Schedule(for sales)_simple chart 050321 (128MMSSU)_Copy of DM Masterflow - Jun 15a_Wrigley - 06 simple chart Sep 14_Category Template AC'11 @Cst Fx 52W vs 53W_P&amp;L KFE" xfId="8408"/>
    <cellStyle name="_New initiative 2004 Launch Schedule(for sales)_simple chart 050321 (128MMSSU)_Copy of DM Masterflow - Jun 15a_Wrigley - 06 simple chart Sep 14_Category Template AC'11 @Cst Fx 52W vs 53W_Sheet3" xfId="8409"/>
    <cellStyle name="_New initiative 2004 Launch Schedule(for sales)_simple chart 050321 (128MMSSU)_Copy of DM Masterflow - Jun 15a_Wrigley - 06 simple chart Sep 14_P&amp;L KFE" xfId="8410"/>
    <cellStyle name="_New initiative 2004 Launch Schedule(for sales)_simple chart 050321 (128MMSSU)_Copy of DM Masterflow - Jun 15a_Wrigley - 06 simple chart Sep 14_Sheet3" xfId="8411"/>
    <cellStyle name="_New initiative 2004 Launch Schedule(for sales)_simple chart 050321 (128MMSSU)_Copy of TR Masterflow June 15-a" xfId="8412"/>
    <cellStyle name="_New initiative 2004 Launch Schedule(for sales)_simple chart 050321 (128MMSSU)_Copy of TR Masterflow June 15-a 2" xfId="8413"/>
    <cellStyle name="_New initiative 2004 Launch Schedule(for sales)_simple chart 050321 (128MMSSU)_Copy of TR Masterflow June 15-a_Book5" xfId="8414"/>
    <cellStyle name="_New initiative 2004 Launch Schedule(for sales)_simple chart 050321 (128MMSSU)_Copy of TR Masterflow June 15-a_Book5 2" xfId="8415"/>
    <cellStyle name="_New initiative 2004 Launch Schedule(for sales)_simple chart 050321 (128MMSSU)_Copy of TR Masterflow June 15-a_Book5_Category Template AC'11 @Cst Fx 52W vs 53W" xfId="8416"/>
    <cellStyle name="_New initiative 2004 Launch Schedule(for sales)_simple chart 050321 (128MMSSU)_Copy of TR Masterflow June 15-a_Book5_Category Template AC'11 @Cst Fx 52W vs 53W 2" xfId="8417"/>
    <cellStyle name="_New initiative 2004 Launch Schedule(for sales)_simple chart 050321 (128MMSSU)_Copy of TR Masterflow June 15-a_Book5_Category Template AC'11 @Cst Fx 52W vs 53W_P&amp;L KFE" xfId="8418"/>
    <cellStyle name="_New initiative 2004 Launch Schedule(for sales)_simple chart 050321 (128MMSSU)_Copy of TR Masterflow June 15-a_Book5_Category Template AC'11 @Cst Fx 52W vs 53W_Sheet3" xfId="8419"/>
    <cellStyle name="_New initiative 2004 Launch Schedule(for sales)_simple chart 050321 (128MMSSU)_Copy of TR Masterflow June 15-a_Book5_P&amp;L KFE" xfId="8420"/>
    <cellStyle name="_New initiative 2004 Launch Schedule(for sales)_simple chart 050321 (128MMSSU)_Copy of TR Masterflow June 15-a_Book5_Sheet3" xfId="8421"/>
    <cellStyle name="_New initiative 2004 Launch Schedule(for sales)_simple chart 050321 (128MMSSU)_Copy of TR Masterflow June 15-a_Category Template AC'11 @Cst Fx 52W vs 53W" xfId="8422"/>
    <cellStyle name="_New initiative 2004 Launch Schedule(for sales)_simple chart 050321 (128MMSSU)_Copy of TR Masterflow June 15-a_Category Template AC'11 @Cst Fx 52W vs 53W 2" xfId="8423"/>
    <cellStyle name="_New initiative 2004 Launch Schedule(for sales)_simple chart 050321 (128MMSSU)_Copy of TR Masterflow June 15-a_Category Template AC'11 @Cst Fx 52W vs 53W_P&amp;L KFE" xfId="8424"/>
    <cellStyle name="_New initiative 2004 Launch Schedule(for sales)_simple chart 050321 (128MMSSU)_Copy of TR Masterflow June 15-a_Category Template AC'11 @Cst Fx 52W vs 53W_Sheet3" xfId="8425"/>
    <cellStyle name="_New initiative 2004 Launch Schedule(for sales)_simple chart 050321 (128MMSSU)_Copy of TR Masterflow June 15-a_P&amp;L KFE" xfId="8426"/>
    <cellStyle name="_New initiative 2004 Launch Schedule(for sales)_simple chart 050321 (128MMSSU)_Copy of TR Masterflow June 15-a_Sheet3" xfId="8427"/>
    <cellStyle name="_New initiative 2004 Launch Schedule(for sales)_simple chart 050321 (128MMSSU)_Copy of TR Masterflow June 15-a_Wrigley - 05 budget&amp;calendar LE 050728 (25I)" xfId="8428"/>
    <cellStyle name="_New initiative 2004 Launch Schedule(for sales)_simple chart 050321 (128MMSSU)_Copy of TR Masterflow June 15-a_Wrigley - 05 budget&amp;calendar LE 050728 (25I) 2" xfId="8429"/>
    <cellStyle name="_New initiative 2004 Launch Schedule(for sales)_simple chart 050321 (128MMSSU)_Copy of TR Masterflow June 15-a_Wrigley - 05 budget&amp;calendar LE 050728 (25I)_Category Template AC'11 @Cst Fx 52W vs 53W" xfId="8430"/>
    <cellStyle name="_New initiative 2004 Launch Schedule(for sales)_simple chart 050321 (128MMSSU)_Copy of TR Masterflow June 15-a_Wrigley - 05 budget&amp;calendar LE 050728 (25I)_Category Template AC'11 @Cst Fx 52W vs 53W 2" xfId="8431"/>
    <cellStyle name="_New initiative 2004 Launch Schedule(for sales)_simple chart 050321 (128MMSSU)_Copy of TR Masterflow June 15-a_Wrigley - 05 budget&amp;calendar LE 050728 (25I)_Category Template AC'11 @Cst Fx 52W vs 53W_P&amp;L KFE" xfId="8432"/>
    <cellStyle name="_New initiative 2004 Launch Schedule(for sales)_simple chart 050321 (128MMSSU)_Copy of TR Masterflow June 15-a_Wrigley - 05 budget&amp;calendar LE 050728 (25I)_Category Template AC'11 @Cst Fx 52W vs 53W_Sheet3" xfId="8433"/>
    <cellStyle name="_New initiative 2004 Launch Schedule(for sales)_simple chart 050321 (128MMSSU)_Copy of TR Masterflow June 15-a_Wrigley - 05 budget&amp;calendar LE 050728 (25I)_P&amp;L KFE" xfId="8434"/>
    <cellStyle name="_New initiative 2004 Launch Schedule(for sales)_simple chart 050321 (128MMSSU)_Copy of TR Masterflow June 15-a_Wrigley - 05 budget&amp;calendar LE 050728 (25I)_Sheet3" xfId="8435"/>
    <cellStyle name="_New initiative 2004 Launch Schedule(for sales)_simple chart 050321 (128MMSSU)_Copy of TR Masterflow June 15-a_Wrigley - 05 budget&amp;calendar LE 050728 (25I)_Wrigley - 06 simple chart Sep 14" xfId="8436"/>
    <cellStyle name="_New initiative 2004 Launch Schedule(for sales)_simple chart 050321 (128MMSSU)_Copy of TR Masterflow June 15-a_Wrigley - 05 budget&amp;calendar LE 050728 (25I)_Wrigley - 06 simple chart Sep 14 2" xfId="8437"/>
    <cellStyle name="_New initiative 2004 Launch Schedule(for sales)_simple chart 050321 (128MMSSU)_Copy of TR Masterflow June 15-a_Wrigley - 05 budget&amp;calendar LE 050728 (25I)_Wrigley - 06 simple chart Sep 14_Category Template AC'11 @Cst Fx 52W vs 53W" xfId="8438"/>
    <cellStyle name="_New initiative 2004 Launch Schedule(for sales)_simple chart 050321 (128MMSSU)_Copy of TR Masterflow June 15-a_Wrigley - 05 budget&amp;calendar LE 050728 (25I)_Wrigley - 06 simple chart Sep 14_Category Template AC'11 @Cst Fx 52W vs 53W 2" xfId="8439"/>
    <cellStyle name="_New initiative 2004 Launch Schedule(for sales)_simple chart 050321 (128MMSSU)_Copy of TR Masterflow June 15-a_Wrigley - 05 budget&amp;calendar LE 050728 (25I)_Wrigley - 06 simple chart Sep 14_Category Template AC'11 @Cst Fx 52W vs 53W_P&amp;L KFE" xfId="8440"/>
    <cellStyle name="_New initiative 2004 Launch Schedule(for sales)_simple chart 050321 (128MMSSU)_Copy of TR Masterflow June 15-a_Wrigley - 05 budget&amp;calendar LE 050728 (25I)_Wrigley - 06 simple chart Sep 14_Category Template AC'11 @Cst Fx 52W vs 53W_Sheet3" xfId="8441"/>
    <cellStyle name="_New initiative 2004 Launch Schedule(for sales)_simple chart 050321 (128MMSSU)_Copy of TR Masterflow June 15-a_Wrigley - 05 budget&amp;calendar LE 050728 (25I)_Wrigley - 06 simple chart Sep 14_P&amp;L KFE" xfId="8442"/>
    <cellStyle name="_New initiative 2004 Launch Schedule(for sales)_simple chart 050321 (128MMSSU)_Copy of TR Masterflow June 15-a_Wrigley - 05 budget&amp;calendar LE 050728 (25I)_Wrigley - 06 simple chart Sep 14_Sheet3" xfId="8443"/>
    <cellStyle name="_New initiative 2004 Launch Schedule(for sales)_simple chart 050321 (128MMSSU)_Copy of TR Masterflow June 15-a_Wrigley - 05 budget&amp;calendar LE 050824 (25F)" xfId="8444"/>
    <cellStyle name="_New initiative 2004 Launch Schedule(for sales)_simple chart 050321 (128MMSSU)_Copy of TR Masterflow June 15-a_Wrigley - 05 budget&amp;calendar LE 050824 (25F) 2" xfId="8445"/>
    <cellStyle name="_New initiative 2004 Launch Schedule(for sales)_simple chart 050321 (128MMSSU)_Copy of TR Masterflow June 15-a_Wrigley - 05 budget&amp;calendar LE 050824 (25F)_Category Template AC'11 @Cst Fx 52W vs 53W" xfId="8446"/>
    <cellStyle name="_New initiative 2004 Launch Schedule(for sales)_simple chart 050321 (128MMSSU)_Copy of TR Masterflow June 15-a_Wrigley - 05 budget&amp;calendar LE 050824 (25F)_Category Template AC'11 @Cst Fx 52W vs 53W 2" xfId="8447"/>
    <cellStyle name="_New initiative 2004 Launch Schedule(for sales)_simple chart 050321 (128MMSSU)_Copy of TR Masterflow June 15-a_Wrigley - 05 budget&amp;calendar LE 050824 (25F)_Category Template AC'11 @Cst Fx 52W vs 53W_P&amp;L KFE" xfId="8448"/>
    <cellStyle name="_New initiative 2004 Launch Schedule(for sales)_simple chart 050321 (128MMSSU)_Copy of TR Masterflow June 15-a_Wrigley - 05 budget&amp;calendar LE 050824 (25F)_Category Template AC'11 @Cst Fx 52W vs 53W_Sheet3" xfId="8449"/>
    <cellStyle name="_New initiative 2004 Launch Schedule(for sales)_simple chart 050321 (128MMSSU)_Copy of TR Masterflow June 15-a_Wrigley - 05 budget&amp;calendar LE 050824 (25F)_P&amp;L KFE" xfId="8450"/>
    <cellStyle name="_New initiative 2004 Launch Schedule(for sales)_simple chart 050321 (128MMSSU)_Copy of TR Masterflow June 15-a_Wrigley - 05 budget&amp;calendar LE 050824 (25F)_Sheet3" xfId="8451"/>
    <cellStyle name="_New initiative 2004 Launch Schedule(for sales)_simple chart 050321 (128MMSSU)_Copy of TR Masterflow June 15-a_Wrigley - 05 budget&amp;calendar LE 050824 (25F)_Wrigley - 06 simple chart Sep 14" xfId="8452"/>
    <cellStyle name="_New initiative 2004 Launch Schedule(for sales)_simple chart 050321 (128MMSSU)_Copy of TR Masterflow June 15-a_Wrigley - 05 budget&amp;calendar LE 050824 (25F)_Wrigley - 06 simple chart Sep 14 2" xfId="8453"/>
    <cellStyle name="_New initiative 2004 Launch Schedule(for sales)_simple chart 050321 (128MMSSU)_Copy of TR Masterflow June 15-a_Wrigley - 05 budget&amp;calendar LE 050824 (25F)_Wrigley - 06 simple chart Sep 14_Category Template AC'11 @Cst Fx 52W vs 53W" xfId="8454"/>
    <cellStyle name="_New initiative 2004 Launch Schedule(for sales)_simple chart 050321 (128MMSSU)_Copy of TR Masterflow June 15-a_Wrigley - 05 budget&amp;calendar LE 050824 (25F)_Wrigley - 06 simple chart Sep 14_Category Template AC'11 @Cst Fx 52W vs 53W 2" xfId="8455"/>
    <cellStyle name="_New initiative 2004 Launch Schedule(for sales)_simple chart 050321 (128MMSSU)_Copy of TR Masterflow June 15-a_Wrigley - 05 budget&amp;calendar LE 050824 (25F)_Wrigley - 06 simple chart Sep 14_Category Template AC'11 @Cst Fx 52W vs 53W_P&amp;L KFE" xfId="8456"/>
    <cellStyle name="_New initiative 2004 Launch Schedule(for sales)_simple chart 050321 (128MMSSU)_Copy of TR Masterflow June 15-a_Wrigley - 05 budget&amp;calendar LE 050824 (25F)_Wrigley - 06 simple chart Sep 14_Category Template AC'11 @Cst Fx 52W vs 53W_Sheet3" xfId="8457"/>
    <cellStyle name="_New initiative 2004 Launch Schedule(for sales)_simple chart 050321 (128MMSSU)_Copy of TR Masterflow June 15-a_Wrigley - 05 budget&amp;calendar LE 050824 (25F)_Wrigley - 06 simple chart Sep 14_P&amp;L KFE" xfId="8458"/>
    <cellStyle name="_New initiative 2004 Launch Schedule(for sales)_simple chart 050321 (128MMSSU)_Copy of TR Masterflow June 15-a_Wrigley - 05 budget&amp;calendar LE 050824 (25F)_Wrigley - 06 simple chart Sep 14_Sheet3" xfId="8459"/>
    <cellStyle name="_New initiative 2004 Launch Schedule(for sales)_simple chart 050321 (128MMSSU)_Copy of TR Masterflow June 15-a_Wrigley - 05 budget&amp;calendar LE 050824 (25I)" xfId="8460"/>
    <cellStyle name="_New initiative 2004 Launch Schedule(for sales)_simple chart 050321 (128MMSSU)_Copy of TR Masterflow June 15-a_Wrigley - 05 budget&amp;calendar LE 050824 (25I) 2" xfId="8461"/>
    <cellStyle name="_New initiative 2004 Launch Schedule(for sales)_simple chart 050321 (128MMSSU)_Copy of TR Masterflow June 15-a_Wrigley - 05 budget&amp;calendar LE 050824 (25I)_Category Template AC'11 @Cst Fx 52W vs 53W" xfId="8462"/>
    <cellStyle name="_New initiative 2004 Launch Schedule(for sales)_simple chart 050321 (128MMSSU)_Copy of TR Masterflow June 15-a_Wrigley - 05 budget&amp;calendar LE 050824 (25I)_Category Template AC'11 @Cst Fx 52W vs 53W 2" xfId="8463"/>
    <cellStyle name="_New initiative 2004 Launch Schedule(for sales)_simple chart 050321 (128MMSSU)_Copy of TR Masterflow June 15-a_Wrigley - 05 budget&amp;calendar LE 050824 (25I)_Category Template AC'11 @Cst Fx 52W vs 53W_P&amp;L KFE" xfId="8464"/>
    <cellStyle name="_New initiative 2004 Launch Schedule(for sales)_simple chart 050321 (128MMSSU)_Copy of TR Masterflow June 15-a_Wrigley - 05 budget&amp;calendar LE 050824 (25I)_Category Template AC'11 @Cst Fx 52W vs 53W_Sheet3" xfId="8465"/>
    <cellStyle name="_New initiative 2004 Launch Schedule(for sales)_simple chart 050321 (128MMSSU)_Copy of TR Masterflow June 15-a_Wrigley - 05 budget&amp;calendar LE 050824 (25I)_P&amp;L KFE" xfId="8466"/>
    <cellStyle name="_New initiative 2004 Launch Schedule(for sales)_simple chart 050321 (128MMSSU)_Copy of TR Masterflow June 15-a_Wrigley - 05 budget&amp;calendar LE 050824 (25I)_Sheet3" xfId="8467"/>
    <cellStyle name="_New initiative 2004 Launch Schedule(for sales)_simple chart 050321 (128MMSSU)_Copy of TR Masterflow June 15-a_Wrigley - 05 budget&amp;calendar LE 050824 (25I)_Wrigley - 06 simple chart Sep 14" xfId="8468"/>
    <cellStyle name="_New initiative 2004 Launch Schedule(for sales)_simple chart 050321 (128MMSSU)_Copy of TR Masterflow June 15-a_Wrigley - 05 budget&amp;calendar LE 050824 (25I)_Wrigley - 06 simple chart Sep 14 2" xfId="8469"/>
    <cellStyle name="_New initiative 2004 Launch Schedule(for sales)_simple chart 050321 (128MMSSU)_Copy of TR Masterflow June 15-a_Wrigley - 05 budget&amp;calendar LE 050824 (25I)_Wrigley - 06 simple chart Sep 14_Category Template AC'11 @Cst Fx 52W vs 53W" xfId="8470"/>
    <cellStyle name="_New initiative 2004 Launch Schedule(for sales)_simple chart 050321 (128MMSSU)_Copy of TR Masterflow June 15-a_Wrigley - 05 budget&amp;calendar LE 050824 (25I)_Wrigley - 06 simple chart Sep 14_Category Template AC'11 @Cst Fx 52W vs 53W 2" xfId="8471"/>
    <cellStyle name="_New initiative 2004 Launch Schedule(for sales)_simple chart 050321 (128MMSSU)_Copy of TR Masterflow June 15-a_Wrigley - 05 budget&amp;calendar LE 050824 (25I)_Wrigley - 06 simple chart Sep 14_Category Template AC'11 @Cst Fx 52W vs 53W_P&amp;L KFE" xfId="8472"/>
    <cellStyle name="_New initiative 2004 Launch Schedule(for sales)_simple chart 050321 (128MMSSU)_Copy of TR Masterflow June 15-a_Wrigley - 05 budget&amp;calendar LE 050824 (25I)_Wrigley - 06 simple chart Sep 14_Category Template AC'11 @Cst Fx 52W vs 53W_Sheet3" xfId="8473"/>
    <cellStyle name="_New initiative 2004 Launch Schedule(for sales)_simple chart 050321 (128MMSSU)_Copy of TR Masterflow June 15-a_Wrigley - 05 budget&amp;calendar LE 050824 (25I)_Wrigley - 06 simple chart Sep 14_P&amp;L KFE" xfId="8474"/>
    <cellStyle name="_New initiative 2004 Launch Schedule(for sales)_simple chart 050321 (128MMSSU)_Copy of TR Masterflow June 15-a_Wrigley - 05 budget&amp;calendar LE 050824 (25I)_Wrigley - 06 simple chart Sep 14_Sheet3" xfId="8475"/>
    <cellStyle name="_New initiative 2004 Launch Schedule(for sales)_simple chart 050321 (128MMSSU)_Copy of TR Masterflow June 15-a_Wrigley - 06 simple chart Sep 14" xfId="8476"/>
    <cellStyle name="_New initiative 2004 Launch Schedule(for sales)_simple chart 050321 (128MMSSU)_Copy of TR Masterflow June 15-a_Wrigley - 06 simple chart Sep 14 2" xfId="8477"/>
    <cellStyle name="_New initiative 2004 Launch Schedule(for sales)_simple chart 050321 (128MMSSU)_Copy of TR Masterflow June 15-a_Wrigley - 06 simple chart Sep 14_Category Template AC'11 @Cst Fx 52W vs 53W" xfId="8478"/>
    <cellStyle name="_New initiative 2004 Launch Schedule(for sales)_simple chart 050321 (128MMSSU)_Copy of TR Masterflow June 15-a_Wrigley - 06 simple chart Sep 14_Category Template AC'11 @Cst Fx 52W vs 53W 2" xfId="8479"/>
    <cellStyle name="_New initiative 2004 Launch Schedule(for sales)_simple chart 050321 (128MMSSU)_Copy of TR Masterflow June 15-a_Wrigley - 06 simple chart Sep 14_Category Template AC'11 @Cst Fx 52W vs 53W_P&amp;L KFE" xfId="8480"/>
    <cellStyle name="_New initiative 2004 Launch Schedule(for sales)_simple chart 050321 (128MMSSU)_Copy of TR Masterflow June 15-a_Wrigley - 06 simple chart Sep 14_Category Template AC'11 @Cst Fx 52W vs 53W_Sheet3" xfId="8481"/>
    <cellStyle name="_New initiative 2004 Launch Schedule(for sales)_simple chart 050321 (128MMSSU)_Copy of TR Masterflow June 15-a_Wrigley - 06 simple chart Sep 14_P&amp;L KFE" xfId="8482"/>
    <cellStyle name="_New initiative 2004 Launch Schedule(for sales)_simple chart 050321 (128MMSSU)_Copy of TR Masterflow June 15-a_Wrigley - 06 simple chart Sep 14_Sheet3" xfId="8483"/>
    <cellStyle name="_New initiative 2004 Launch Schedule(for sales)_simple chart 050321 (128MMSSU)_EX Master Flowchart June 15a" xfId="8484"/>
    <cellStyle name="_New initiative 2004 Launch Schedule(for sales)_simple chart 050321 (128MMSSU)_EX Master Flowchart June 15a 2" xfId="8485"/>
    <cellStyle name="_New initiative 2004 Launch Schedule(for sales)_simple chart 050321 (128MMSSU)_EX Master Flowchart June 15a_Book5" xfId="8486"/>
    <cellStyle name="_New initiative 2004 Launch Schedule(for sales)_simple chart 050321 (128MMSSU)_EX Master Flowchart June 15a_Book5 2" xfId="8487"/>
    <cellStyle name="_New initiative 2004 Launch Schedule(for sales)_simple chart 050321 (128MMSSU)_EX Master Flowchart June 15a_Book5_Category Template AC'11 @Cst Fx 52W vs 53W" xfId="8488"/>
    <cellStyle name="_New initiative 2004 Launch Schedule(for sales)_simple chart 050321 (128MMSSU)_EX Master Flowchart June 15a_Book5_Category Template AC'11 @Cst Fx 52W vs 53W 2" xfId="8489"/>
    <cellStyle name="_New initiative 2004 Launch Schedule(for sales)_simple chart 050321 (128MMSSU)_EX Master Flowchart June 15a_Book5_Category Template AC'11 @Cst Fx 52W vs 53W_P&amp;L KFE" xfId="8490"/>
    <cellStyle name="_New initiative 2004 Launch Schedule(for sales)_simple chart 050321 (128MMSSU)_EX Master Flowchart June 15a_Book5_Category Template AC'11 @Cst Fx 52W vs 53W_Sheet3" xfId="8491"/>
    <cellStyle name="_New initiative 2004 Launch Schedule(for sales)_simple chart 050321 (128MMSSU)_EX Master Flowchart June 15a_Book5_P&amp;L KFE" xfId="8492"/>
    <cellStyle name="_New initiative 2004 Launch Schedule(for sales)_simple chart 050321 (128MMSSU)_EX Master Flowchart June 15a_Book5_Sheet3" xfId="8493"/>
    <cellStyle name="_New initiative 2004 Launch Schedule(for sales)_simple chart 050321 (128MMSSU)_EX Master Flowchart June 15a_Category Template AC'11 @Cst Fx 52W vs 53W" xfId="8494"/>
    <cellStyle name="_New initiative 2004 Launch Schedule(for sales)_simple chart 050321 (128MMSSU)_EX Master Flowchart June 15a_Category Template AC'11 @Cst Fx 52W vs 53W 2" xfId="8495"/>
    <cellStyle name="_New initiative 2004 Launch Schedule(for sales)_simple chart 050321 (128MMSSU)_EX Master Flowchart June 15a_Category Template AC'11 @Cst Fx 52W vs 53W_P&amp;L KFE" xfId="8496"/>
    <cellStyle name="_New initiative 2004 Launch Schedule(for sales)_simple chart 050321 (128MMSSU)_EX Master Flowchart June 15a_Category Template AC'11 @Cst Fx 52W vs 53W_Sheet3" xfId="8497"/>
    <cellStyle name="_New initiative 2004 Launch Schedule(for sales)_simple chart 050321 (128MMSSU)_EX Master Flowchart June 15a_P&amp;L KFE" xfId="8498"/>
    <cellStyle name="_New initiative 2004 Launch Schedule(for sales)_simple chart 050321 (128MMSSU)_EX Master Flowchart June 15a_Sheet3" xfId="8499"/>
    <cellStyle name="_New initiative 2004 Launch Schedule(for sales)_simple chart 050321 (128MMSSU)_EX Master Flowchart June 15a_Wrigley - 05 budget&amp;calendar LE 050728 (25I)" xfId="8500"/>
    <cellStyle name="_New initiative 2004 Launch Schedule(for sales)_simple chart 050321 (128MMSSU)_EX Master Flowchart June 15a_Wrigley - 05 budget&amp;calendar LE 050728 (25I) 2" xfId="8501"/>
    <cellStyle name="_New initiative 2004 Launch Schedule(for sales)_simple chart 050321 (128MMSSU)_EX Master Flowchart June 15a_Wrigley - 05 budget&amp;calendar LE 050728 (25I)_Category Template AC'11 @Cst Fx 52W vs 53W" xfId="8502"/>
    <cellStyle name="_New initiative 2004 Launch Schedule(for sales)_simple chart 050321 (128MMSSU)_EX Master Flowchart June 15a_Wrigley - 05 budget&amp;calendar LE 050728 (25I)_Category Template AC'11 @Cst Fx 52W vs 53W 2" xfId="8503"/>
    <cellStyle name="_New initiative 2004 Launch Schedule(for sales)_simple chart 050321 (128MMSSU)_EX Master Flowchart June 15a_Wrigley - 05 budget&amp;calendar LE 050728 (25I)_Category Template AC'11 @Cst Fx 52W vs 53W_P&amp;L KFE" xfId="8504"/>
    <cellStyle name="_New initiative 2004 Launch Schedule(for sales)_simple chart 050321 (128MMSSU)_EX Master Flowchart June 15a_Wrigley - 05 budget&amp;calendar LE 050728 (25I)_Category Template AC'11 @Cst Fx 52W vs 53W_Sheet3" xfId="8505"/>
    <cellStyle name="_New initiative 2004 Launch Schedule(for sales)_simple chart 050321 (128MMSSU)_EX Master Flowchart June 15a_Wrigley - 05 budget&amp;calendar LE 050728 (25I)_P&amp;L KFE" xfId="8506"/>
    <cellStyle name="_New initiative 2004 Launch Schedule(for sales)_simple chart 050321 (128MMSSU)_EX Master Flowchart June 15a_Wrigley - 05 budget&amp;calendar LE 050728 (25I)_Sheet3" xfId="8507"/>
    <cellStyle name="_New initiative 2004 Launch Schedule(for sales)_simple chart 050321 (128MMSSU)_EX Master Flowchart June 15a_Wrigley - 05 budget&amp;calendar LE 050728 (25I)_Wrigley - 06 simple chart Sep 14" xfId="8508"/>
    <cellStyle name="_New initiative 2004 Launch Schedule(for sales)_simple chart 050321 (128MMSSU)_EX Master Flowchart June 15a_Wrigley - 05 budget&amp;calendar LE 050728 (25I)_Wrigley - 06 simple chart Sep 14 2" xfId="8509"/>
    <cellStyle name="_New initiative 2004 Launch Schedule(for sales)_simple chart 050321 (128MMSSU)_EX Master Flowchart June 15a_Wrigley - 05 budget&amp;calendar LE 050728 (25I)_Wrigley - 06 simple chart Sep 14_Category Template AC'11 @Cst Fx 52W vs 53W" xfId="8510"/>
    <cellStyle name="_New initiative 2004 Launch Schedule(for sales)_simple chart 050321 (128MMSSU)_EX Master Flowchart June 15a_Wrigley - 05 budget&amp;calendar LE 050728 (25I)_Wrigley - 06 simple chart Sep 14_Category Template AC'11 @Cst Fx 52W vs 53W 2" xfId="8511"/>
    <cellStyle name="_New initiative 2004 Launch Schedule(for sales)_simple chart 050321 (128MMSSU)_EX Master Flowchart June 15a_Wrigley - 05 budget&amp;calendar LE 050728 (25I)_Wrigley - 06 simple chart Sep 14_Category Template AC'11 @Cst Fx 52W vs 53W_P&amp;L KFE" xfId="8512"/>
    <cellStyle name="_New initiative 2004 Launch Schedule(for sales)_simple chart 050321 (128MMSSU)_EX Master Flowchart June 15a_Wrigley - 05 budget&amp;calendar LE 050728 (25I)_Wrigley - 06 simple chart Sep 14_Category Template AC'11 @Cst Fx 52W vs 53W_Sheet3" xfId="8513"/>
    <cellStyle name="_New initiative 2004 Launch Schedule(for sales)_simple chart 050321 (128MMSSU)_EX Master Flowchart June 15a_Wrigley - 05 budget&amp;calendar LE 050728 (25I)_Wrigley - 06 simple chart Sep 14_P&amp;L KFE" xfId="8514"/>
    <cellStyle name="_New initiative 2004 Launch Schedule(for sales)_simple chart 050321 (128MMSSU)_EX Master Flowchart June 15a_Wrigley - 05 budget&amp;calendar LE 050728 (25I)_Wrigley - 06 simple chart Sep 14_Sheet3" xfId="8515"/>
    <cellStyle name="_New initiative 2004 Launch Schedule(for sales)_simple chart 050321 (128MMSSU)_EX Master Flowchart June 15a_Wrigley - 05 budget&amp;calendar LE 050824 (25F)" xfId="8516"/>
    <cellStyle name="_New initiative 2004 Launch Schedule(for sales)_simple chart 050321 (128MMSSU)_EX Master Flowchart June 15a_Wrigley - 05 budget&amp;calendar LE 050824 (25F) 2" xfId="8517"/>
    <cellStyle name="_New initiative 2004 Launch Schedule(for sales)_simple chart 050321 (128MMSSU)_EX Master Flowchart June 15a_Wrigley - 05 budget&amp;calendar LE 050824 (25F)_Category Template AC'11 @Cst Fx 52W vs 53W" xfId="8518"/>
    <cellStyle name="_New initiative 2004 Launch Schedule(for sales)_simple chart 050321 (128MMSSU)_EX Master Flowchart June 15a_Wrigley - 05 budget&amp;calendar LE 050824 (25F)_Category Template AC'11 @Cst Fx 52W vs 53W 2" xfId="8519"/>
    <cellStyle name="_New initiative 2004 Launch Schedule(for sales)_simple chart 050321 (128MMSSU)_EX Master Flowchart June 15a_Wrigley - 05 budget&amp;calendar LE 050824 (25F)_Category Template AC'11 @Cst Fx 52W vs 53W_P&amp;L KFE" xfId="8520"/>
    <cellStyle name="_New initiative 2004 Launch Schedule(for sales)_simple chart 050321 (128MMSSU)_EX Master Flowchart June 15a_Wrigley - 05 budget&amp;calendar LE 050824 (25F)_Category Template AC'11 @Cst Fx 52W vs 53W_Sheet3" xfId="8521"/>
    <cellStyle name="_New initiative 2004 Launch Schedule(for sales)_simple chart 050321 (128MMSSU)_EX Master Flowchart June 15a_Wrigley - 05 budget&amp;calendar LE 050824 (25F)_P&amp;L KFE" xfId="8522"/>
    <cellStyle name="_New initiative 2004 Launch Schedule(for sales)_simple chart 050321 (128MMSSU)_EX Master Flowchart June 15a_Wrigley - 05 budget&amp;calendar LE 050824 (25F)_Sheet3" xfId="8523"/>
    <cellStyle name="_New initiative 2004 Launch Schedule(for sales)_simple chart 050321 (128MMSSU)_EX Master Flowchart June 15a_Wrigley - 05 budget&amp;calendar LE 050824 (25F)_Wrigley - 06 simple chart Sep 14" xfId="8524"/>
    <cellStyle name="_New initiative 2004 Launch Schedule(for sales)_simple chart 050321 (128MMSSU)_EX Master Flowchart June 15a_Wrigley - 05 budget&amp;calendar LE 050824 (25F)_Wrigley - 06 simple chart Sep 14 2" xfId="8525"/>
    <cellStyle name="_New initiative 2004 Launch Schedule(for sales)_simple chart 050321 (128MMSSU)_EX Master Flowchart June 15a_Wrigley - 05 budget&amp;calendar LE 050824 (25F)_Wrigley - 06 simple chart Sep 14_Category Template AC'11 @Cst Fx 52W vs 53W" xfId="8526"/>
    <cellStyle name="_New initiative 2004 Launch Schedule(for sales)_simple chart 050321 (128MMSSU)_EX Master Flowchart June 15a_Wrigley - 05 budget&amp;calendar LE 050824 (25F)_Wrigley - 06 simple chart Sep 14_Category Template AC'11 @Cst Fx 52W vs 53W 2" xfId="8527"/>
    <cellStyle name="_New initiative 2004 Launch Schedule(for sales)_simple chart 050321 (128MMSSU)_EX Master Flowchart June 15a_Wrigley - 05 budget&amp;calendar LE 050824 (25F)_Wrigley - 06 simple chart Sep 14_Category Template AC'11 @Cst Fx 52W vs 53W_P&amp;L KFE" xfId="8528"/>
    <cellStyle name="_New initiative 2004 Launch Schedule(for sales)_simple chart 050321 (128MMSSU)_EX Master Flowchart June 15a_Wrigley - 05 budget&amp;calendar LE 050824 (25F)_Wrigley - 06 simple chart Sep 14_Category Template AC'11 @Cst Fx 52W vs 53W_Sheet3" xfId="8529"/>
    <cellStyle name="_New initiative 2004 Launch Schedule(for sales)_simple chart 050321 (128MMSSU)_EX Master Flowchart June 15a_Wrigley - 05 budget&amp;calendar LE 050824 (25F)_Wrigley - 06 simple chart Sep 14_P&amp;L KFE" xfId="8530"/>
    <cellStyle name="_New initiative 2004 Launch Schedule(for sales)_simple chart 050321 (128MMSSU)_EX Master Flowchart June 15a_Wrigley - 05 budget&amp;calendar LE 050824 (25F)_Wrigley - 06 simple chart Sep 14_Sheet3" xfId="8531"/>
    <cellStyle name="_New initiative 2004 Launch Schedule(for sales)_simple chart 050321 (128MMSSU)_EX Master Flowchart June 15a_Wrigley - 05 budget&amp;calendar LE 050824 (25I)" xfId="8532"/>
    <cellStyle name="_New initiative 2004 Launch Schedule(for sales)_simple chart 050321 (128MMSSU)_EX Master Flowchart June 15a_Wrigley - 05 budget&amp;calendar LE 050824 (25I) 2" xfId="8533"/>
    <cellStyle name="_New initiative 2004 Launch Schedule(for sales)_simple chart 050321 (128MMSSU)_EX Master Flowchart June 15a_Wrigley - 05 budget&amp;calendar LE 050824 (25I)_Category Template AC'11 @Cst Fx 52W vs 53W" xfId="8534"/>
    <cellStyle name="_New initiative 2004 Launch Schedule(for sales)_simple chart 050321 (128MMSSU)_EX Master Flowchart June 15a_Wrigley - 05 budget&amp;calendar LE 050824 (25I)_Category Template AC'11 @Cst Fx 52W vs 53W 2" xfId="8535"/>
    <cellStyle name="_New initiative 2004 Launch Schedule(for sales)_simple chart 050321 (128MMSSU)_EX Master Flowchart June 15a_Wrigley - 05 budget&amp;calendar LE 050824 (25I)_Category Template AC'11 @Cst Fx 52W vs 53W_P&amp;L KFE" xfId="8536"/>
    <cellStyle name="_New initiative 2004 Launch Schedule(for sales)_simple chart 050321 (128MMSSU)_EX Master Flowchart June 15a_Wrigley - 05 budget&amp;calendar LE 050824 (25I)_Category Template AC'11 @Cst Fx 52W vs 53W_Sheet3" xfId="8537"/>
    <cellStyle name="_New initiative 2004 Launch Schedule(for sales)_simple chart 050321 (128MMSSU)_EX Master Flowchart June 15a_Wrigley - 05 budget&amp;calendar LE 050824 (25I)_P&amp;L KFE" xfId="8538"/>
    <cellStyle name="_New initiative 2004 Launch Schedule(for sales)_simple chart 050321 (128MMSSU)_EX Master Flowchart June 15a_Wrigley - 05 budget&amp;calendar LE 050824 (25I)_Sheet3" xfId="8539"/>
    <cellStyle name="_New initiative 2004 Launch Schedule(for sales)_simple chart 050321 (128MMSSU)_EX Master Flowchart June 15a_Wrigley - 05 budget&amp;calendar LE 050824 (25I)_Wrigley - 06 simple chart Sep 14" xfId="8540"/>
    <cellStyle name="_New initiative 2004 Launch Schedule(for sales)_simple chart 050321 (128MMSSU)_EX Master Flowchart June 15a_Wrigley - 05 budget&amp;calendar LE 050824 (25I)_Wrigley - 06 simple chart Sep 14 2" xfId="8541"/>
    <cellStyle name="_New initiative 2004 Launch Schedule(for sales)_simple chart 050321 (128MMSSU)_EX Master Flowchart June 15a_Wrigley - 05 budget&amp;calendar LE 050824 (25I)_Wrigley - 06 simple chart Sep 14_Category Template AC'11 @Cst Fx 52W vs 53W" xfId="8542"/>
    <cellStyle name="_New initiative 2004 Launch Schedule(for sales)_simple chart 050321 (128MMSSU)_EX Master Flowchart June 15a_Wrigley - 05 budget&amp;calendar LE 050824 (25I)_Wrigley - 06 simple chart Sep 14_Category Template AC'11 @Cst Fx 52W vs 53W 2" xfId="8543"/>
    <cellStyle name="_New initiative 2004 Launch Schedule(for sales)_simple chart 050321 (128MMSSU)_EX Master Flowchart June 15a_Wrigley - 05 budget&amp;calendar LE 050824 (25I)_Wrigley - 06 simple chart Sep 14_Category Template AC'11 @Cst Fx 52W vs 53W_P&amp;L KFE" xfId="8544"/>
    <cellStyle name="_New initiative 2004 Launch Schedule(for sales)_simple chart 050321 (128MMSSU)_EX Master Flowchart June 15a_Wrigley - 05 budget&amp;calendar LE 050824 (25I)_Wrigley - 06 simple chart Sep 14_Category Template AC'11 @Cst Fx 52W vs 53W_Sheet3" xfId="8545"/>
    <cellStyle name="_New initiative 2004 Launch Schedule(for sales)_simple chart 050321 (128MMSSU)_EX Master Flowchart June 15a_Wrigley - 05 budget&amp;calendar LE 050824 (25I)_Wrigley - 06 simple chart Sep 14_P&amp;L KFE" xfId="8546"/>
    <cellStyle name="_New initiative 2004 Launch Schedule(for sales)_simple chart 050321 (128MMSSU)_EX Master Flowchart June 15a_Wrigley - 05 budget&amp;calendar LE 050824 (25I)_Wrigley - 06 simple chart Sep 14_Sheet3" xfId="8547"/>
    <cellStyle name="_New initiative 2004 Launch Schedule(for sales)_simple chart 050321 (128MMSSU)_EX Master Flowchart June 15a_Wrigley - 06 simple chart Sep 14" xfId="8548"/>
    <cellStyle name="_New initiative 2004 Launch Schedule(for sales)_simple chart 050321 (128MMSSU)_EX Master Flowchart June 15a_Wrigley - 06 simple chart Sep 14 2" xfId="8549"/>
    <cellStyle name="_New initiative 2004 Launch Schedule(for sales)_simple chart 050321 (128MMSSU)_EX Master Flowchart June 15a_Wrigley - 06 simple chart Sep 14_Category Template AC'11 @Cst Fx 52W vs 53W" xfId="8550"/>
    <cellStyle name="_New initiative 2004 Launch Schedule(for sales)_simple chart 050321 (128MMSSU)_EX Master Flowchart June 15a_Wrigley - 06 simple chart Sep 14_Category Template AC'11 @Cst Fx 52W vs 53W 2" xfId="8551"/>
    <cellStyle name="_New initiative 2004 Launch Schedule(for sales)_simple chart 050321 (128MMSSU)_EX Master Flowchart June 15a_Wrigley - 06 simple chart Sep 14_Category Template AC'11 @Cst Fx 52W vs 53W_P&amp;L KFE" xfId="8552"/>
    <cellStyle name="_New initiative 2004 Launch Schedule(for sales)_simple chart 050321 (128MMSSU)_EX Master Flowchart June 15a_Wrigley - 06 simple chart Sep 14_Category Template AC'11 @Cst Fx 52W vs 53W_Sheet3" xfId="8553"/>
    <cellStyle name="_New initiative 2004 Launch Schedule(for sales)_simple chart 050321 (128MMSSU)_EX Master Flowchart June 15a_Wrigley - 06 simple chart Sep 14_P&amp;L KFE" xfId="8554"/>
    <cellStyle name="_New initiative 2004 Launch Schedule(for sales)_simple chart 050321 (128MMSSU)_EX Master Flowchart June 15a_Wrigley - 06 simple chart Sep 14_Sheet3" xfId="8555"/>
    <cellStyle name="_New initiative 2004 Launch Schedule(for sales)_simple chart 050321 (128MMSSU)_JF Masterflow June 15a" xfId="8556"/>
    <cellStyle name="_New initiative 2004 Launch Schedule(for sales)_simple chart 050321 (128MMSSU)_JF Masterflow June 15a 2" xfId="8557"/>
    <cellStyle name="_New initiative 2004 Launch Schedule(for sales)_simple chart 050321 (128MMSSU)_JF Masterflow June 15a_Book5" xfId="8558"/>
    <cellStyle name="_New initiative 2004 Launch Schedule(for sales)_simple chart 050321 (128MMSSU)_JF Masterflow June 15a_Book5 2" xfId="8559"/>
    <cellStyle name="_New initiative 2004 Launch Schedule(for sales)_simple chart 050321 (128MMSSU)_JF Masterflow June 15a_Book5_Category Template AC'11 @Cst Fx 52W vs 53W" xfId="8560"/>
    <cellStyle name="_New initiative 2004 Launch Schedule(for sales)_simple chart 050321 (128MMSSU)_JF Masterflow June 15a_Book5_Category Template AC'11 @Cst Fx 52W vs 53W 2" xfId="8561"/>
    <cellStyle name="_New initiative 2004 Launch Schedule(for sales)_simple chart 050321 (128MMSSU)_JF Masterflow June 15a_Book5_Category Template AC'11 @Cst Fx 52W vs 53W_P&amp;L KFE" xfId="8562"/>
    <cellStyle name="_New initiative 2004 Launch Schedule(for sales)_simple chart 050321 (128MMSSU)_JF Masterflow June 15a_Book5_Category Template AC'11 @Cst Fx 52W vs 53W_Sheet3" xfId="8563"/>
    <cellStyle name="_New initiative 2004 Launch Schedule(for sales)_simple chart 050321 (128MMSSU)_JF Masterflow June 15a_Book5_P&amp;L KFE" xfId="8564"/>
    <cellStyle name="_New initiative 2004 Launch Schedule(for sales)_simple chart 050321 (128MMSSU)_JF Masterflow June 15a_Book5_Sheet3" xfId="8565"/>
    <cellStyle name="_New initiative 2004 Launch Schedule(for sales)_simple chart 050321 (128MMSSU)_JF Masterflow June 15a_Category Template AC'11 @Cst Fx 52W vs 53W" xfId="8566"/>
    <cellStyle name="_New initiative 2004 Launch Schedule(for sales)_simple chart 050321 (128MMSSU)_JF Masterflow June 15a_Category Template AC'11 @Cst Fx 52W vs 53W 2" xfId="8567"/>
    <cellStyle name="_New initiative 2004 Launch Schedule(for sales)_simple chart 050321 (128MMSSU)_JF Masterflow June 15a_Category Template AC'11 @Cst Fx 52W vs 53W_P&amp;L KFE" xfId="8568"/>
    <cellStyle name="_New initiative 2004 Launch Schedule(for sales)_simple chart 050321 (128MMSSU)_JF Masterflow June 15a_Category Template AC'11 @Cst Fx 52W vs 53W_Sheet3" xfId="8569"/>
    <cellStyle name="_New initiative 2004 Launch Schedule(for sales)_simple chart 050321 (128MMSSU)_JF Masterflow June 15a_P&amp;L KFE" xfId="8570"/>
    <cellStyle name="_New initiative 2004 Launch Schedule(for sales)_simple chart 050321 (128MMSSU)_JF Masterflow June 15a_Sheet3" xfId="8571"/>
    <cellStyle name="_New initiative 2004 Launch Schedule(for sales)_simple chart 050321 (128MMSSU)_JF Masterflow June 15a_Wrigley - 05 budget&amp;calendar LE 050728 (25I)" xfId="8572"/>
    <cellStyle name="_New initiative 2004 Launch Schedule(for sales)_simple chart 050321 (128MMSSU)_JF Masterflow June 15a_Wrigley - 05 budget&amp;calendar LE 050728 (25I) 2" xfId="8573"/>
    <cellStyle name="_New initiative 2004 Launch Schedule(for sales)_simple chart 050321 (128MMSSU)_JF Masterflow June 15a_Wrigley - 05 budget&amp;calendar LE 050728 (25I)_Category Template AC'11 @Cst Fx 52W vs 53W" xfId="8574"/>
    <cellStyle name="_New initiative 2004 Launch Schedule(for sales)_simple chart 050321 (128MMSSU)_JF Masterflow June 15a_Wrigley - 05 budget&amp;calendar LE 050728 (25I)_Category Template AC'11 @Cst Fx 52W vs 53W 2" xfId="8575"/>
    <cellStyle name="_New initiative 2004 Launch Schedule(for sales)_simple chart 050321 (128MMSSU)_JF Masterflow June 15a_Wrigley - 05 budget&amp;calendar LE 050728 (25I)_Category Template AC'11 @Cst Fx 52W vs 53W_P&amp;L KFE" xfId="8576"/>
    <cellStyle name="_New initiative 2004 Launch Schedule(for sales)_simple chart 050321 (128MMSSU)_JF Masterflow June 15a_Wrigley - 05 budget&amp;calendar LE 050728 (25I)_Category Template AC'11 @Cst Fx 52W vs 53W_Sheet3" xfId="8577"/>
    <cellStyle name="_New initiative 2004 Launch Schedule(for sales)_simple chart 050321 (128MMSSU)_JF Masterflow June 15a_Wrigley - 05 budget&amp;calendar LE 050728 (25I)_P&amp;L KFE" xfId="8578"/>
    <cellStyle name="_New initiative 2004 Launch Schedule(for sales)_simple chart 050321 (128MMSSU)_JF Masterflow June 15a_Wrigley - 05 budget&amp;calendar LE 050728 (25I)_Sheet3" xfId="8579"/>
    <cellStyle name="_New initiative 2004 Launch Schedule(for sales)_simple chart 050321 (128MMSSU)_JF Masterflow June 15a_Wrigley - 05 budget&amp;calendar LE 050728 (25I)_Wrigley - 06 simple chart Sep 14" xfId="8580"/>
    <cellStyle name="_New initiative 2004 Launch Schedule(for sales)_simple chart 050321 (128MMSSU)_JF Masterflow June 15a_Wrigley - 05 budget&amp;calendar LE 050728 (25I)_Wrigley - 06 simple chart Sep 14 2" xfId="8581"/>
    <cellStyle name="_New initiative 2004 Launch Schedule(for sales)_simple chart 050321 (128MMSSU)_JF Masterflow June 15a_Wrigley - 05 budget&amp;calendar LE 050728 (25I)_Wrigley - 06 simple chart Sep 14_Category Template AC'11 @Cst Fx 52W vs 53W" xfId="8582"/>
    <cellStyle name="_New initiative 2004 Launch Schedule(for sales)_simple chart 050321 (128MMSSU)_JF Masterflow June 15a_Wrigley - 05 budget&amp;calendar LE 050728 (25I)_Wrigley - 06 simple chart Sep 14_Category Template AC'11 @Cst Fx 52W vs 53W 2" xfId="8583"/>
    <cellStyle name="_New initiative 2004 Launch Schedule(for sales)_simple chart 050321 (128MMSSU)_JF Masterflow June 15a_Wrigley - 05 budget&amp;calendar LE 050728 (25I)_Wrigley - 06 simple chart Sep 14_Category Template AC'11 @Cst Fx 52W vs 53W_P&amp;L KFE" xfId="8584"/>
    <cellStyle name="_New initiative 2004 Launch Schedule(for sales)_simple chart 050321 (128MMSSU)_JF Masterflow June 15a_Wrigley - 05 budget&amp;calendar LE 050728 (25I)_Wrigley - 06 simple chart Sep 14_Category Template AC'11 @Cst Fx 52W vs 53W_Sheet3" xfId="8585"/>
    <cellStyle name="_New initiative 2004 Launch Schedule(for sales)_simple chart 050321 (128MMSSU)_JF Masterflow June 15a_Wrigley - 05 budget&amp;calendar LE 050728 (25I)_Wrigley - 06 simple chart Sep 14_P&amp;L KFE" xfId="8586"/>
    <cellStyle name="_New initiative 2004 Launch Schedule(for sales)_simple chart 050321 (128MMSSU)_JF Masterflow June 15a_Wrigley - 05 budget&amp;calendar LE 050728 (25I)_Wrigley - 06 simple chart Sep 14_Sheet3" xfId="8587"/>
    <cellStyle name="_New initiative 2004 Launch Schedule(for sales)_simple chart 050321 (128MMSSU)_JF Masterflow June 15a_Wrigley - 05 budget&amp;calendar LE 050824 (25F)" xfId="8588"/>
    <cellStyle name="_New initiative 2004 Launch Schedule(for sales)_simple chart 050321 (128MMSSU)_JF Masterflow June 15a_Wrigley - 05 budget&amp;calendar LE 050824 (25F) 2" xfId="8589"/>
    <cellStyle name="_New initiative 2004 Launch Schedule(for sales)_simple chart 050321 (128MMSSU)_JF Masterflow June 15a_Wrigley - 05 budget&amp;calendar LE 050824 (25F)_Category Template AC'11 @Cst Fx 52W vs 53W" xfId="8590"/>
    <cellStyle name="_New initiative 2004 Launch Schedule(for sales)_simple chart 050321 (128MMSSU)_JF Masterflow June 15a_Wrigley - 05 budget&amp;calendar LE 050824 (25F)_Category Template AC'11 @Cst Fx 52W vs 53W 2" xfId="8591"/>
    <cellStyle name="_New initiative 2004 Launch Schedule(for sales)_simple chart 050321 (128MMSSU)_JF Masterflow June 15a_Wrigley - 05 budget&amp;calendar LE 050824 (25F)_Category Template AC'11 @Cst Fx 52W vs 53W_P&amp;L KFE" xfId="8592"/>
    <cellStyle name="_New initiative 2004 Launch Schedule(for sales)_simple chart 050321 (128MMSSU)_JF Masterflow June 15a_Wrigley - 05 budget&amp;calendar LE 050824 (25F)_Category Template AC'11 @Cst Fx 52W vs 53W_Sheet3" xfId="8593"/>
    <cellStyle name="_New initiative 2004 Launch Schedule(for sales)_simple chart 050321 (128MMSSU)_JF Masterflow June 15a_Wrigley - 05 budget&amp;calendar LE 050824 (25F)_P&amp;L KFE" xfId="8594"/>
    <cellStyle name="_New initiative 2004 Launch Schedule(for sales)_simple chart 050321 (128MMSSU)_JF Masterflow June 15a_Wrigley - 05 budget&amp;calendar LE 050824 (25F)_Sheet3" xfId="8595"/>
    <cellStyle name="_New initiative 2004 Launch Schedule(for sales)_simple chart 050321 (128MMSSU)_JF Masterflow June 15a_Wrigley - 05 budget&amp;calendar LE 050824 (25F)_Wrigley - 06 simple chart Sep 14" xfId="8596"/>
    <cellStyle name="_New initiative 2004 Launch Schedule(for sales)_simple chart 050321 (128MMSSU)_JF Masterflow June 15a_Wrigley - 05 budget&amp;calendar LE 050824 (25F)_Wrigley - 06 simple chart Sep 14 2" xfId="8597"/>
    <cellStyle name="_New initiative 2004 Launch Schedule(for sales)_simple chart 050321 (128MMSSU)_JF Masterflow June 15a_Wrigley - 05 budget&amp;calendar LE 050824 (25F)_Wrigley - 06 simple chart Sep 14_Category Template AC'11 @Cst Fx 52W vs 53W" xfId="8598"/>
    <cellStyle name="_New initiative 2004 Launch Schedule(for sales)_simple chart 050321 (128MMSSU)_JF Masterflow June 15a_Wrigley - 05 budget&amp;calendar LE 050824 (25F)_Wrigley - 06 simple chart Sep 14_Category Template AC'11 @Cst Fx 52W vs 53W 2" xfId="8599"/>
    <cellStyle name="_New initiative 2004 Launch Schedule(for sales)_simple chart 050321 (128MMSSU)_JF Masterflow June 15a_Wrigley - 05 budget&amp;calendar LE 050824 (25F)_Wrigley - 06 simple chart Sep 14_Category Template AC'11 @Cst Fx 52W vs 53W_P&amp;L KFE" xfId="8600"/>
    <cellStyle name="_New initiative 2004 Launch Schedule(for sales)_simple chart 050321 (128MMSSU)_JF Masterflow June 15a_Wrigley - 05 budget&amp;calendar LE 050824 (25F)_Wrigley - 06 simple chart Sep 14_Category Template AC'11 @Cst Fx 52W vs 53W_Sheet3" xfId="8601"/>
    <cellStyle name="_New initiative 2004 Launch Schedule(for sales)_simple chart 050321 (128MMSSU)_JF Masterflow June 15a_Wrigley - 05 budget&amp;calendar LE 050824 (25F)_Wrigley - 06 simple chart Sep 14_P&amp;L KFE" xfId="8602"/>
    <cellStyle name="_New initiative 2004 Launch Schedule(for sales)_simple chart 050321 (128MMSSU)_JF Masterflow June 15a_Wrigley - 05 budget&amp;calendar LE 050824 (25F)_Wrigley - 06 simple chart Sep 14_Sheet3" xfId="8603"/>
    <cellStyle name="_New initiative 2004 Launch Schedule(for sales)_simple chart 050321 (128MMSSU)_JF Masterflow June 15a_Wrigley - 05 budget&amp;calendar LE 050824 (25I)" xfId="8604"/>
    <cellStyle name="_New initiative 2004 Launch Schedule(for sales)_simple chart 050321 (128MMSSU)_JF Masterflow June 15a_Wrigley - 05 budget&amp;calendar LE 050824 (25I) 2" xfId="8605"/>
    <cellStyle name="_New initiative 2004 Launch Schedule(for sales)_simple chart 050321 (128MMSSU)_JF Masterflow June 15a_Wrigley - 05 budget&amp;calendar LE 050824 (25I)_Category Template AC'11 @Cst Fx 52W vs 53W" xfId="8606"/>
    <cellStyle name="_New initiative 2004 Launch Schedule(for sales)_simple chart 050321 (128MMSSU)_JF Masterflow June 15a_Wrigley - 05 budget&amp;calendar LE 050824 (25I)_Category Template AC'11 @Cst Fx 52W vs 53W 2" xfId="8607"/>
    <cellStyle name="_New initiative 2004 Launch Schedule(for sales)_simple chart 050321 (128MMSSU)_JF Masterflow June 15a_Wrigley - 05 budget&amp;calendar LE 050824 (25I)_Category Template AC'11 @Cst Fx 52W vs 53W_P&amp;L KFE" xfId="8608"/>
    <cellStyle name="_New initiative 2004 Launch Schedule(for sales)_simple chart 050321 (128MMSSU)_JF Masterflow June 15a_Wrigley - 05 budget&amp;calendar LE 050824 (25I)_Category Template AC'11 @Cst Fx 52W vs 53W_Sheet3" xfId="8609"/>
    <cellStyle name="_New initiative 2004 Launch Schedule(for sales)_simple chart 050321 (128MMSSU)_JF Masterflow June 15a_Wrigley - 05 budget&amp;calendar LE 050824 (25I)_P&amp;L KFE" xfId="8610"/>
    <cellStyle name="_New initiative 2004 Launch Schedule(for sales)_simple chart 050321 (128MMSSU)_JF Masterflow June 15a_Wrigley - 05 budget&amp;calendar LE 050824 (25I)_Sheet3" xfId="8611"/>
    <cellStyle name="_New initiative 2004 Launch Schedule(for sales)_simple chart 050321 (128MMSSU)_JF Masterflow June 15a_Wrigley - 05 budget&amp;calendar LE 050824 (25I)_Wrigley - 06 simple chart Sep 14" xfId="8612"/>
    <cellStyle name="_New initiative 2004 Launch Schedule(for sales)_simple chart 050321 (128MMSSU)_JF Masterflow June 15a_Wrigley - 05 budget&amp;calendar LE 050824 (25I)_Wrigley - 06 simple chart Sep 14 2" xfId="8613"/>
    <cellStyle name="_New initiative 2004 Launch Schedule(for sales)_simple chart 050321 (128MMSSU)_JF Masterflow June 15a_Wrigley - 05 budget&amp;calendar LE 050824 (25I)_Wrigley - 06 simple chart Sep 14_Category Template AC'11 @Cst Fx 52W vs 53W" xfId="8614"/>
    <cellStyle name="_New initiative 2004 Launch Schedule(for sales)_simple chart 050321 (128MMSSU)_JF Masterflow June 15a_Wrigley - 05 budget&amp;calendar LE 050824 (25I)_Wrigley - 06 simple chart Sep 14_Category Template AC'11 @Cst Fx 52W vs 53W 2" xfId="8615"/>
    <cellStyle name="_New initiative 2004 Launch Schedule(for sales)_simple chart 050321 (128MMSSU)_JF Masterflow June 15a_Wrigley - 05 budget&amp;calendar LE 050824 (25I)_Wrigley - 06 simple chart Sep 14_Category Template AC'11 @Cst Fx 52W vs 53W_P&amp;L KFE" xfId="8616"/>
    <cellStyle name="_New initiative 2004 Launch Schedule(for sales)_simple chart 050321 (128MMSSU)_JF Masterflow June 15a_Wrigley - 05 budget&amp;calendar LE 050824 (25I)_Wrigley - 06 simple chart Sep 14_Category Template AC'11 @Cst Fx 52W vs 53W_Sheet3" xfId="8617"/>
    <cellStyle name="_New initiative 2004 Launch Schedule(for sales)_simple chart 050321 (128MMSSU)_JF Masterflow June 15a_Wrigley - 05 budget&amp;calendar LE 050824 (25I)_Wrigley - 06 simple chart Sep 14_P&amp;L KFE" xfId="8618"/>
    <cellStyle name="_New initiative 2004 Launch Schedule(for sales)_simple chart 050321 (128MMSSU)_JF Masterflow June 15a_Wrigley - 05 budget&amp;calendar LE 050824 (25I)_Wrigley - 06 simple chart Sep 14_Sheet3" xfId="8619"/>
    <cellStyle name="_New initiative 2004 Launch Schedule(for sales)_simple chart 050321 (128MMSSU)_JF Masterflow June 15a_Wrigley - 06 simple chart Sep 14" xfId="8620"/>
    <cellStyle name="_New initiative 2004 Launch Schedule(for sales)_simple chart 050321 (128MMSSU)_JF Masterflow June 15a_Wrigley - 06 simple chart Sep 14 2" xfId="8621"/>
    <cellStyle name="_New initiative 2004 Launch Schedule(for sales)_simple chart 050321 (128MMSSU)_JF Masterflow June 15a_Wrigley - 06 simple chart Sep 14_Category Template AC'11 @Cst Fx 52W vs 53W" xfId="8622"/>
    <cellStyle name="_New initiative 2004 Launch Schedule(for sales)_simple chart 050321 (128MMSSU)_JF Masterflow June 15a_Wrigley - 06 simple chart Sep 14_Category Template AC'11 @Cst Fx 52W vs 53W 2" xfId="8623"/>
    <cellStyle name="_New initiative 2004 Launch Schedule(for sales)_simple chart 050321 (128MMSSU)_JF Masterflow June 15a_Wrigley - 06 simple chart Sep 14_Category Template AC'11 @Cst Fx 52W vs 53W_P&amp;L KFE" xfId="8624"/>
    <cellStyle name="_New initiative 2004 Launch Schedule(for sales)_simple chart 050321 (128MMSSU)_JF Masterflow June 15a_Wrigley - 06 simple chart Sep 14_Category Template AC'11 @Cst Fx 52W vs 53W_Sheet3" xfId="8625"/>
    <cellStyle name="_New initiative 2004 Launch Schedule(for sales)_simple chart 050321 (128MMSSU)_JF Masterflow June 15a_Wrigley - 06 simple chart Sep 14_P&amp;L KFE" xfId="8626"/>
    <cellStyle name="_New initiative 2004 Launch Schedule(for sales)_simple chart 050321 (128MMSSU)_JF Masterflow June 15a_Wrigley - 06 simple chart Sep 14_Sheet3" xfId="8627"/>
    <cellStyle name="_New initiative 2004 Launch Schedule(for sales)_simple chart 050321 (128MMSSU)_P&amp;L KFE" xfId="8628"/>
    <cellStyle name="_New initiative 2004 Launch Schedule(for sales)_simple chart 050321 (128MMSSU)_PP Masterflow June 15a" xfId="8629"/>
    <cellStyle name="_New initiative 2004 Launch Schedule(for sales)_simple chart 050321 (128MMSSU)_PP Masterflow June 15a 2" xfId="8630"/>
    <cellStyle name="_New initiative 2004 Launch Schedule(for sales)_simple chart 050321 (128MMSSU)_PP Masterflow June 15a_Book5" xfId="8631"/>
    <cellStyle name="_New initiative 2004 Launch Schedule(for sales)_simple chart 050321 (128MMSSU)_PP Masterflow June 15a_Book5 2" xfId="8632"/>
    <cellStyle name="_New initiative 2004 Launch Schedule(for sales)_simple chart 050321 (128MMSSU)_PP Masterflow June 15a_Book5_Category Template AC'11 @Cst Fx 52W vs 53W" xfId="8633"/>
    <cellStyle name="_New initiative 2004 Launch Schedule(for sales)_simple chart 050321 (128MMSSU)_PP Masterflow June 15a_Book5_Category Template AC'11 @Cst Fx 52W vs 53W 2" xfId="8634"/>
    <cellStyle name="_New initiative 2004 Launch Schedule(for sales)_simple chart 050321 (128MMSSU)_PP Masterflow June 15a_Book5_Category Template AC'11 @Cst Fx 52W vs 53W_P&amp;L KFE" xfId="8635"/>
    <cellStyle name="_New initiative 2004 Launch Schedule(for sales)_simple chart 050321 (128MMSSU)_PP Masterflow June 15a_Book5_Category Template AC'11 @Cst Fx 52W vs 53W_Sheet3" xfId="8636"/>
    <cellStyle name="_New initiative 2004 Launch Schedule(for sales)_simple chart 050321 (128MMSSU)_PP Masterflow June 15a_Book5_P&amp;L KFE" xfId="8637"/>
    <cellStyle name="_New initiative 2004 Launch Schedule(for sales)_simple chart 050321 (128MMSSU)_PP Masterflow June 15a_Book5_Sheet3" xfId="8638"/>
    <cellStyle name="_New initiative 2004 Launch Schedule(for sales)_simple chart 050321 (128MMSSU)_PP Masterflow June 15a_Category Template AC'11 @Cst Fx 52W vs 53W" xfId="8639"/>
    <cellStyle name="_New initiative 2004 Launch Schedule(for sales)_simple chart 050321 (128MMSSU)_PP Masterflow June 15a_Category Template AC'11 @Cst Fx 52W vs 53W 2" xfId="8640"/>
    <cellStyle name="_New initiative 2004 Launch Schedule(for sales)_simple chart 050321 (128MMSSU)_PP Masterflow June 15a_Category Template AC'11 @Cst Fx 52W vs 53W_P&amp;L KFE" xfId="8641"/>
    <cellStyle name="_New initiative 2004 Launch Schedule(for sales)_simple chart 050321 (128MMSSU)_PP Masterflow June 15a_Category Template AC'11 @Cst Fx 52W vs 53W_Sheet3" xfId="8642"/>
    <cellStyle name="_New initiative 2004 Launch Schedule(for sales)_simple chart 050321 (128MMSSU)_PP Masterflow June 15a_P&amp;L KFE" xfId="8643"/>
    <cellStyle name="_New initiative 2004 Launch Schedule(for sales)_simple chart 050321 (128MMSSU)_PP Masterflow June 15a_Sheet3" xfId="8644"/>
    <cellStyle name="_New initiative 2004 Launch Schedule(for sales)_simple chart 050321 (128MMSSU)_PP Masterflow June 15a_Wrigley - 05 budget&amp;calendar LE 050728 (25I)" xfId="8645"/>
    <cellStyle name="_New initiative 2004 Launch Schedule(for sales)_simple chart 050321 (128MMSSU)_PP Masterflow June 15a_Wrigley - 05 budget&amp;calendar LE 050728 (25I) 2" xfId="8646"/>
    <cellStyle name="_New initiative 2004 Launch Schedule(for sales)_simple chart 050321 (128MMSSU)_PP Masterflow June 15a_Wrigley - 05 budget&amp;calendar LE 050728 (25I)_Category Template AC'11 @Cst Fx 52W vs 53W" xfId="8647"/>
    <cellStyle name="_New initiative 2004 Launch Schedule(for sales)_simple chart 050321 (128MMSSU)_PP Masterflow June 15a_Wrigley - 05 budget&amp;calendar LE 050728 (25I)_Category Template AC'11 @Cst Fx 52W vs 53W 2" xfId="8648"/>
    <cellStyle name="_New initiative 2004 Launch Schedule(for sales)_simple chart 050321 (128MMSSU)_PP Masterflow June 15a_Wrigley - 05 budget&amp;calendar LE 050728 (25I)_Category Template AC'11 @Cst Fx 52W vs 53W_P&amp;L KFE" xfId="8649"/>
    <cellStyle name="_New initiative 2004 Launch Schedule(for sales)_simple chart 050321 (128MMSSU)_PP Masterflow June 15a_Wrigley - 05 budget&amp;calendar LE 050728 (25I)_Category Template AC'11 @Cst Fx 52W vs 53W_Sheet3" xfId="8650"/>
    <cellStyle name="_New initiative 2004 Launch Schedule(for sales)_simple chart 050321 (128MMSSU)_PP Masterflow June 15a_Wrigley - 05 budget&amp;calendar LE 050728 (25I)_P&amp;L KFE" xfId="8651"/>
    <cellStyle name="_New initiative 2004 Launch Schedule(for sales)_simple chart 050321 (128MMSSU)_PP Masterflow June 15a_Wrigley - 05 budget&amp;calendar LE 050728 (25I)_Sheet3" xfId="8652"/>
    <cellStyle name="_New initiative 2004 Launch Schedule(for sales)_simple chart 050321 (128MMSSU)_PP Masterflow June 15a_Wrigley - 05 budget&amp;calendar LE 050728 (25I)_Wrigley - 06 simple chart Sep 14" xfId="8653"/>
    <cellStyle name="_New initiative 2004 Launch Schedule(for sales)_simple chart 050321 (128MMSSU)_PP Masterflow June 15a_Wrigley - 05 budget&amp;calendar LE 050728 (25I)_Wrigley - 06 simple chart Sep 14 2" xfId="8654"/>
    <cellStyle name="_New initiative 2004 Launch Schedule(for sales)_simple chart 050321 (128MMSSU)_PP Masterflow June 15a_Wrigley - 05 budget&amp;calendar LE 050728 (25I)_Wrigley - 06 simple chart Sep 14_Category Template AC'11 @Cst Fx 52W vs 53W" xfId="8655"/>
    <cellStyle name="_New initiative 2004 Launch Schedule(for sales)_simple chart 050321 (128MMSSU)_PP Masterflow June 15a_Wrigley - 05 budget&amp;calendar LE 050728 (25I)_Wrigley - 06 simple chart Sep 14_Category Template AC'11 @Cst Fx 52W vs 53W 2" xfId="8656"/>
    <cellStyle name="_New initiative 2004 Launch Schedule(for sales)_simple chart 050321 (128MMSSU)_PP Masterflow June 15a_Wrigley - 05 budget&amp;calendar LE 050728 (25I)_Wrigley - 06 simple chart Sep 14_Category Template AC'11 @Cst Fx 52W vs 53W_P&amp;L KFE" xfId="8657"/>
    <cellStyle name="_New initiative 2004 Launch Schedule(for sales)_simple chart 050321 (128MMSSU)_PP Masterflow June 15a_Wrigley - 05 budget&amp;calendar LE 050728 (25I)_Wrigley - 06 simple chart Sep 14_Category Template AC'11 @Cst Fx 52W vs 53W_Sheet3" xfId="8658"/>
    <cellStyle name="_New initiative 2004 Launch Schedule(for sales)_simple chart 050321 (128MMSSU)_PP Masterflow June 15a_Wrigley - 05 budget&amp;calendar LE 050728 (25I)_Wrigley - 06 simple chart Sep 14_P&amp;L KFE" xfId="8659"/>
    <cellStyle name="_New initiative 2004 Launch Schedule(for sales)_simple chart 050321 (128MMSSU)_PP Masterflow June 15a_Wrigley - 05 budget&amp;calendar LE 050728 (25I)_Wrigley - 06 simple chart Sep 14_Sheet3" xfId="8660"/>
    <cellStyle name="_New initiative 2004 Launch Schedule(for sales)_simple chart 050321 (128MMSSU)_PP Masterflow June 15a_Wrigley - 05 budget&amp;calendar LE 050824 (25F)" xfId="8661"/>
    <cellStyle name="_New initiative 2004 Launch Schedule(for sales)_simple chart 050321 (128MMSSU)_PP Masterflow June 15a_Wrigley - 05 budget&amp;calendar LE 050824 (25F) 2" xfId="8662"/>
    <cellStyle name="_New initiative 2004 Launch Schedule(for sales)_simple chart 050321 (128MMSSU)_PP Masterflow June 15a_Wrigley - 05 budget&amp;calendar LE 050824 (25F)_Category Template AC'11 @Cst Fx 52W vs 53W" xfId="8663"/>
    <cellStyle name="_New initiative 2004 Launch Schedule(for sales)_simple chart 050321 (128MMSSU)_PP Masterflow June 15a_Wrigley - 05 budget&amp;calendar LE 050824 (25F)_Category Template AC'11 @Cst Fx 52W vs 53W 2" xfId="8664"/>
    <cellStyle name="_New initiative 2004 Launch Schedule(for sales)_simple chart 050321 (128MMSSU)_PP Masterflow June 15a_Wrigley - 05 budget&amp;calendar LE 050824 (25F)_Category Template AC'11 @Cst Fx 52W vs 53W_P&amp;L KFE" xfId="8665"/>
    <cellStyle name="_New initiative 2004 Launch Schedule(for sales)_simple chart 050321 (128MMSSU)_PP Masterflow June 15a_Wrigley - 05 budget&amp;calendar LE 050824 (25F)_Category Template AC'11 @Cst Fx 52W vs 53W_Sheet3" xfId="8666"/>
    <cellStyle name="_New initiative 2004 Launch Schedule(for sales)_simple chart 050321 (128MMSSU)_PP Masterflow June 15a_Wrigley - 05 budget&amp;calendar LE 050824 (25F)_P&amp;L KFE" xfId="8667"/>
    <cellStyle name="_New initiative 2004 Launch Schedule(for sales)_simple chart 050321 (128MMSSU)_PP Masterflow June 15a_Wrigley - 05 budget&amp;calendar LE 050824 (25F)_Sheet3" xfId="8668"/>
    <cellStyle name="_New initiative 2004 Launch Schedule(for sales)_simple chart 050321 (128MMSSU)_PP Masterflow June 15a_Wrigley - 05 budget&amp;calendar LE 050824 (25F)_Wrigley - 06 simple chart Sep 14" xfId="8669"/>
    <cellStyle name="_New initiative 2004 Launch Schedule(for sales)_simple chart 050321 (128MMSSU)_PP Masterflow June 15a_Wrigley - 05 budget&amp;calendar LE 050824 (25F)_Wrigley - 06 simple chart Sep 14 2" xfId="8670"/>
    <cellStyle name="_New initiative 2004 Launch Schedule(for sales)_simple chart 050321 (128MMSSU)_PP Masterflow June 15a_Wrigley - 05 budget&amp;calendar LE 050824 (25F)_Wrigley - 06 simple chart Sep 14_Category Template AC'11 @Cst Fx 52W vs 53W" xfId="8671"/>
    <cellStyle name="_New initiative 2004 Launch Schedule(for sales)_simple chart 050321 (128MMSSU)_PP Masterflow June 15a_Wrigley - 05 budget&amp;calendar LE 050824 (25F)_Wrigley - 06 simple chart Sep 14_Category Template AC'11 @Cst Fx 52W vs 53W 2" xfId="8672"/>
    <cellStyle name="_New initiative 2004 Launch Schedule(for sales)_simple chart 050321 (128MMSSU)_PP Masterflow June 15a_Wrigley - 05 budget&amp;calendar LE 050824 (25F)_Wrigley - 06 simple chart Sep 14_Category Template AC'11 @Cst Fx 52W vs 53W_P&amp;L KFE" xfId="8673"/>
    <cellStyle name="_New initiative 2004 Launch Schedule(for sales)_simple chart 050321 (128MMSSU)_PP Masterflow June 15a_Wrigley - 05 budget&amp;calendar LE 050824 (25F)_Wrigley - 06 simple chart Sep 14_Category Template AC'11 @Cst Fx 52W vs 53W_Sheet3" xfId="8674"/>
    <cellStyle name="_New initiative 2004 Launch Schedule(for sales)_simple chart 050321 (128MMSSU)_PP Masterflow June 15a_Wrigley - 05 budget&amp;calendar LE 050824 (25F)_Wrigley - 06 simple chart Sep 14_P&amp;L KFE" xfId="8675"/>
    <cellStyle name="_New initiative 2004 Launch Schedule(for sales)_simple chart 050321 (128MMSSU)_PP Masterflow June 15a_Wrigley - 05 budget&amp;calendar LE 050824 (25F)_Wrigley - 06 simple chart Sep 14_Sheet3" xfId="8676"/>
    <cellStyle name="_New initiative 2004 Launch Schedule(for sales)_simple chart 050321 (128MMSSU)_PP Masterflow June 15a_Wrigley - 05 budget&amp;calendar LE 050824 (25I)" xfId="8677"/>
    <cellStyle name="_New initiative 2004 Launch Schedule(for sales)_simple chart 050321 (128MMSSU)_PP Masterflow June 15a_Wrigley - 05 budget&amp;calendar LE 050824 (25I) 2" xfId="8678"/>
    <cellStyle name="_New initiative 2004 Launch Schedule(for sales)_simple chart 050321 (128MMSSU)_PP Masterflow June 15a_Wrigley - 05 budget&amp;calendar LE 050824 (25I)_Category Template AC'11 @Cst Fx 52W vs 53W" xfId="8679"/>
    <cellStyle name="_New initiative 2004 Launch Schedule(for sales)_simple chart 050321 (128MMSSU)_PP Masterflow June 15a_Wrigley - 05 budget&amp;calendar LE 050824 (25I)_Category Template AC'11 @Cst Fx 52W vs 53W 2" xfId="8680"/>
    <cellStyle name="_New initiative 2004 Launch Schedule(for sales)_simple chart 050321 (128MMSSU)_PP Masterflow June 15a_Wrigley - 05 budget&amp;calendar LE 050824 (25I)_Category Template AC'11 @Cst Fx 52W vs 53W_P&amp;L KFE" xfId="8681"/>
    <cellStyle name="_New initiative 2004 Launch Schedule(for sales)_simple chart 050321 (128MMSSU)_PP Masterflow June 15a_Wrigley - 05 budget&amp;calendar LE 050824 (25I)_Category Template AC'11 @Cst Fx 52W vs 53W_Sheet3" xfId="8682"/>
    <cellStyle name="_New initiative 2004 Launch Schedule(for sales)_simple chart 050321 (128MMSSU)_PP Masterflow June 15a_Wrigley - 05 budget&amp;calendar LE 050824 (25I)_P&amp;L KFE" xfId="8683"/>
    <cellStyle name="_New initiative 2004 Launch Schedule(for sales)_simple chart 050321 (128MMSSU)_PP Masterflow June 15a_Wrigley - 05 budget&amp;calendar LE 050824 (25I)_Sheet3" xfId="8684"/>
    <cellStyle name="_New initiative 2004 Launch Schedule(for sales)_simple chart 050321 (128MMSSU)_PP Masterflow June 15a_Wrigley - 05 budget&amp;calendar LE 050824 (25I)_Wrigley - 06 simple chart Sep 14" xfId="8685"/>
    <cellStyle name="_New initiative 2004 Launch Schedule(for sales)_simple chart 050321 (128MMSSU)_PP Masterflow June 15a_Wrigley - 05 budget&amp;calendar LE 050824 (25I)_Wrigley - 06 simple chart Sep 14 2" xfId="8686"/>
    <cellStyle name="_New initiative 2004 Launch Schedule(for sales)_simple chart 050321 (128MMSSU)_PP Masterflow June 15a_Wrigley - 05 budget&amp;calendar LE 050824 (25I)_Wrigley - 06 simple chart Sep 14_Category Template AC'11 @Cst Fx 52W vs 53W" xfId="8687"/>
    <cellStyle name="_New initiative 2004 Launch Schedule(for sales)_simple chart 050321 (128MMSSU)_PP Masterflow June 15a_Wrigley - 05 budget&amp;calendar LE 050824 (25I)_Wrigley - 06 simple chart Sep 14_Category Template AC'11 @Cst Fx 52W vs 53W 2" xfId="8688"/>
    <cellStyle name="_New initiative 2004 Launch Schedule(for sales)_simple chart 050321 (128MMSSU)_PP Masterflow June 15a_Wrigley - 05 budget&amp;calendar LE 050824 (25I)_Wrigley - 06 simple chart Sep 14_Category Template AC'11 @Cst Fx 52W vs 53W_P&amp;L KFE" xfId="8689"/>
    <cellStyle name="_New initiative 2004 Launch Schedule(for sales)_simple chart 050321 (128MMSSU)_PP Masterflow June 15a_Wrigley - 05 budget&amp;calendar LE 050824 (25I)_Wrigley - 06 simple chart Sep 14_Category Template AC'11 @Cst Fx 52W vs 53W_Sheet3" xfId="8690"/>
    <cellStyle name="_New initiative 2004 Launch Schedule(for sales)_simple chart 050321 (128MMSSU)_PP Masterflow June 15a_Wrigley - 05 budget&amp;calendar LE 050824 (25I)_Wrigley - 06 simple chart Sep 14_P&amp;L KFE" xfId="8691"/>
    <cellStyle name="_New initiative 2004 Launch Schedule(for sales)_simple chart 050321 (128MMSSU)_PP Masterflow June 15a_Wrigley - 05 budget&amp;calendar LE 050824 (25I)_Wrigley - 06 simple chart Sep 14_Sheet3" xfId="8692"/>
    <cellStyle name="_New initiative 2004 Launch Schedule(for sales)_simple chart 050321 (128MMSSU)_PP Masterflow June 15a_Wrigley - 06 simple chart Sep 14" xfId="8693"/>
    <cellStyle name="_New initiative 2004 Launch Schedule(for sales)_simple chart 050321 (128MMSSU)_PP Masterflow June 15a_Wrigley - 06 simple chart Sep 14 2" xfId="8694"/>
    <cellStyle name="_New initiative 2004 Launch Schedule(for sales)_simple chart 050321 (128MMSSU)_PP Masterflow June 15a_Wrigley - 06 simple chart Sep 14_Category Template AC'11 @Cst Fx 52W vs 53W" xfId="8695"/>
    <cellStyle name="_New initiative 2004 Launch Schedule(for sales)_simple chart 050321 (128MMSSU)_PP Masterflow June 15a_Wrigley - 06 simple chart Sep 14_Category Template AC'11 @Cst Fx 52W vs 53W 2" xfId="8696"/>
    <cellStyle name="_New initiative 2004 Launch Schedule(for sales)_simple chart 050321 (128MMSSU)_PP Masterflow June 15a_Wrigley - 06 simple chart Sep 14_Category Template AC'11 @Cst Fx 52W vs 53W_P&amp;L KFE" xfId="8697"/>
    <cellStyle name="_New initiative 2004 Launch Schedule(for sales)_simple chart 050321 (128MMSSU)_PP Masterflow June 15a_Wrigley - 06 simple chart Sep 14_Category Template AC'11 @Cst Fx 52W vs 53W_Sheet3" xfId="8698"/>
    <cellStyle name="_New initiative 2004 Launch Schedule(for sales)_simple chart 050321 (128MMSSU)_PP Masterflow June 15a_Wrigley - 06 simple chart Sep 14_P&amp;L KFE" xfId="8699"/>
    <cellStyle name="_New initiative 2004 Launch Schedule(for sales)_simple chart 050321 (128MMSSU)_PP Masterflow June 15a_Wrigley - 06 simple chart Sep 14_Sheet3" xfId="8700"/>
    <cellStyle name="_New initiative 2004 Launch Schedule(for sales)_simple chart 050321 (128MMSSU)_Sheet3" xfId="8701"/>
    <cellStyle name="_New initiative 2004 Launch Schedule(for sales)_simple chart 050321 (128MMSSU)_TJ Masterflow June 15" xfId="8702"/>
    <cellStyle name="_New initiative 2004 Launch Schedule(for sales)_simple chart 050321 (128MMSSU)_TJ Masterflow June 15 2" xfId="8703"/>
    <cellStyle name="_New initiative 2004 Launch Schedule(for sales)_simple chart 050321 (128MMSSU)_TJ Masterflow June 15_Book5" xfId="8704"/>
    <cellStyle name="_New initiative 2004 Launch Schedule(for sales)_simple chart 050321 (128MMSSU)_TJ Masterflow June 15_Book5 2" xfId="8705"/>
    <cellStyle name="_New initiative 2004 Launch Schedule(for sales)_simple chart 050321 (128MMSSU)_TJ Masterflow June 15_Book5_Category Template AC'11 @Cst Fx 52W vs 53W" xfId="8706"/>
    <cellStyle name="_New initiative 2004 Launch Schedule(for sales)_simple chart 050321 (128MMSSU)_TJ Masterflow June 15_Book5_Category Template AC'11 @Cst Fx 52W vs 53W 2" xfId="8707"/>
    <cellStyle name="_New initiative 2004 Launch Schedule(for sales)_simple chart 050321 (128MMSSU)_TJ Masterflow June 15_Book5_Category Template AC'11 @Cst Fx 52W vs 53W_P&amp;L KFE" xfId="8708"/>
    <cellStyle name="_New initiative 2004 Launch Schedule(for sales)_simple chart 050321 (128MMSSU)_TJ Masterflow June 15_Book5_Category Template AC'11 @Cst Fx 52W vs 53W_Sheet3" xfId="8709"/>
    <cellStyle name="_New initiative 2004 Launch Schedule(for sales)_simple chart 050321 (128MMSSU)_TJ Masterflow June 15_Book5_P&amp;L KFE" xfId="8710"/>
    <cellStyle name="_New initiative 2004 Launch Schedule(for sales)_simple chart 050321 (128MMSSU)_TJ Masterflow June 15_Book5_Sheet3" xfId="8711"/>
    <cellStyle name="_New initiative 2004 Launch Schedule(for sales)_simple chart 050321 (128MMSSU)_TJ Masterflow June 15_Category Template AC'11 @Cst Fx 52W vs 53W" xfId="8712"/>
    <cellStyle name="_New initiative 2004 Launch Schedule(for sales)_simple chart 050321 (128MMSSU)_TJ Masterflow June 15_Category Template AC'11 @Cst Fx 52W vs 53W 2" xfId="8713"/>
    <cellStyle name="_New initiative 2004 Launch Schedule(for sales)_simple chart 050321 (128MMSSU)_TJ Masterflow June 15_Category Template AC'11 @Cst Fx 52W vs 53W_P&amp;L KFE" xfId="8714"/>
    <cellStyle name="_New initiative 2004 Launch Schedule(for sales)_simple chart 050321 (128MMSSU)_TJ Masterflow June 15_Category Template AC'11 @Cst Fx 52W vs 53W_Sheet3" xfId="8715"/>
    <cellStyle name="_New initiative 2004 Launch Schedule(for sales)_simple chart 050321 (128MMSSU)_TJ Masterflow June 15_P&amp;L KFE" xfId="8716"/>
    <cellStyle name="_New initiative 2004 Launch Schedule(for sales)_simple chart 050321 (128MMSSU)_TJ Masterflow June 15_Sheet3" xfId="8717"/>
    <cellStyle name="_New initiative 2004 Launch Schedule(for sales)_simple chart 050321 (128MMSSU)_TJ Masterflow June 15_Wrigley - 05 budget&amp;calendar LE 050728 (25I)" xfId="8718"/>
    <cellStyle name="_New initiative 2004 Launch Schedule(for sales)_simple chart 050321 (128MMSSU)_TJ Masterflow June 15_Wrigley - 05 budget&amp;calendar LE 050728 (25I) 2" xfId="8719"/>
    <cellStyle name="_New initiative 2004 Launch Schedule(for sales)_simple chart 050321 (128MMSSU)_TJ Masterflow June 15_Wrigley - 05 budget&amp;calendar LE 050728 (25I)_Category Template AC'11 @Cst Fx 52W vs 53W" xfId="8720"/>
    <cellStyle name="_New initiative 2004 Launch Schedule(for sales)_simple chart 050321 (128MMSSU)_TJ Masterflow June 15_Wrigley - 05 budget&amp;calendar LE 050728 (25I)_Category Template AC'11 @Cst Fx 52W vs 53W 2" xfId="8721"/>
    <cellStyle name="_New initiative 2004 Launch Schedule(for sales)_simple chart 050321 (128MMSSU)_TJ Masterflow June 15_Wrigley - 05 budget&amp;calendar LE 050728 (25I)_Category Template AC'11 @Cst Fx 52W vs 53W_P&amp;L KFE" xfId="8722"/>
    <cellStyle name="_New initiative 2004 Launch Schedule(for sales)_simple chart 050321 (128MMSSU)_TJ Masterflow June 15_Wrigley - 05 budget&amp;calendar LE 050728 (25I)_Category Template AC'11 @Cst Fx 52W vs 53W_Sheet3" xfId="8723"/>
    <cellStyle name="_New initiative 2004 Launch Schedule(for sales)_simple chart 050321 (128MMSSU)_TJ Masterflow June 15_Wrigley - 05 budget&amp;calendar LE 050728 (25I)_P&amp;L KFE" xfId="8724"/>
    <cellStyle name="_New initiative 2004 Launch Schedule(for sales)_simple chart 050321 (128MMSSU)_TJ Masterflow June 15_Wrigley - 05 budget&amp;calendar LE 050728 (25I)_Sheet3" xfId="8725"/>
    <cellStyle name="_New initiative 2004 Launch Schedule(for sales)_simple chart 050321 (128MMSSU)_TJ Masterflow June 15_Wrigley - 05 budget&amp;calendar LE 050728 (25I)_Wrigley - 06 simple chart Sep 14" xfId="8726"/>
    <cellStyle name="_New initiative 2004 Launch Schedule(for sales)_simple chart 050321 (128MMSSU)_TJ Masterflow June 15_Wrigley - 05 budget&amp;calendar LE 050728 (25I)_Wrigley - 06 simple chart Sep 14 2" xfId="8727"/>
    <cellStyle name="_New initiative 2004 Launch Schedule(for sales)_simple chart 050321 (128MMSSU)_TJ Masterflow June 15_Wrigley - 05 budget&amp;calendar LE 050728 (25I)_Wrigley - 06 simple chart Sep 14_Category Template AC'11 @Cst Fx 52W vs 53W" xfId="8728"/>
    <cellStyle name="_New initiative 2004 Launch Schedule(for sales)_simple chart 050321 (128MMSSU)_TJ Masterflow June 15_Wrigley - 05 budget&amp;calendar LE 050728 (25I)_Wrigley - 06 simple chart Sep 14_Category Template AC'11 @Cst Fx 52W vs 53W 2" xfId="8729"/>
    <cellStyle name="_New initiative 2004 Launch Schedule(for sales)_simple chart 050321 (128MMSSU)_TJ Masterflow June 15_Wrigley - 05 budget&amp;calendar LE 050728 (25I)_Wrigley - 06 simple chart Sep 14_Category Template AC'11 @Cst Fx 52W vs 53W_P&amp;L KFE" xfId="8730"/>
    <cellStyle name="_New initiative 2004 Launch Schedule(for sales)_simple chart 050321 (128MMSSU)_TJ Masterflow June 15_Wrigley - 05 budget&amp;calendar LE 050728 (25I)_Wrigley - 06 simple chart Sep 14_Category Template AC'11 @Cst Fx 52W vs 53W_Sheet3" xfId="8731"/>
    <cellStyle name="_New initiative 2004 Launch Schedule(for sales)_simple chart 050321 (128MMSSU)_TJ Masterflow June 15_Wrigley - 05 budget&amp;calendar LE 050728 (25I)_Wrigley - 06 simple chart Sep 14_P&amp;L KFE" xfId="8732"/>
    <cellStyle name="_New initiative 2004 Launch Schedule(for sales)_simple chart 050321 (128MMSSU)_TJ Masterflow June 15_Wrigley - 05 budget&amp;calendar LE 050728 (25I)_Wrigley - 06 simple chart Sep 14_Sheet3" xfId="8733"/>
    <cellStyle name="_New initiative 2004 Launch Schedule(for sales)_simple chart 050321 (128MMSSU)_TJ Masterflow June 15_Wrigley - 05 budget&amp;calendar LE 050824 (25F)" xfId="8734"/>
    <cellStyle name="_New initiative 2004 Launch Schedule(for sales)_simple chart 050321 (128MMSSU)_TJ Masterflow June 15_Wrigley - 05 budget&amp;calendar LE 050824 (25F) 2" xfId="8735"/>
    <cellStyle name="_New initiative 2004 Launch Schedule(for sales)_simple chart 050321 (128MMSSU)_TJ Masterflow June 15_Wrigley - 05 budget&amp;calendar LE 050824 (25F)_Category Template AC'11 @Cst Fx 52W vs 53W" xfId="8736"/>
    <cellStyle name="_New initiative 2004 Launch Schedule(for sales)_simple chart 050321 (128MMSSU)_TJ Masterflow June 15_Wrigley - 05 budget&amp;calendar LE 050824 (25F)_Category Template AC'11 @Cst Fx 52W vs 53W 2" xfId="8737"/>
    <cellStyle name="_New initiative 2004 Launch Schedule(for sales)_simple chart 050321 (128MMSSU)_TJ Masterflow June 15_Wrigley - 05 budget&amp;calendar LE 050824 (25F)_Category Template AC'11 @Cst Fx 52W vs 53W_P&amp;L KFE" xfId="8738"/>
    <cellStyle name="_New initiative 2004 Launch Schedule(for sales)_simple chart 050321 (128MMSSU)_TJ Masterflow June 15_Wrigley - 05 budget&amp;calendar LE 050824 (25F)_Category Template AC'11 @Cst Fx 52W vs 53W_Sheet3" xfId="8739"/>
    <cellStyle name="_New initiative 2004 Launch Schedule(for sales)_simple chart 050321 (128MMSSU)_TJ Masterflow June 15_Wrigley - 05 budget&amp;calendar LE 050824 (25F)_P&amp;L KFE" xfId="8740"/>
    <cellStyle name="_New initiative 2004 Launch Schedule(for sales)_simple chart 050321 (128MMSSU)_TJ Masterflow June 15_Wrigley - 05 budget&amp;calendar LE 050824 (25F)_Sheet3" xfId="8741"/>
    <cellStyle name="_New initiative 2004 Launch Schedule(for sales)_simple chart 050321 (128MMSSU)_TJ Masterflow June 15_Wrigley - 05 budget&amp;calendar LE 050824 (25F)_Wrigley - 06 simple chart Sep 14" xfId="8742"/>
    <cellStyle name="_New initiative 2004 Launch Schedule(for sales)_simple chart 050321 (128MMSSU)_TJ Masterflow June 15_Wrigley - 05 budget&amp;calendar LE 050824 (25F)_Wrigley - 06 simple chart Sep 14 2" xfId="8743"/>
    <cellStyle name="_New initiative 2004 Launch Schedule(for sales)_simple chart 050321 (128MMSSU)_TJ Masterflow June 15_Wrigley - 05 budget&amp;calendar LE 050824 (25F)_Wrigley - 06 simple chart Sep 14_Category Template AC'11 @Cst Fx 52W vs 53W" xfId="8744"/>
    <cellStyle name="_New initiative 2004 Launch Schedule(for sales)_simple chart 050321 (128MMSSU)_TJ Masterflow June 15_Wrigley - 05 budget&amp;calendar LE 050824 (25F)_Wrigley - 06 simple chart Sep 14_Category Template AC'11 @Cst Fx 52W vs 53W 2" xfId="8745"/>
    <cellStyle name="_New initiative 2004 Launch Schedule(for sales)_simple chart 050321 (128MMSSU)_TJ Masterflow June 15_Wrigley - 05 budget&amp;calendar LE 050824 (25F)_Wrigley - 06 simple chart Sep 14_Category Template AC'11 @Cst Fx 52W vs 53W_P&amp;L KFE" xfId="8746"/>
    <cellStyle name="_New initiative 2004 Launch Schedule(for sales)_simple chart 050321 (128MMSSU)_TJ Masterflow June 15_Wrigley - 05 budget&amp;calendar LE 050824 (25F)_Wrigley - 06 simple chart Sep 14_Category Template AC'11 @Cst Fx 52W vs 53W_Sheet3" xfId="8747"/>
    <cellStyle name="_New initiative 2004 Launch Schedule(for sales)_simple chart 050321 (128MMSSU)_TJ Masterflow June 15_Wrigley - 05 budget&amp;calendar LE 050824 (25F)_Wrigley - 06 simple chart Sep 14_P&amp;L KFE" xfId="8748"/>
    <cellStyle name="_New initiative 2004 Launch Schedule(for sales)_simple chart 050321 (128MMSSU)_TJ Masterflow June 15_Wrigley - 05 budget&amp;calendar LE 050824 (25F)_Wrigley - 06 simple chart Sep 14_Sheet3" xfId="8749"/>
    <cellStyle name="_New initiative 2004 Launch Schedule(for sales)_simple chart 050321 (128MMSSU)_TJ Masterflow June 15_Wrigley - 05 budget&amp;calendar LE 050824 (25I)" xfId="8750"/>
    <cellStyle name="_New initiative 2004 Launch Schedule(for sales)_simple chart 050321 (128MMSSU)_TJ Masterflow June 15_Wrigley - 05 budget&amp;calendar LE 050824 (25I) 2" xfId="8751"/>
    <cellStyle name="_New initiative 2004 Launch Schedule(for sales)_simple chart 050321 (128MMSSU)_TJ Masterflow June 15_Wrigley - 05 budget&amp;calendar LE 050824 (25I)_Category Template AC'11 @Cst Fx 52W vs 53W" xfId="8752"/>
    <cellStyle name="_New initiative 2004 Launch Schedule(for sales)_simple chart 050321 (128MMSSU)_TJ Masterflow June 15_Wrigley - 05 budget&amp;calendar LE 050824 (25I)_Category Template AC'11 @Cst Fx 52W vs 53W 2" xfId="8753"/>
    <cellStyle name="_New initiative 2004 Launch Schedule(for sales)_simple chart 050321 (128MMSSU)_TJ Masterflow June 15_Wrigley - 05 budget&amp;calendar LE 050824 (25I)_Category Template AC'11 @Cst Fx 52W vs 53W_P&amp;L KFE" xfId="8754"/>
    <cellStyle name="_New initiative 2004 Launch Schedule(for sales)_simple chart 050321 (128MMSSU)_TJ Masterflow June 15_Wrigley - 05 budget&amp;calendar LE 050824 (25I)_Category Template AC'11 @Cst Fx 52W vs 53W_Sheet3" xfId="8755"/>
    <cellStyle name="_New initiative 2004 Launch Schedule(for sales)_simple chart 050321 (128MMSSU)_TJ Masterflow June 15_Wrigley - 05 budget&amp;calendar LE 050824 (25I)_P&amp;L KFE" xfId="8756"/>
    <cellStyle name="_New initiative 2004 Launch Schedule(for sales)_simple chart 050321 (128MMSSU)_TJ Masterflow June 15_Wrigley - 05 budget&amp;calendar LE 050824 (25I)_Sheet3" xfId="8757"/>
    <cellStyle name="_New initiative 2004 Launch Schedule(for sales)_simple chart 050321 (128MMSSU)_TJ Masterflow June 15_Wrigley - 05 budget&amp;calendar LE 050824 (25I)_Wrigley - 06 simple chart Sep 14" xfId="8758"/>
    <cellStyle name="_New initiative 2004 Launch Schedule(for sales)_simple chart 050321 (128MMSSU)_TJ Masterflow June 15_Wrigley - 05 budget&amp;calendar LE 050824 (25I)_Wrigley - 06 simple chart Sep 14 2" xfId="8759"/>
    <cellStyle name="_New initiative 2004 Launch Schedule(for sales)_simple chart 050321 (128MMSSU)_TJ Masterflow June 15_Wrigley - 05 budget&amp;calendar LE 050824 (25I)_Wrigley - 06 simple chart Sep 14_Category Template AC'11 @Cst Fx 52W vs 53W" xfId="8760"/>
    <cellStyle name="_New initiative 2004 Launch Schedule(for sales)_simple chart 050321 (128MMSSU)_TJ Masterflow June 15_Wrigley - 05 budget&amp;calendar LE 050824 (25I)_Wrigley - 06 simple chart Sep 14_Category Template AC'11 @Cst Fx 52W vs 53W 2" xfId="8761"/>
    <cellStyle name="_New initiative 2004 Launch Schedule(for sales)_simple chart 050321 (128MMSSU)_TJ Masterflow June 15_Wrigley - 05 budget&amp;calendar LE 050824 (25I)_Wrigley - 06 simple chart Sep 14_Category Template AC'11 @Cst Fx 52W vs 53W_P&amp;L KFE" xfId="8762"/>
    <cellStyle name="_New initiative 2004 Launch Schedule(for sales)_simple chart 050321 (128MMSSU)_TJ Masterflow June 15_Wrigley - 05 budget&amp;calendar LE 050824 (25I)_Wrigley - 06 simple chart Sep 14_Category Template AC'11 @Cst Fx 52W vs 53W_Sheet3" xfId="8763"/>
    <cellStyle name="_New initiative 2004 Launch Schedule(for sales)_simple chart 050321 (128MMSSU)_TJ Masterflow June 15_Wrigley - 05 budget&amp;calendar LE 050824 (25I)_Wrigley - 06 simple chart Sep 14_P&amp;L KFE" xfId="8764"/>
    <cellStyle name="_New initiative 2004 Launch Schedule(for sales)_simple chart 050321 (128MMSSU)_TJ Masterflow June 15_Wrigley - 05 budget&amp;calendar LE 050824 (25I)_Wrigley - 06 simple chart Sep 14_Sheet3" xfId="8765"/>
    <cellStyle name="_New initiative 2004 Launch Schedule(for sales)_simple chart 050321 (128MMSSU)_TJ Masterflow June 15_Wrigley - 06 simple chart Sep 14" xfId="8766"/>
    <cellStyle name="_New initiative 2004 Launch Schedule(for sales)_simple chart 050321 (128MMSSU)_TJ Masterflow June 15_Wrigley - 06 simple chart Sep 14 2" xfId="8767"/>
    <cellStyle name="_New initiative 2004 Launch Schedule(for sales)_simple chart 050321 (128MMSSU)_TJ Masterflow June 15_Wrigley - 06 simple chart Sep 14_Category Template AC'11 @Cst Fx 52W vs 53W" xfId="8768"/>
    <cellStyle name="_New initiative 2004 Launch Schedule(for sales)_simple chart 050321 (128MMSSU)_TJ Masterflow June 15_Wrigley - 06 simple chart Sep 14_Category Template AC'11 @Cst Fx 52W vs 53W 2" xfId="8769"/>
    <cellStyle name="_New initiative 2004 Launch Schedule(for sales)_simple chart 050321 (128MMSSU)_TJ Masterflow June 15_Wrigley - 06 simple chart Sep 14_Category Template AC'11 @Cst Fx 52W vs 53W_P&amp;L KFE" xfId="8770"/>
    <cellStyle name="_New initiative 2004 Launch Schedule(for sales)_simple chart 050321 (128MMSSU)_TJ Masterflow June 15_Wrigley - 06 simple chart Sep 14_Category Template AC'11 @Cst Fx 52W vs 53W_Sheet3" xfId="8771"/>
    <cellStyle name="_New initiative 2004 Launch Schedule(for sales)_simple chart 050321 (128MMSSU)_TJ Masterflow June 15_Wrigley - 06 simple chart Sep 14_P&amp;L KFE" xfId="8772"/>
    <cellStyle name="_New initiative 2004 Launch Schedule(for sales)_simple chart 050321 (128MMSSU)_TJ Masterflow June 15_Wrigley - 06 simple chart Sep 14_Sheet3" xfId="8773"/>
    <cellStyle name="_New initiative 2004 Launch Schedule(for sales)_simple chart 050321 (128MMSSU)_TP Masterflow June 15a" xfId="8774"/>
    <cellStyle name="_New initiative 2004 Launch Schedule(for sales)_simple chart 050321 (128MMSSU)_TP Masterflow June 15a 2" xfId="8775"/>
    <cellStyle name="_New initiative 2004 Launch Schedule(for sales)_simple chart 050321 (128MMSSU)_TP Masterflow June 15a_Book5" xfId="8776"/>
    <cellStyle name="_New initiative 2004 Launch Schedule(for sales)_simple chart 050321 (128MMSSU)_TP Masterflow June 15a_Book5 2" xfId="8777"/>
    <cellStyle name="_New initiative 2004 Launch Schedule(for sales)_simple chart 050321 (128MMSSU)_TP Masterflow June 15a_Book5_Category Template AC'11 @Cst Fx 52W vs 53W" xfId="8778"/>
    <cellStyle name="_New initiative 2004 Launch Schedule(for sales)_simple chart 050321 (128MMSSU)_TP Masterflow June 15a_Book5_Category Template AC'11 @Cst Fx 52W vs 53W 2" xfId="8779"/>
    <cellStyle name="_New initiative 2004 Launch Schedule(for sales)_simple chart 050321 (128MMSSU)_TP Masterflow June 15a_Book5_Category Template AC'11 @Cst Fx 52W vs 53W_P&amp;L KFE" xfId="8780"/>
    <cellStyle name="_New initiative 2004 Launch Schedule(for sales)_simple chart 050321 (128MMSSU)_TP Masterflow June 15a_Book5_Category Template AC'11 @Cst Fx 52W vs 53W_Sheet3" xfId="8781"/>
    <cellStyle name="_New initiative 2004 Launch Schedule(for sales)_simple chart 050321 (128MMSSU)_TP Masterflow June 15a_Book5_P&amp;L KFE" xfId="8782"/>
    <cellStyle name="_New initiative 2004 Launch Schedule(for sales)_simple chart 050321 (128MMSSU)_TP Masterflow June 15a_Book5_Sheet3" xfId="8783"/>
    <cellStyle name="_New initiative 2004 Launch Schedule(for sales)_simple chart 050321 (128MMSSU)_TP Masterflow June 15a_Category Template AC'11 @Cst Fx 52W vs 53W" xfId="8784"/>
    <cellStyle name="_New initiative 2004 Launch Schedule(for sales)_simple chart 050321 (128MMSSU)_TP Masterflow June 15a_Category Template AC'11 @Cst Fx 52W vs 53W 2" xfId="8785"/>
    <cellStyle name="_New initiative 2004 Launch Schedule(for sales)_simple chart 050321 (128MMSSU)_TP Masterflow June 15a_Category Template AC'11 @Cst Fx 52W vs 53W_P&amp;L KFE" xfId="8786"/>
    <cellStyle name="_New initiative 2004 Launch Schedule(for sales)_simple chart 050321 (128MMSSU)_TP Masterflow June 15a_Category Template AC'11 @Cst Fx 52W vs 53W_Sheet3" xfId="8787"/>
    <cellStyle name="_New initiative 2004 Launch Schedule(for sales)_simple chart 050321 (128MMSSU)_TP Masterflow June 15a_P&amp;L KFE" xfId="8788"/>
    <cellStyle name="_New initiative 2004 Launch Schedule(for sales)_simple chart 050321 (128MMSSU)_TP Masterflow June 15a_Sheet3" xfId="8789"/>
    <cellStyle name="_New initiative 2004 Launch Schedule(for sales)_simple chart 050321 (128MMSSU)_TP Masterflow June 15a_Wrigley - 05 budget&amp;calendar LE 050728 (25I)" xfId="8790"/>
    <cellStyle name="_New initiative 2004 Launch Schedule(for sales)_simple chart 050321 (128MMSSU)_TP Masterflow June 15a_Wrigley - 05 budget&amp;calendar LE 050728 (25I) 2" xfId="8791"/>
    <cellStyle name="_New initiative 2004 Launch Schedule(for sales)_simple chart 050321 (128MMSSU)_TP Masterflow June 15a_Wrigley - 05 budget&amp;calendar LE 050728 (25I)_Category Template AC'11 @Cst Fx 52W vs 53W" xfId="8792"/>
    <cellStyle name="_New initiative 2004 Launch Schedule(for sales)_simple chart 050321 (128MMSSU)_TP Masterflow June 15a_Wrigley - 05 budget&amp;calendar LE 050728 (25I)_Category Template AC'11 @Cst Fx 52W vs 53W 2" xfId="8793"/>
    <cellStyle name="_New initiative 2004 Launch Schedule(for sales)_simple chart 050321 (128MMSSU)_TP Masterflow June 15a_Wrigley - 05 budget&amp;calendar LE 050728 (25I)_Category Template AC'11 @Cst Fx 52W vs 53W_P&amp;L KFE" xfId="8794"/>
    <cellStyle name="_New initiative 2004 Launch Schedule(for sales)_simple chart 050321 (128MMSSU)_TP Masterflow June 15a_Wrigley - 05 budget&amp;calendar LE 050728 (25I)_Category Template AC'11 @Cst Fx 52W vs 53W_Sheet3" xfId="8795"/>
    <cellStyle name="_New initiative 2004 Launch Schedule(for sales)_simple chart 050321 (128MMSSU)_TP Masterflow June 15a_Wrigley - 05 budget&amp;calendar LE 050728 (25I)_P&amp;L KFE" xfId="8796"/>
    <cellStyle name="_New initiative 2004 Launch Schedule(for sales)_simple chart 050321 (128MMSSU)_TP Masterflow June 15a_Wrigley - 05 budget&amp;calendar LE 050728 (25I)_Sheet3" xfId="8797"/>
    <cellStyle name="_New initiative 2004 Launch Schedule(for sales)_simple chart 050321 (128MMSSU)_TP Masterflow June 15a_Wrigley - 05 budget&amp;calendar LE 050728 (25I)_Wrigley - 06 simple chart Sep 14" xfId="8798"/>
    <cellStyle name="_New initiative 2004 Launch Schedule(for sales)_simple chart 050321 (128MMSSU)_TP Masterflow June 15a_Wrigley - 05 budget&amp;calendar LE 050728 (25I)_Wrigley - 06 simple chart Sep 14 2" xfId="8799"/>
    <cellStyle name="_New initiative 2004 Launch Schedule(for sales)_simple chart 050321 (128MMSSU)_TP Masterflow June 15a_Wrigley - 05 budget&amp;calendar LE 050728 (25I)_Wrigley - 06 simple chart Sep 14_Category Template AC'11 @Cst Fx 52W vs 53W" xfId="8800"/>
    <cellStyle name="_New initiative 2004 Launch Schedule(for sales)_simple chart 050321 (128MMSSU)_TP Masterflow June 15a_Wrigley - 05 budget&amp;calendar LE 050728 (25I)_Wrigley - 06 simple chart Sep 14_Category Template AC'11 @Cst Fx 52W vs 53W 2" xfId="8801"/>
    <cellStyle name="_New initiative 2004 Launch Schedule(for sales)_simple chart 050321 (128MMSSU)_TP Masterflow June 15a_Wrigley - 05 budget&amp;calendar LE 050728 (25I)_Wrigley - 06 simple chart Sep 14_Category Template AC'11 @Cst Fx 52W vs 53W_P&amp;L KFE" xfId="8802"/>
    <cellStyle name="_New initiative 2004 Launch Schedule(for sales)_simple chart 050321 (128MMSSU)_TP Masterflow June 15a_Wrigley - 05 budget&amp;calendar LE 050728 (25I)_Wrigley - 06 simple chart Sep 14_Category Template AC'11 @Cst Fx 52W vs 53W_Sheet3" xfId="8803"/>
    <cellStyle name="_New initiative 2004 Launch Schedule(for sales)_simple chart 050321 (128MMSSU)_TP Masterflow June 15a_Wrigley - 05 budget&amp;calendar LE 050728 (25I)_Wrigley - 06 simple chart Sep 14_P&amp;L KFE" xfId="8804"/>
    <cellStyle name="_New initiative 2004 Launch Schedule(for sales)_simple chart 050321 (128MMSSU)_TP Masterflow June 15a_Wrigley - 05 budget&amp;calendar LE 050728 (25I)_Wrigley - 06 simple chart Sep 14_Sheet3" xfId="8805"/>
    <cellStyle name="_New initiative 2004 Launch Schedule(for sales)_simple chart 050321 (128MMSSU)_TP Masterflow June 15a_Wrigley - 05 budget&amp;calendar LE 050824 (25F)" xfId="8806"/>
    <cellStyle name="_New initiative 2004 Launch Schedule(for sales)_simple chart 050321 (128MMSSU)_TP Masterflow June 15a_Wrigley - 05 budget&amp;calendar LE 050824 (25F) 2" xfId="8807"/>
    <cellStyle name="_New initiative 2004 Launch Schedule(for sales)_simple chart 050321 (128MMSSU)_TP Masterflow June 15a_Wrigley - 05 budget&amp;calendar LE 050824 (25F)_Category Template AC'11 @Cst Fx 52W vs 53W" xfId="8808"/>
    <cellStyle name="_New initiative 2004 Launch Schedule(for sales)_simple chart 050321 (128MMSSU)_TP Masterflow June 15a_Wrigley - 05 budget&amp;calendar LE 050824 (25F)_Category Template AC'11 @Cst Fx 52W vs 53W 2" xfId="8809"/>
    <cellStyle name="_New initiative 2004 Launch Schedule(for sales)_simple chart 050321 (128MMSSU)_TP Masterflow June 15a_Wrigley - 05 budget&amp;calendar LE 050824 (25F)_Category Template AC'11 @Cst Fx 52W vs 53W_P&amp;L KFE" xfId="8810"/>
    <cellStyle name="_New initiative 2004 Launch Schedule(for sales)_simple chart 050321 (128MMSSU)_TP Masterflow June 15a_Wrigley - 05 budget&amp;calendar LE 050824 (25F)_Category Template AC'11 @Cst Fx 52W vs 53W_Sheet3" xfId="8811"/>
    <cellStyle name="_New initiative 2004 Launch Schedule(for sales)_simple chart 050321 (128MMSSU)_TP Masterflow June 15a_Wrigley - 05 budget&amp;calendar LE 050824 (25F)_P&amp;L KFE" xfId="8812"/>
    <cellStyle name="_New initiative 2004 Launch Schedule(for sales)_simple chart 050321 (128MMSSU)_TP Masterflow June 15a_Wrigley - 05 budget&amp;calendar LE 050824 (25F)_Sheet3" xfId="8813"/>
    <cellStyle name="_New initiative 2004 Launch Schedule(for sales)_simple chart 050321 (128MMSSU)_TP Masterflow June 15a_Wrigley - 05 budget&amp;calendar LE 050824 (25F)_Wrigley - 06 simple chart Sep 14" xfId="8814"/>
    <cellStyle name="_New initiative 2004 Launch Schedule(for sales)_simple chart 050321 (128MMSSU)_TP Masterflow June 15a_Wrigley - 05 budget&amp;calendar LE 050824 (25F)_Wrigley - 06 simple chart Sep 14 2" xfId="8815"/>
    <cellStyle name="_New initiative 2004 Launch Schedule(for sales)_simple chart 050321 (128MMSSU)_TP Masterflow June 15a_Wrigley - 05 budget&amp;calendar LE 050824 (25F)_Wrigley - 06 simple chart Sep 14_Category Template AC'11 @Cst Fx 52W vs 53W" xfId="8816"/>
    <cellStyle name="_New initiative 2004 Launch Schedule(for sales)_simple chart 050321 (128MMSSU)_TP Masterflow June 15a_Wrigley - 05 budget&amp;calendar LE 050824 (25F)_Wrigley - 06 simple chart Sep 14_Category Template AC'11 @Cst Fx 52W vs 53W 2" xfId="8817"/>
    <cellStyle name="_New initiative 2004 Launch Schedule(for sales)_simple chart 050321 (128MMSSU)_TP Masterflow June 15a_Wrigley - 05 budget&amp;calendar LE 050824 (25F)_Wrigley - 06 simple chart Sep 14_Category Template AC'11 @Cst Fx 52W vs 53W_P&amp;L KFE" xfId="8818"/>
    <cellStyle name="_New initiative 2004 Launch Schedule(for sales)_simple chart 050321 (128MMSSU)_TP Masterflow June 15a_Wrigley - 05 budget&amp;calendar LE 050824 (25F)_Wrigley - 06 simple chart Sep 14_Category Template AC'11 @Cst Fx 52W vs 53W_Sheet3" xfId="8819"/>
    <cellStyle name="_New initiative 2004 Launch Schedule(for sales)_simple chart 050321 (128MMSSU)_TP Masterflow June 15a_Wrigley - 05 budget&amp;calendar LE 050824 (25F)_Wrigley - 06 simple chart Sep 14_P&amp;L KFE" xfId="8820"/>
    <cellStyle name="_New initiative 2004 Launch Schedule(for sales)_simple chart 050321 (128MMSSU)_TP Masterflow June 15a_Wrigley - 05 budget&amp;calendar LE 050824 (25F)_Wrigley - 06 simple chart Sep 14_Sheet3" xfId="8821"/>
    <cellStyle name="_New initiative 2004 Launch Schedule(for sales)_simple chart 050321 (128MMSSU)_TP Masterflow June 15a_Wrigley - 05 budget&amp;calendar LE 050824 (25I)" xfId="8822"/>
    <cellStyle name="_New initiative 2004 Launch Schedule(for sales)_simple chart 050321 (128MMSSU)_TP Masterflow June 15a_Wrigley - 05 budget&amp;calendar LE 050824 (25I) 2" xfId="8823"/>
    <cellStyle name="_New initiative 2004 Launch Schedule(for sales)_simple chart 050321 (128MMSSU)_TP Masterflow June 15a_Wrigley - 05 budget&amp;calendar LE 050824 (25I)_Category Template AC'11 @Cst Fx 52W vs 53W" xfId="8824"/>
    <cellStyle name="_New initiative 2004 Launch Schedule(for sales)_simple chart 050321 (128MMSSU)_TP Masterflow June 15a_Wrigley - 05 budget&amp;calendar LE 050824 (25I)_Category Template AC'11 @Cst Fx 52W vs 53W 2" xfId="8825"/>
    <cellStyle name="_New initiative 2004 Launch Schedule(for sales)_simple chart 050321 (128MMSSU)_TP Masterflow June 15a_Wrigley - 05 budget&amp;calendar LE 050824 (25I)_Category Template AC'11 @Cst Fx 52W vs 53W_P&amp;L KFE" xfId="8826"/>
    <cellStyle name="_New initiative 2004 Launch Schedule(for sales)_simple chart 050321 (128MMSSU)_TP Masterflow June 15a_Wrigley - 05 budget&amp;calendar LE 050824 (25I)_Category Template AC'11 @Cst Fx 52W vs 53W_Sheet3" xfId="8827"/>
    <cellStyle name="_New initiative 2004 Launch Schedule(for sales)_simple chart 050321 (128MMSSU)_TP Masterflow June 15a_Wrigley - 05 budget&amp;calendar LE 050824 (25I)_P&amp;L KFE" xfId="8828"/>
    <cellStyle name="_New initiative 2004 Launch Schedule(for sales)_simple chart 050321 (128MMSSU)_TP Masterflow June 15a_Wrigley - 05 budget&amp;calendar LE 050824 (25I)_Sheet3" xfId="8829"/>
    <cellStyle name="_New initiative 2004 Launch Schedule(for sales)_simple chart 050321 (128MMSSU)_TP Masterflow June 15a_Wrigley - 05 budget&amp;calendar LE 050824 (25I)_Wrigley - 06 simple chart Sep 14" xfId="8830"/>
    <cellStyle name="_New initiative 2004 Launch Schedule(for sales)_simple chart 050321 (128MMSSU)_TP Masterflow June 15a_Wrigley - 05 budget&amp;calendar LE 050824 (25I)_Wrigley - 06 simple chart Sep 14 2" xfId="8831"/>
    <cellStyle name="_New initiative 2004 Launch Schedule(for sales)_simple chart 050321 (128MMSSU)_TP Masterflow June 15a_Wrigley - 05 budget&amp;calendar LE 050824 (25I)_Wrigley - 06 simple chart Sep 14_Category Template AC'11 @Cst Fx 52W vs 53W" xfId="8832"/>
    <cellStyle name="_New initiative 2004 Launch Schedule(for sales)_simple chart 050321 (128MMSSU)_TP Masterflow June 15a_Wrigley - 05 budget&amp;calendar LE 050824 (25I)_Wrigley - 06 simple chart Sep 14_Category Template AC'11 @Cst Fx 52W vs 53W 2" xfId="8833"/>
    <cellStyle name="_New initiative 2004 Launch Schedule(for sales)_simple chart 050321 (128MMSSU)_TP Masterflow June 15a_Wrigley - 05 budget&amp;calendar LE 050824 (25I)_Wrigley - 06 simple chart Sep 14_Category Template AC'11 @Cst Fx 52W vs 53W_P&amp;L KFE" xfId="8834"/>
    <cellStyle name="_New initiative 2004 Launch Schedule(for sales)_simple chart 050321 (128MMSSU)_TP Masterflow June 15a_Wrigley - 05 budget&amp;calendar LE 050824 (25I)_Wrigley - 06 simple chart Sep 14_Category Template AC'11 @Cst Fx 52W vs 53W_Sheet3" xfId="8835"/>
    <cellStyle name="_New initiative 2004 Launch Schedule(for sales)_simple chart 050321 (128MMSSU)_TP Masterflow June 15a_Wrigley - 05 budget&amp;calendar LE 050824 (25I)_Wrigley - 06 simple chart Sep 14_P&amp;L KFE" xfId="8836"/>
    <cellStyle name="_New initiative 2004 Launch Schedule(for sales)_simple chart 050321 (128MMSSU)_TP Masterflow June 15a_Wrigley - 05 budget&amp;calendar LE 050824 (25I)_Wrigley - 06 simple chart Sep 14_Sheet3" xfId="8837"/>
    <cellStyle name="_New initiative 2004 Launch Schedule(for sales)_simple chart 050321 (128MMSSU)_TP Masterflow June 15a_Wrigley - 06 simple chart Sep 14" xfId="8838"/>
    <cellStyle name="_New initiative 2004 Launch Schedule(for sales)_simple chart 050321 (128MMSSU)_TP Masterflow June 15a_Wrigley - 06 simple chart Sep 14 2" xfId="8839"/>
    <cellStyle name="_New initiative 2004 Launch Schedule(for sales)_simple chart 050321 (128MMSSU)_TP Masterflow June 15a_Wrigley - 06 simple chart Sep 14_Category Template AC'11 @Cst Fx 52W vs 53W" xfId="8840"/>
    <cellStyle name="_New initiative 2004 Launch Schedule(for sales)_simple chart 050321 (128MMSSU)_TP Masterflow June 15a_Wrigley - 06 simple chart Sep 14_Category Template AC'11 @Cst Fx 52W vs 53W 2" xfId="8841"/>
    <cellStyle name="_New initiative 2004 Launch Schedule(for sales)_simple chart 050321 (128MMSSU)_TP Masterflow June 15a_Wrigley - 06 simple chart Sep 14_Category Template AC'11 @Cst Fx 52W vs 53W_P&amp;L KFE" xfId="8842"/>
    <cellStyle name="_New initiative 2004 Launch Schedule(for sales)_simple chart 050321 (128MMSSU)_TP Masterflow June 15a_Wrigley - 06 simple chart Sep 14_Category Template AC'11 @Cst Fx 52W vs 53W_Sheet3" xfId="8843"/>
    <cellStyle name="_New initiative 2004 Launch Schedule(for sales)_simple chart 050321 (128MMSSU)_TP Masterflow June 15a_Wrigley - 06 simple chart Sep 14_P&amp;L KFE" xfId="8844"/>
    <cellStyle name="_New initiative 2004 Launch Schedule(for sales)_simple chart 050321 (128MMSSU)_TP Masterflow June 15a_Wrigley - 06 simple chart Sep 14_Sheet3" xfId="8845"/>
    <cellStyle name="_New initiative 2004 Launch Schedule(for sales)_simple chart 050321 (128MMSSU)_Wrigley - 05 budget&amp;calendar 1R 050609 (23I)_Jun 16b" xfId="8846"/>
    <cellStyle name="_New initiative 2004 Launch Schedule(for sales)_simple chart 050321 (128MMSSU)_Wrigley - 05 budget&amp;calendar 1R 050609 (23I)_Jun 16b 2" xfId="8847"/>
    <cellStyle name="_New initiative 2004 Launch Schedule(for sales)_simple chart 050321 (128MMSSU)_Wrigley - 05 budget&amp;calendar 1R 050609 (23I)_Jun 16b_Book5" xfId="8848"/>
    <cellStyle name="_New initiative 2004 Launch Schedule(for sales)_simple chart 050321 (128MMSSU)_Wrigley - 05 budget&amp;calendar 1R 050609 (23I)_Jun 16b_Book5 2" xfId="8849"/>
    <cellStyle name="_New initiative 2004 Launch Schedule(for sales)_simple chart 050321 (128MMSSU)_Wrigley - 05 budget&amp;calendar 1R 050609 (23I)_Jun 16b_Book5_Category Template AC'11 @Cst Fx 52W vs 53W" xfId="8850"/>
    <cellStyle name="_New initiative 2004 Launch Schedule(for sales)_simple chart 050321 (128MMSSU)_Wrigley - 05 budget&amp;calendar 1R 050609 (23I)_Jun 16b_Book5_Category Template AC'11 @Cst Fx 52W vs 53W 2" xfId="8851"/>
    <cellStyle name="_New initiative 2004 Launch Schedule(for sales)_simple chart 050321 (128MMSSU)_Wrigley - 05 budget&amp;calendar 1R 050609 (23I)_Jun 16b_Book5_Category Template AC'11 @Cst Fx 52W vs 53W_P&amp;L KFE" xfId="8852"/>
    <cellStyle name="_New initiative 2004 Launch Schedule(for sales)_simple chart 050321 (128MMSSU)_Wrigley - 05 budget&amp;calendar 1R 050609 (23I)_Jun 16b_Book5_Category Template AC'11 @Cst Fx 52W vs 53W_Sheet3" xfId="8853"/>
    <cellStyle name="_New initiative 2004 Launch Schedule(for sales)_simple chart 050321 (128MMSSU)_Wrigley - 05 budget&amp;calendar 1R 050609 (23I)_Jun 16b_Book5_P&amp;L KFE" xfId="8854"/>
    <cellStyle name="_New initiative 2004 Launch Schedule(for sales)_simple chart 050321 (128MMSSU)_Wrigley - 05 budget&amp;calendar 1R 050609 (23I)_Jun 16b_Book5_Sheet3" xfId="8855"/>
    <cellStyle name="_New initiative 2004 Launch Schedule(for sales)_simple chart 050321 (128MMSSU)_Wrigley - 05 budget&amp;calendar 1R 050609 (23I)_Jun 16b_Category Template AC'11 @Cst Fx 52W vs 53W" xfId="8856"/>
    <cellStyle name="_New initiative 2004 Launch Schedule(for sales)_simple chart 050321 (128MMSSU)_Wrigley - 05 budget&amp;calendar 1R 050609 (23I)_Jun 16b_Category Template AC'11 @Cst Fx 52W vs 53W 2" xfId="8857"/>
    <cellStyle name="_New initiative 2004 Launch Schedule(for sales)_simple chart 050321 (128MMSSU)_Wrigley - 05 budget&amp;calendar 1R 050609 (23I)_Jun 16b_Category Template AC'11 @Cst Fx 52W vs 53W_P&amp;L KFE" xfId="8858"/>
    <cellStyle name="_New initiative 2004 Launch Schedule(for sales)_simple chart 050321 (128MMSSU)_Wrigley - 05 budget&amp;calendar 1R 050609 (23I)_Jun 16b_Category Template AC'11 @Cst Fx 52W vs 53W_Sheet3" xfId="8859"/>
    <cellStyle name="_New initiative 2004 Launch Schedule(for sales)_simple chart 050321 (128MMSSU)_Wrigley - 05 budget&amp;calendar 1R 050609 (23I)_Jun 16b_P&amp;L KFE" xfId="8860"/>
    <cellStyle name="_New initiative 2004 Launch Schedule(for sales)_simple chart 050321 (128MMSSU)_Wrigley - 05 budget&amp;calendar 1R 050609 (23I)_Jun 16b_Sheet3" xfId="8861"/>
    <cellStyle name="_New initiative 2004 Launch Schedule(for sales)_simple chart 050321 (128MMSSU)_Wrigley - 05 budget&amp;calendar 1R 050609 (23I)_Jun 16b_Wrigley - 05 budget&amp;calendar LE 050728 (25I)" xfId="8862"/>
    <cellStyle name="_New initiative 2004 Launch Schedule(for sales)_simple chart 050321 (128MMSSU)_Wrigley - 05 budget&amp;calendar 1R 050609 (23I)_Jun 16b_Wrigley - 05 budget&amp;calendar LE 050728 (25I) 2" xfId="8863"/>
    <cellStyle name="_New initiative 2004 Launch Schedule(for sales)_simple chart 050321 (128MMSSU)_Wrigley - 05 budget&amp;calendar 1R 050609 (23I)_Jun 16b_Wrigley - 05 budget&amp;calendar LE 050728 (25I)_Category Template AC'11 @Cst Fx 52W vs 53W" xfId="8864"/>
    <cellStyle name="_New initiative 2004 Launch Schedule(for sales)_simple chart 050321 (128MMSSU)_Wrigley - 05 budget&amp;calendar 1R 050609 (23I)_Jun 16b_Wrigley - 05 budget&amp;calendar LE 050728 (25I)_Category Template AC'11 @Cst Fx 52W vs 53W 2" xfId="8865"/>
    <cellStyle name="_New initiative 2004 Launch Schedule(for sales)_simple chart 050321 (128MMSSU)_Wrigley - 05 budget&amp;calendar 1R 050609 (23I)_Jun 16b_Wrigley - 05 budget&amp;calendar LE 050728 (25I)_Category Template AC'11 @Cst Fx 52W vs 53W_P&amp;L KFE" xfId="8866"/>
    <cellStyle name="_New initiative 2004 Launch Schedule(for sales)_simple chart 050321 (128MMSSU)_Wrigley - 05 budget&amp;calendar 1R 050609 (23I)_Jun 16b_Wrigley - 05 budget&amp;calendar LE 050728 (25I)_Category Template AC'11 @Cst Fx 52W vs 53W_Sheet3" xfId="8867"/>
    <cellStyle name="_New initiative 2004 Launch Schedule(for sales)_simple chart 050321 (128MMSSU)_Wrigley - 05 budget&amp;calendar 1R 050609 (23I)_Jun 16b_Wrigley - 05 budget&amp;calendar LE 050728 (25I)_P&amp;L KFE" xfId="8868"/>
    <cellStyle name="_New initiative 2004 Launch Schedule(for sales)_simple chart 050321 (128MMSSU)_Wrigley - 05 budget&amp;calendar 1R 050609 (23I)_Jun 16b_Wrigley - 05 budget&amp;calendar LE 050728 (25I)_Sheet3" xfId="8869"/>
    <cellStyle name="_New initiative 2004 Launch Schedule(for sales)_simple chart 050321 (128MMSSU)_Wrigley - 05 budget&amp;calendar 1R 050609 (23I)_Jun 16b_Wrigley - 05 budget&amp;calendar LE 050728 (25I)_Wrigley - 06 simple chart Sep 14" xfId="8870"/>
    <cellStyle name="_New initiative 2004 Launch Schedule(for sales)_simple chart 050321 (128MMSSU)_Wrigley - 05 budget&amp;calendar 1R 050609 (23I)_Jun 16b_Wrigley - 05 budget&amp;calendar LE 050728 (25I)_Wrigley - 06 simple chart Sep 14 2" xfId="8871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" xfId="8872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 2" xfId="8873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_P&amp;" xfId="8874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_Sh" xfId="8875"/>
    <cellStyle name="_New initiative 2004 Launch Schedule(for sales)_simple chart 050321 (128MMSSU)_Wrigley - 05 budget&amp;calendar 1R 050609 (23I)_Jun 16b_Wrigley - 05 budget&amp;calendar LE 050728 (25I)_Wrigley - 06 simple chart Sep 14_P&amp;L KFE" xfId="8876"/>
    <cellStyle name="_New initiative 2004 Launch Schedule(for sales)_simple chart 050321 (128MMSSU)_Wrigley - 05 budget&amp;calendar 1R 050609 (23I)_Jun 16b_Wrigley - 05 budget&amp;calendar LE 050728 (25I)_Wrigley - 06 simple chart Sep 14_Sheet3" xfId="8877"/>
    <cellStyle name="_New initiative 2004 Launch Schedule(for sales)_simple chart 050321 (128MMSSU)_Wrigley - 05 budget&amp;calendar 1R 050609 (23I)_Jun 16b_Wrigley - 05 budget&amp;calendar LE 050824 (25F)" xfId="8878"/>
    <cellStyle name="_New initiative 2004 Launch Schedule(for sales)_simple chart 050321 (128MMSSU)_Wrigley - 05 budget&amp;calendar 1R 050609 (23I)_Jun 16b_Wrigley - 05 budget&amp;calendar LE 050824 (25F) 2" xfId="8879"/>
    <cellStyle name="_New initiative 2004 Launch Schedule(for sales)_simple chart 050321 (128MMSSU)_Wrigley - 05 budget&amp;calendar 1R 050609 (23I)_Jun 16b_Wrigley - 05 budget&amp;calendar LE 050824 (25F)_Category Template AC'11 @Cst Fx 52W vs 53W" xfId="8880"/>
    <cellStyle name="_New initiative 2004 Launch Schedule(for sales)_simple chart 050321 (128MMSSU)_Wrigley - 05 budget&amp;calendar 1R 050609 (23I)_Jun 16b_Wrigley - 05 budget&amp;calendar LE 050824 (25F)_Category Template AC'11 @Cst Fx 52W vs 53W 2" xfId="8881"/>
    <cellStyle name="_New initiative 2004 Launch Schedule(for sales)_simple chart 050321 (128MMSSU)_Wrigley - 05 budget&amp;calendar 1R 050609 (23I)_Jun 16b_Wrigley - 05 budget&amp;calendar LE 050824 (25F)_Category Template AC'11 @Cst Fx 52W vs 53W_P&amp;L KFE" xfId="8882"/>
    <cellStyle name="_New initiative 2004 Launch Schedule(for sales)_simple chart 050321 (128MMSSU)_Wrigley - 05 budget&amp;calendar 1R 050609 (23I)_Jun 16b_Wrigley - 05 budget&amp;calendar LE 050824 (25F)_Category Template AC'11 @Cst Fx 52W vs 53W_Sheet3" xfId="8883"/>
    <cellStyle name="_New initiative 2004 Launch Schedule(for sales)_simple chart 050321 (128MMSSU)_Wrigley - 05 budget&amp;calendar 1R 050609 (23I)_Jun 16b_Wrigley - 05 budget&amp;calendar LE 050824 (25F)_P&amp;L KFE" xfId="8884"/>
    <cellStyle name="_New initiative 2004 Launch Schedule(for sales)_simple chart 050321 (128MMSSU)_Wrigley - 05 budget&amp;calendar 1R 050609 (23I)_Jun 16b_Wrigley - 05 budget&amp;calendar LE 050824 (25F)_Sheet3" xfId="8885"/>
    <cellStyle name="_New initiative 2004 Launch Schedule(for sales)_simple chart 050321 (128MMSSU)_Wrigley - 05 budget&amp;calendar 1R 050609 (23I)_Jun 16b_Wrigley - 05 budget&amp;calendar LE 050824 (25F)_Wrigley - 06 simple chart Sep 14" xfId="8886"/>
    <cellStyle name="_New initiative 2004 Launch Schedule(for sales)_simple chart 050321 (128MMSSU)_Wrigley - 05 budget&amp;calendar 1R 050609 (23I)_Jun 16b_Wrigley - 05 budget&amp;calendar LE 050824 (25F)_Wrigley - 06 simple chart Sep 14 2" xfId="8887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" xfId="8888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 2" xfId="8889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_P&amp;" xfId="8890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_Sh" xfId="8891"/>
    <cellStyle name="_New initiative 2004 Launch Schedule(for sales)_simple chart 050321 (128MMSSU)_Wrigley - 05 budget&amp;calendar 1R 050609 (23I)_Jun 16b_Wrigley - 05 budget&amp;calendar LE 050824 (25F)_Wrigley - 06 simple chart Sep 14_P&amp;L KFE" xfId="8892"/>
    <cellStyle name="_New initiative 2004 Launch Schedule(for sales)_simple chart 050321 (128MMSSU)_Wrigley - 05 budget&amp;calendar 1R 050609 (23I)_Jun 16b_Wrigley - 05 budget&amp;calendar LE 050824 (25F)_Wrigley - 06 simple chart Sep 14_Sheet3" xfId="8893"/>
    <cellStyle name="_New initiative 2004 Launch Schedule(for sales)_simple chart 050321 (128MMSSU)_Wrigley - 05 budget&amp;calendar 1R 050609 (23I)_Jun 16b_Wrigley - 05 budget&amp;calendar LE 050824 (25I)" xfId="8894"/>
    <cellStyle name="_New initiative 2004 Launch Schedule(for sales)_simple chart 050321 (128MMSSU)_Wrigley - 05 budget&amp;calendar 1R 050609 (23I)_Jun 16b_Wrigley - 05 budget&amp;calendar LE 050824 (25I) 2" xfId="8895"/>
    <cellStyle name="_New initiative 2004 Launch Schedule(for sales)_simple chart 050321 (128MMSSU)_Wrigley - 05 budget&amp;calendar 1R 050609 (23I)_Jun 16b_Wrigley - 05 budget&amp;calendar LE 050824 (25I)_Category Template AC'11 @Cst Fx 52W vs 53W" xfId="8896"/>
    <cellStyle name="_New initiative 2004 Launch Schedule(for sales)_simple chart 050321 (128MMSSU)_Wrigley - 05 budget&amp;calendar 1R 050609 (23I)_Jun 16b_Wrigley - 05 budget&amp;calendar LE 050824 (25I)_Category Template AC'11 @Cst Fx 52W vs 53W 2" xfId="8897"/>
    <cellStyle name="_New initiative 2004 Launch Schedule(for sales)_simple chart 050321 (128MMSSU)_Wrigley - 05 budget&amp;calendar 1R 050609 (23I)_Jun 16b_Wrigley - 05 budget&amp;calendar LE 050824 (25I)_Category Template AC'11 @Cst Fx 52W vs 53W_P&amp;L KFE" xfId="8898"/>
    <cellStyle name="_New initiative 2004 Launch Schedule(for sales)_simple chart 050321 (128MMSSU)_Wrigley - 05 budget&amp;calendar 1R 050609 (23I)_Jun 16b_Wrigley - 05 budget&amp;calendar LE 050824 (25I)_Category Template AC'11 @Cst Fx 52W vs 53W_Sheet3" xfId="8899"/>
    <cellStyle name="_New initiative 2004 Launch Schedule(for sales)_simple chart 050321 (128MMSSU)_Wrigley - 05 budget&amp;calendar 1R 050609 (23I)_Jun 16b_Wrigley - 05 budget&amp;calendar LE 050824 (25I)_P&amp;L KFE" xfId="8900"/>
    <cellStyle name="_New initiative 2004 Launch Schedule(for sales)_simple chart 050321 (128MMSSU)_Wrigley - 05 budget&amp;calendar 1R 050609 (23I)_Jun 16b_Wrigley - 05 budget&amp;calendar LE 050824 (25I)_Sheet3" xfId="8901"/>
    <cellStyle name="_New initiative 2004 Launch Schedule(for sales)_simple chart 050321 (128MMSSU)_Wrigley - 05 budget&amp;calendar 1R 050609 (23I)_Jun 16b_Wrigley - 05 budget&amp;calendar LE 050824 (25I)_Wrigley - 06 simple chart Sep 14" xfId="8902"/>
    <cellStyle name="_New initiative 2004 Launch Schedule(for sales)_simple chart 050321 (128MMSSU)_Wrigley - 05 budget&amp;calendar 1R 050609 (23I)_Jun 16b_Wrigley - 05 budget&amp;calendar LE 050824 (25I)_Wrigley - 06 simple chart Sep 14 2" xfId="8903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" xfId="8904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 2" xfId="8905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_P&amp;" xfId="8906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_Sh" xfId="8907"/>
    <cellStyle name="_New initiative 2004 Launch Schedule(for sales)_simple chart 050321 (128MMSSU)_Wrigley - 05 budget&amp;calendar 1R 050609 (23I)_Jun 16b_Wrigley - 05 budget&amp;calendar LE 050824 (25I)_Wrigley - 06 simple chart Sep 14_P&amp;L KFE" xfId="8908"/>
    <cellStyle name="_New initiative 2004 Launch Schedule(for sales)_simple chart 050321 (128MMSSU)_Wrigley - 05 budget&amp;calendar 1R 050609 (23I)_Jun 16b_Wrigley - 05 budget&amp;calendar LE 050824 (25I)_Wrigley - 06 simple chart Sep 14_Sheet3" xfId="8909"/>
    <cellStyle name="_New initiative 2004 Launch Schedule(for sales)_simple chart 050321 (128MMSSU)_Wrigley - 05 budget&amp;calendar 1R 050609 (23I)_Jun 16b_Wrigley - 06 simple chart Sep 14" xfId="8910"/>
    <cellStyle name="_New initiative 2004 Launch Schedule(for sales)_simple chart 050321 (128MMSSU)_Wrigley - 05 budget&amp;calendar 1R 050609 (23I)_Jun 16b_Wrigley - 06 simple chart Sep 14 2" xfId="8911"/>
    <cellStyle name="_New initiative 2004 Launch Schedule(for sales)_simple chart 050321 (128MMSSU)_Wrigley - 05 budget&amp;calendar 1R 050609 (23I)_Jun 16b_Wrigley - 06 simple chart Sep 14_Category Template AC'11 @Cst Fx 52W vs 53W" xfId="8912"/>
    <cellStyle name="_New initiative 2004 Launch Schedule(for sales)_simple chart 050321 (128MMSSU)_Wrigley - 05 budget&amp;calendar 1R 050609 (23I)_Jun 16b_Wrigley - 06 simple chart Sep 14_Category Template AC'11 @Cst Fx 52W vs 53W 2" xfId="8913"/>
    <cellStyle name="_New initiative 2004 Launch Schedule(for sales)_simple chart 050321 (128MMSSU)_Wrigley - 05 budget&amp;calendar 1R 050609 (23I)_Jun 16b_Wrigley - 06 simple chart Sep 14_Category Template AC'11 @Cst Fx 52W vs 53W_P&amp;L KFE" xfId="8914"/>
    <cellStyle name="_New initiative 2004 Launch Schedule(for sales)_simple chart 050321 (128MMSSU)_Wrigley - 05 budget&amp;calendar 1R 050609 (23I)_Jun 16b_Wrigley - 06 simple chart Sep 14_Category Template AC'11 @Cst Fx 52W vs 53W_Sheet3" xfId="8915"/>
    <cellStyle name="_New initiative 2004 Launch Schedule(for sales)_simple chart 050321 (128MMSSU)_Wrigley - 05 budget&amp;calendar 1R 050609 (23I)_Jun 16b_Wrigley - 06 simple chart Sep 14_P&amp;L KFE" xfId="8916"/>
    <cellStyle name="_New initiative 2004 Launch Schedule(for sales)_simple chart 050321 (128MMSSU)_Wrigley - 05 budget&amp;calendar 1R 050609 (23I)_Jun 16b_Wrigley - 06 simple chart Sep 14_Sheet3" xfId="8917"/>
    <cellStyle name="_New initiative 2004 Launch Schedule(for sales)_simple chart 050321 (128MMSSU)_Wrigley - 05 budget&amp;calendar LE 050824 (25I)" xfId="8918"/>
    <cellStyle name="_New initiative 2004 Launch Schedule(for sales)_simple chart 050321 (128MMSSU)_Wrigley - 05 budget&amp;calendar LE 050824 (25I) 2" xfId="8919"/>
    <cellStyle name="_New initiative 2004 Launch Schedule(for sales)_simple chart 050321 (128MMSSU)_Wrigley - 05 budget&amp;calendar LE 050824 (25I)_Category Template AC'11 @Cst Fx 52W vs 53W" xfId="8920"/>
    <cellStyle name="_New initiative 2004 Launch Schedule(for sales)_simple chart 050321 (128MMSSU)_Wrigley - 05 budget&amp;calendar LE 050824 (25I)_Category Template AC'11 @Cst Fx 52W vs 53W 2" xfId="8921"/>
    <cellStyle name="_New initiative 2004 Launch Schedule(for sales)_simple chart 050321 (128MMSSU)_Wrigley - 05 budget&amp;calendar LE 050824 (25I)_Category Template AC'11 @Cst Fx 52W vs 53W_P&amp;L KFE" xfId="8922"/>
    <cellStyle name="_New initiative 2004 Launch Schedule(for sales)_simple chart 050321 (128MMSSU)_Wrigley - 05 budget&amp;calendar LE 050824 (25I)_Category Template AC'11 @Cst Fx 52W vs 53W_Sheet3" xfId="8923"/>
    <cellStyle name="_New initiative 2004 Launch Schedule(for sales)_simple chart 050321 (128MMSSU)_Wrigley - 05 budget&amp;calendar LE 050824 (25I)_P&amp;L KFE" xfId="8924"/>
    <cellStyle name="_New initiative 2004 Launch Schedule(for sales)_simple chart 050321 (128MMSSU)_Wrigley - 05 budget&amp;calendar LE 050824 (25I)_Sheet3" xfId="8925"/>
    <cellStyle name="_New initiative 2004 Launch Schedule(for sales)_simple chart 050321 (128MMSSU)_Wrigley - 05 budget&amp;calendar LE 050824 (25I)_Wrigley - 06 simple chart Sep 14" xfId="8926"/>
    <cellStyle name="_New initiative 2004 Launch Schedule(for sales)_simple chart 050321 (128MMSSU)_Wrigley - 05 budget&amp;calendar LE 050824 (25I)_Wrigley - 06 simple chart Sep 14 2" xfId="8927"/>
    <cellStyle name="_New initiative 2004 Launch Schedule(for sales)_simple chart 050321 (128MMSSU)_Wrigley - 05 budget&amp;calendar LE 050824 (25I)_Wrigley - 06 simple chart Sep 14_Category Template AC'11 @Cst Fx 52W vs 53W" xfId="8928"/>
    <cellStyle name="_New initiative 2004 Launch Schedule(for sales)_simple chart 050321 (128MMSSU)_Wrigley - 05 budget&amp;calendar LE 050824 (25I)_Wrigley - 06 simple chart Sep 14_Category Template AC'11 @Cst Fx 52W vs 53W 2" xfId="8929"/>
    <cellStyle name="_New initiative 2004 Launch Schedule(for sales)_simple chart 050321 (128MMSSU)_Wrigley - 05 budget&amp;calendar LE 050824 (25I)_Wrigley - 06 simple chart Sep 14_Category Template AC'11 @Cst Fx 52W vs 53W_P&amp;L KFE" xfId="8930"/>
    <cellStyle name="_New initiative 2004 Launch Schedule(for sales)_simple chart 050321 (128MMSSU)_Wrigley - 05 budget&amp;calendar LE 050824 (25I)_Wrigley - 06 simple chart Sep 14_Category Template AC'11 @Cst Fx 52W vs 53W_Sheet3" xfId="8931"/>
    <cellStyle name="_New initiative 2004 Launch Schedule(for sales)_simple chart 050321 (128MMSSU)_Wrigley - 05 budget&amp;calendar LE 050824 (25I)_Wrigley - 06 simple chart Sep 14_P&amp;L KFE" xfId="8932"/>
    <cellStyle name="_New initiative 2004 Launch Schedule(for sales)_simple chart 050321 (128MMSSU)_Wrigley - 05 budget&amp;calendar LE 050824 (25I)_Wrigley - 06 simple chart Sep 14_Sheet3" xfId="8933"/>
    <cellStyle name="_New initiative 2004 Launch Schedule(for sales)_simple chart 050321 (128MMSSU)_Wrigley - 05 budget&amp;calendar R1 050525 (21I) internal formate June 15" xfId="8934"/>
    <cellStyle name="_New initiative 2004 Launch Schedule(for sales)_simple chart 050321 (128MMSSU)_Wrigley - 05 budget&amp;calendar R1 050525 (21I) internal formate June 15 2" xfId="8935"/>
    <cellStyle name="_New initiative 2004 Launch Schedule(for sales)_simple chart 050321 (128MMSSU)_Wrigley - 05 budget&amp;calendar R1 050525 (21I) internal formate June 15_Book5" xfId="8936"/>
    <cellStyle name="_New initiative 2004 Launch Schedule(for sales)_simple chart 050321 (128MMSSU)_Wrigley - 05 budget&amp;calendar R1 050525 (21I) internal formate June 15_Book5 2" xfId="8937"/>
    <cellStyle name="_New initiative 2004 Launch Schedule(for sales)_simple chart 050321 (128MMSSU)_Wrigley - 05 budget&amp;calendar R1 050525 (21I) internal formate June 15_Book5_Category Template AC'11 @Cst Fx 52W vs 53W" xfId="8938"/>
    <cellStyle name="_New initiative 2004 Launch Schedule(for sales)_simple chart 050321 (128MMSSU)_Wrigley - 05 budget&amp;calendar R1 050525 (21I) internal formate June 15_Book5_Category Template AC'11 @Cst Fx 52W vs 53W 2" xfId="8939"/>
    <cellStyle name="_New initiative 2004 Launch Schedule(for sales)_simple chart 050321 (128MMSSU)_Wrigley - 05 budget&amp;calendar R1 050525 (21I) internal formate June 15_Book5_Category Template AC'11 @Cst Fx 52W vs 53W_P&amp;L KFE" xfId="8940"/>
    <cellStyle name="_New initiative 2004 Launch Schedule(for sales)_simple chart 050321 (128MMSSU)_Wrigley - 05 budget&amp;calendar R1 050525 (21I) internal formate June 15_Book5_Category Template AC'11 @Cst Fx 52W vs 53W_Sheet3" xfId="8941"/>
    <cellStyle name="_New initiative 2004 Launch Schedule(for sales)_simple chart 050321 (128MMSSU)_Wrigley - 05 budget&amp;calendar R1 050525 (21I) internal formate June 15_Book5_P&amp;L KFE" xfId="8942"/>
    <cellStyle name="_New initiative 2004 Launch Schedule(for sales)_simple chart 050321 (128MMSSU)_Wrigley - 05 budget&amp;calendar R1 050525 (21I) internal formate June 15_Book5_Sheet3" xfId="8943"/>
    <cellStyle name="_New initiative 2004 Launch Schedule(for sales)_simple chart 050321 (128MMSSU)_Wrigley - 05 budget&amp;calendar R1 050525 (21I) internal formate June 15_Category Template AC'11 @Cst Fx 52W vs 53W" xfId="8944"/>
    <cellStyle name="_New initiative 2004 Launch Schedule(for sales)_simple chart 050321 (128MMSSU)_Wrigley - 05 budget&amp;calendar R1 050525 (21I) internal formate June 15_Category Template AC'11 @Cst Fx 52W vs 53W 2" xfId="8945"/>
    <cellStyle name="_New initiative 2004 Launch Schedule(for sales)_simple chart 050321 (128MMSSU)_Wrigley - 05 budget&amp;calendar R1 050525 (21I) internal formate June 15_Category Template AC'11 @Cst Fx 52W vs 53W_P&amp;L KFE" xfId="8946"/>
    <cellStyle name="_New initiative 2004 Launch Schedule(for sales)_simple chart 050321 (128MMSSU)_Wrigley - 05 budget&amp;calendar R1 050525 (21I) internal formate June 15_Category Template AC'11 @Cst Fx 52W vs 53W_Sheet3" xfId="8947"/>
    <cellStyle name="_New initiative 2004 Launch Schedule(for sales)_simple chart 050321 (128MMSSU)_Wrigley - 05 budget&amp;calendar R1 050525 (21I) internal formate June 15_P&amp;L KFE" xfId="8948"/>
    <cellStyle name="_New initiative 2004 Launch Schedule(for sales)_simple chart 050321 (128MMSSU)_Wrigley - 05 budget&amp;calendar R1 050525 (21I) internal formate June 15_Sheet3" xfId="8949"/>
    <cellStyle name="_New initiative 2004 Launch Schedule(for sales)_simple chart 050321 (128MMSSU)_Wrigley - 05 budget&amp;calendar R1 050525 (21I) internal formate June 15_Wrigley - 05 budget&amp;calendar LE 050728 (25I)" xfId="8950"/>
    <cellStyle name="_New initiative 2004 Launch Schedule(for sales)_simple chart 050321 (128MMSSU)_Wrigley - 05 budget&amp;calendar R1 050525 (21I) internal formate June 15_Wrigley - 05 budget&amp;calendar LE 050728 (25I) 2" xfId="8951"/>
    <cellStyle name="_New initiative 2004 Launch Schedule(for sales)_simple chart 050321 (128MMSSU)_Wrigley - 05 budget&amp;calendar R1 050525 (21I) internal formate June 15_Wrigley - 05 budget&amp;calendar LE 050728 (25I)_Category Template AC'11 @Cst Fx 52W vs 53W" xfId="8952"/>
    <cellStyle name="_New initiative 2004 Launch Schedule(for sales)_simple chart 050321 (128MMSSU)_Wrigley - 05 budget&amp;calendar R1 050525 (21I) internal formate June 15_Wrigley - 05 budget&amp;calendar LE 050728 (25I)_Category Template AC'11 @Cst Fx 52W vs 53W 2" xfId="8953"/>
    <cellStyle name="_New initiative 2004 Launch Schedule(for sales)_simple chart 050321 (128MMSSU)_Wrigley - 05 budget&amp;calendar R1 050525 (21I) internal formate June 15_Wrigley - 05 budget&amp;calendar LE 050728 (25I)_Category Template AC'11 @Cst Fx 52W vs 53W_P&amp;L KFE" xfId="8954"/>
    <cellStyle name="_New initiative 2004 Launch Schedule(for sales)_simple chart 050321 (128MMSSU)_Wrigley - 05 budget&amp;calendar R1 050525 (21I) internal formate June 15_Wrigley - 05 budget&amp;calendar LE 050728 (25I)_Category Template AC'11 @Cst Fx 52W vs 53W_Sheet3" xfId="8955"/>
    <cellStyle name="_New initiative 2004 Launch Schedule(for sales)_simple chart 050321 (128MMSSU)_Wrigley - 05 budget&amp;calendar R1 050525 (21I) internal formate June 15_Wrigley - 05 budget&amp;calendar LE 050728 (25I)_P&amp;L KFE" xfId="8956"/>
    <cellStyle name="_New initiative 2004 Launch Schedule(for sales)_simple chart 050321 (128MMSSU)_Wrigley - 05 budget&amp;calendar R1 050525 (21I) internal formate June 15_Wrigley - 05 budget&amp;calendar LE 050728 (25I)_Sheet3" xfId="8957"/>
    <cellStyle name="_New initiative 2004 Launch Schedule(for sales)_simple chart 050321 (128MMSSU)_Wrigley - 05 budget&amp;calendar R1 050525 (21I) internal formate June 15_Wrigley - 05 budget&amp;calendar LE 050728 (25I)_Wrigley - 06 simple chart Sep 14" xfId="8958"/>
    <cellStyle name="_New initiative 2004 Launch Schedule(for sales)_simple chart 050321 (128MMSSU)_Wrigley - 05 budget&amp;calendar R1 050525 (21I) internal formate June 15_Wrigley - 05 budget&amp;calendar LE 050728 (25I)_Wrigley - 06 simple chart Sep 14 2" xfId="8959"/>
    <cellStyle name="_New initiative 2004 Launch Schedule(for sales)_simple chart 050321 (128MMSSU)_Wrigley - 05 budget&amp;calendar R1 050525 (21I) internal formate June 15_Wrigley - 05 budget&amp;calendar LE 050728 (25I)_Wrigley - 06 simple chart Sep 14_P&amp;L KFE" xfId="8960"/>
    <cellStyle name="_New initiative 2004 Launch Schedule(for sales)_simple chart 050321 (128MMSSU)_Wrigley - 05 budget&amp;calendar R1 050525 (21I) internal formate June 15_Wrigley - 05 budget&amp;calendar LE 050728 (25I)_Wrigley - 06 simple chart Sep 14_Sheet3" xfId="8961"/>
    <cellStyle name="_New initiative 2004 Launch Schedule(for sales)_simple chart 050321 (128MMSSU)_Wrigley - 05 budget&amp;calendar R1 050525 (21I) internal formate June 15_Wrigley - 05 budget&amp;calendar LE 050824 (25F)" xfId="8962"/>
    <cellStyle name="_New initiative 2004 Launch Schedule(for sales)_simple chart 050321 (128MMSSU)_Wrigley - 05 budget&amp;calendar R1 050525 (21I) internal formate June 15_Wrigley - 05 budget&amp;calendar LE 050824 (25F) 2" xfId="8963"/>
    <cellStyle name="_New initiative 2004 Launch Schedule(for sales)_simple chart 050321 (128MMSSU)_Wrigley - 05 budget&amp;calendar R1 050525 (21I) internal formate June 15_Wrigley - 05 budget&amp;calendar LE 050824 (25F)_Category Template AC'11 @Cst Fx 52W vs 53W" xfId="8964"/>
    <cellStyle name="_New initiative 2004 Launch Schedule(for sales)_simple chart 050321 (128MMSSU)_Wrigley - 05 budget&amp;calendar R1 050525 (21I) internal formate June 15_Wrigley - 05 budget&amp;calendar LE 050824 (25F)_Category Template AC'11 @Cst Fx 52W vs 53W 2" xfId="8965"/>
    <cellStyle name="_New initiative 2004 Launch Schedule(for sales)_simple chart 050321 (128MMSSU)_Wrigley - 05 budget&amp;calendar R1 050525 (21I) internal formate June 15_Wrigley - 05 budget&amp;calendar LE 050824 (25F)_Category Template AC'11 @Cst Fx 52W vs 53W_P&amp;L KFE" xfId="8966"/>
    <cellStyle name="_New initiative 2004 Launch Schedule(for sales)_simple chart 050321 (128MMSSU)_Wrigley - 05 budget&amp;calendar R1 050525 (21I) internal formate June 15_Wrigley - 05 budget&amp;calendar LE 050824 (25F)_Category Template AC'11 @Cst Fx 52W vs 53W_Sheet3" xfId="8967"/>
    <cellStyle name="_New initiative 2004 Launch Schedule(for sales)_simple chart 050321 (128MMSSU)_Wrigley - 05 budget&amp;calendar R1 050525 (21I) internal formate June 15_Wrigley - 05 budget&amp;calendar LE 050824 (25F)_P&amp;L KFE" xfId="8968"/>
    <cellStyle name="_New initiative 2004 Launch Schedule(for sales)_simple chart 050321 (128MMSSU)_Wrigley - 05 budget&amp;calendar R1 050525 (21I) internal formate June 15_Wrigley - 05 budget&amp;calendar LE 050824 (25F)_Sheet3" xfId="8969"/>
    <cellStyle name="_New initiative 2004 Launch Schedule(for sales)_simple chart 050321 (128MMSSU)_Wrigley - 05 budget&amp;calendar R1 050525 (21I) internal formate June 15_Wrigley - 05 budget&amp;calendar LE 050824 (25F)_Wrigley - 06 simple chart Sep 14" xfId="8970"/>
    <cellStyle name="_New initiative 2004 Launch Schedule(for sales)_simple chart 050321 (128MMSSU)_Wrigley - 05 budget&amp;calendar R1 050525 (21I) internal formate June 15_Wrigley - 05 budget&amp;calendar LE 050824 (25F)_Wrigley - 06 simple chart Sep 14 2" xfId="8971"/>
    <cellStyle name="_New initiative 2004 Launch Schedule(for sales)_simple chart 050321 (128MMSSU)_Wrigley - 05 budget&amp;calendar R1 050525 (21I) internal formate June 15_Wrigley - 05 budget&amp;calendar LE 050824 (25F)_Wrigley - 06 simple chart Sep 14_P&amp;L KFE" xfId="8972"/>
    <cellStyle name="_New initiative 2004 Launch Schedule(for sales)_simple chart 050321 (128MMSSU)_Wrigley - 05 budget&amp;calendar R1 050525 (21I) internal formate June 15_Wrigley - 05 budget&amp;calendar LE 050824 (25F)_Wrigley - 06 simple chart Sep 14_Sheet3" xfId="8973"/>
    <cellStyle name="_New initiative 2004 Launch Schedule(for sales)_simple chart 050321 (128MMSSU)_Wrigley - 05 budget&amp;calendar R1 050525 (21I) internal formate June 15_Wrigley - 05 budget&amp;calendar LE 050824 (25I)" xfId="8974"/>
    <cellStyle name="_New initiative 2004 Launch Schedule(for sales)_simple chart 050321 (128MMSSU)_Wrigley - 05 budget&amp;calendar R1 050525 (21I) internal formate June 15_Wrigley - 05 budget&amp;calendar LE 050824 (25I) 2" xfId="8975"/>
    <cellStyle name="_New initiative 2004 Launch Schedule(for sales)_simple chart 050321 (128MMSSU)_Wrigley - 05 budget&amp;calendar R1 050525 (21I) internal formate June 15_Wrigley - 05 budget&amp;calendar LE 050824 (25I)_Category Template AC'11 @Cst Fx 52W vs 53W" xfId="8976"/>
    <cellStyle name="_New initiative 2004 Launch Schedule(for sales)_simple chart 050321 (128MMSSU)_Wrigley - 05 budget&amp;calendar R1 050525 (21I) internal formate June 15_Wrigley - 05 budget&amp;calendar LE 050824 (25I)_Category Template AC'11 @Cst Fx 52W vs 53W 2" xfId="8977"/>
    <cellStyle name="_New initiative 2004 Launch Schedule(for sales)_simple chart 050321 (128MMSSU)_Wrigley - 05 budget&amp;calendar R1 050525 (21I) internal formate June 15_Wrigley - 05 budget&amp;calendar LE 050824 (25I)_Category Template AC'11 @Cst Fx 52W vs 53W_P&amp;L KFE" xfId="8978"/>
    <cellStyle name="_New initiative 2004 Launch Schedule(for sales)_simple chart 050321 (128MMSSU)_Wrigley - 05 budget&amp;calendar R1 050525 (21I) internal formate June 15_Wrigley - 05 budget&amp;calendar LE 050824 (25I)_Category Template AC'11 @Cst Fx 52W vs 53W_Sheet3" xfId="8979"/>
    <cellStyle name="_New initiative 2004 Launch Schedule(for sales)_simple chart 050321 (128MMSSU)_Wrigley - 05 budget&amp;calendar R1 050525 (21I) internal formate June 15_Wrigley - 05 budget&amp;calendar LE 050824 (25I)_P&amp;L KFE" xfId="8980"/>
    <cellStyle name="_New initiative 2004 Launch Schedule(for sales)_simple chart 050321 (128MMSSU)_Wrigley - 05 budget&amp;calendar R1 050525 (21I) internal formate June 15_Wrigley - 05 budget&amp;calendar LE 050824 (25I)_Sheet3" xfId="8981"/>
    <cellStyle name="_New initiative 2004 Launch Schedule(for sales)_simple chart 050321 (128MMSSU)_Wrigley - 05 budget&amp;calendar R1 050525 (21I) internal formate June 15_Wrigley - 05 budget&amp;calendar LE 050824 (25I)_Wrigley - 06 simple chart Sep 14" xfId="8982"/>
    <cellStyle name="_New initiative 2004 Launch Schedule(for sales)_simple chart 050321 (128MMSSU)_Wrigley - 05 budget&amp;calendar R1 050525 (21I) internal formate June 15_Wrigley - 05 budget&amp;calendar LE 050824 (25I)_Wrigley - 06 simple chart Sep 14 2" xfId="8983"/>
    <cellStyle name="_New initiative 2004 Launch Schedule(for sales)_simple chart 050321 (128MMSSU)_Wrigley - 05 budget&amp;calendar R1 050525 (21I) internal formate June 15_Wrigley - 05 budget&amp;calendar LE 050824 (25I)_Wrigley - 06 simple chart Sep 14_P&amp;L KFE" xfId="8984"/>
    <cellStyle name="_New initiative 2004 Launch Schedule(for sales)_simple chart 050321 (128MMSSU)_Wrigley - 05 budget&amp;calendar R1 050525 (21I) internal formate June 15_Wrigley - 05 budget&amp;calendar LE 050824 (25I)_Wrigley - 06 simple chart Sep 14_Sheet3" xfId="8985"/>
    <cellStyle name="_New initiative 2004 Launch Schedule(for sales)_simple chart 050321 (128MMSSU)_Wrigley - 05 budget&amp;calendar R1 050525 (21I) internal formate June 15_Wrigley - 06 simple chart Sep 14" xfId="8986"/>
    <cellStyle name="_New initiative 2004 Launch Schedule(for sales)_simple chart 050321 (128MMSSU)_Wrigley - 05 budget&amp;calendar R1 050525 (21I) internal formate June 15_Wrigley - 06 simple chart Sep 14 2" xfId="8987"/>
    <cellStyle name="_New initiative 2004 Launch Schedule(for sales)_simple chart 050321 (128MMSSU)_Wrigley - 05 budget&amp;calendar R1 050525 (21I) internal formate June 15_Wrigley - 06 simple chart Sep 14_Category Template AC'11 @Cst Fx 52W vs 53W" xfId="8988"/>
    <cellStyle name="_New initiative 2004 Launch Schedule(for sales)_simple chart 050321 (128MMSSU)_Wrigley - 05 budget&amp;calendar R1 050525 (21I) internal formate June 15_Wrigley - 06 simple chart Sep 14_Category Template AC'11 @Cst Fx 52W vs 53W 2" xfId="8989"/>
    <cellStyle name="_New initiative 2004 Launch Schedule(for sales)_simple chart 050321 (128MMSSU)_Wrigley - 05 budget&amp;calendar R1 050525 (21I) internal formate June 15_Wrigley - 06 simple chart Sep 14_Category Template AC'11 @Cst Fx 52W vs 53W_P&amp;L KFE" xfId="8990"/>
    <cellStyle name="_New initiative 2004 Launch Schedule(for sales)_simple chart 050321 (128MMSSU)_Wrigley - 05 budget&amp;calendar R1 050525 (21I) internal formate June 15_Wrigley - 06 simple chart Sep 14_Category Template AC'11 @Cst Fx 52W vs 53W_Sheet3" xfId="8991"/>
    <cellStyle name="_New initiative 2004 Launch Schedule(for sales)_simple chart 050321 (128MMSSU)_Wrigley - 05 budget&amp;calendar R1 050525 (21I) internal formate June 15_Wrigley - 06 simple chart Sep 14_P&amp;L KFE" xfId="8992"/>
    <cellStyle name="_New initiative 2004 Launch Schedule(for sales)_simple chart 050321 (128MMSSU)_Wrigley - 05 budget&amp;calendar R1 050525 (21I) internal formate June 15_Wrigley - 06 simple chart Sep 14_Sheet3" xfId="8993"/>
    <cellStyle name="_New initiative 2004 Launch Schedule(for sales)_simple chart 050321 (128MMSSU)_Wrigley - 06 simple chart Sep 14" xfId="8994"/>
    <cellStyle name="_New initiative 2004 Launch Schedule(for sales)_simple chart 050321 (128MMSSU)_Wrigley - 06 simple chart Sep 14 2" xfId="8995"/>
    <cellStyle name="_New initiative 2004 Launch Schedule(for sales)_simple chart 050321 (128MMSSU)_Wrigley - 06 simple chart Sep 14_Category Template AC'11 @Cst Fx 52W vs 53W" xfId="8996"/>
    <cellStyle name="_New initiative 2004 Launch Schedule(for sales)_simple chart 050321 (128MMSSU)_Wrigley - 06 simple chart Sep 14_Category Template AC'11 @Cst Fx 52W vs 53W 2" xfId="8997"/>
    <cellStyle name="_New initiative 2004 Launch Schedule(for sales)_simple chart 050321 (128MMSSU)_Wrigley - 06 simple chart Sep 14_Category Template AC'11 @Cst Fx 52W vs 53W_P&amp;L KFE" xfId="8998"/>
    <cellStyle name="_New initiative 2004 Launch Schedule(for sales)_simple chart 050321 (128MMSSU)_Wrigley - 06 simple chart Sep 14_Category Template AC'11 @Cst Fx 52W vs 53W_Sheet3" xfId="8999"/>
    <cellStyle name="_New initiative 2004 Launch Schedule(for sales)_simple chart 050321 (128MMSSU)_Wrigley - 06 simple chart Sep 14_P&amp;L KFE" xfId="9000"/>
    <cellStyle name="_New initiative 2004 Launch Schedule(for sales)_simple chart 050321 (128MMSSU)_Wrigley - 06 simple chart Sep 14_Sheet3" xfId="9001"/>
    <cellStyle name="_New initiative 2004 Launch Schedule(for sales)_TJ Masterflow June 15" xfId="9002"/>
    <cellStyle name="_New initiative 2004 Launch Schedule(for sales)_TJ Masterflow June 15 2" xfId="9003"/>
    <cellStyle name="_New initiative 2004 Launch Schedule(for sales)_TJ Masterflow June 15_Book5" xfId="9004"/>
    <cellStyle name="_New initiative 2004 Launch Schedule(for sales)_TJ Masterflow June 15_Book5 2" xfId="9005"/>
    <cellStyle name="_New initiative 2004 Launch Schedule(for sales)_TJ Masterflow June 15_Book5_Category Template AC'11 @Cst Fx 52W vs 53W" xfId="9006"/>
    <cellStyle name="_New initiative 2004 Launch Schedule(for sales)_TJ Masterflow June 15_Book5_Category Template AC'11 @Cst Fx 52W vs 53W 2" xfId="9007"/>
    <cellStyle name="_New initiative 2004 Launch Schedule(for sales)_TJ Masterflow June 15_Book5_Category Template AC'11 @Cst Fx 52W vs 53W_P&amp;L KFE" xfId="9008"/>
    <cellStyle name="_New initiative 2004 Launch Schedule(for sales)_TJ Masterflow June 15_Book5_Category Template AC'11 @Cst Fx 52W vs 53W_Sheet3" xfId="9009"/>
    <cellStyle name="_New initiative 2004 Launch Schedule(for sales)_TJ Masterflow June 15_Book5_P&amp;L KFE" xfId="9010"/>
    <cellStyle name="_New initiative 2004 Launch Schedule(for sales)_TJ Masterflow June 15_Book5_Sheet3" xfId="9011"/>
    <cellStyle name="_New initiative 2004 Launch Schedule(for sales)_TJ Masterflow June 15_Category Template AC'11 @Cst Fx 52W vs 53W" xfId="9012"/>
    <cellStyle name="_New initiative 2004 Launch Schedule(for sales)_TJ Masterflow June 15_Category Template AC'11 @Cst Fx 52W vs 53W 2" xfId="9013"/>
    <cellStyle name="_New initiative 2004 Launch Schedule(for sales)_TJ Masterflow June 15_Category Template AC'11 @Cst Fx 52W vs 53W_P&amp;L KFE" xfId="9014"/>
    <cellStyle name="_New initiative 2004 Launch Schedule(for sales)_TJ Masterflow June 15_Category Template AC'11 @Cst Fx 52W vs 53W_Sheet3" xfId="9015"/>
    <cellStyle name="_New initiative 2004 Launch Schedule(for sales)_TJ Masterflow June 15_P&amp;L KFE" xfId="9016"/>
    <cellStyle name="_New initiative 2004 Launch Schedule(for sales)_TJ Masterflow June 15_Sheet3" xfId="9017"/>
    <cellStyle name="_New initiative 2004 Launch Schedule(for sales)_TJ Masterflow June 15_Wrigley - 05 budget&amp;calendar LE 050728 (25I)" xfId="9018"/>
    <cellStyle name="_New initiative 2004 Launch Schedule(for sales)_TJ Masterflow June 15_Wrigley - 05 budget&amp;calendar LE 050728 (25I) 2" xfId="9019"/>
    <cellStyle name="_New initiative 2004 Launch Schedule(for sales)_TJ Masterflow June 15_Wrigley - 05 budget&amp;calendar LE 050728 (25I)_Category Template AC'11 @Cst Fx 52W vs 53W" xfId="9020"/>
    <cellStyle name="_New initiative 2004 Launch Schedule(for sales)_TJ Masterflow June 15_Wrigley - 05 budget&amp;calendar LE 050728 (25I)_Category Template AC'11 @Cst Fx 52W vs 53W 2" xfId="9021"/>
    <cellStyle name="_New initiative 2004 Launch Schedule(for sales)_TJ Masterflow June 15_Wrigley - 05 budget&amp;calendar LE 050728 (25I)_Category Template AC'11 @Cst Fx 52W vs 53W_P&amp;L KFE" xfId="9022"/>
    <cellStyle name="_New initiative 2004 Launch Schedule(for sales)_TJ Masterflow June 15_Wrigley - 05 budget&amp;calendar LE 050728 (25I)_Category Template AC'11 @Cst Fx 52W vs 53W_Sheet3" xfId="9023"/>
    <cellStyle name="_New initiative 2004 Launch Schedule(for sales)_TJ Masterflow June 15_Wrigley - 05 budget&amp;calendar LE 050728 (25I)_P&amp;L KFE" xfId="9024"/>
    <cellStyle name="_New initiative 2004 Launch Schedule(for sales)_TJ Masterflow June 15_Wrigley - 05 budget&amp;calendar LE 050728 (25I)_Sheet3" xfId="9025"/>
    <cellStyle name="_New initiative 2004 Launch Schedule(for sales)_TJ Masterflow June 15_Wrigley - 05 budget&amp;calendar LE 050728 (25I)_Wrigley - 06 simple chart Sep 14" xfId="9026"/>
    <cellStyle name="_New initiative 2004 Launch Schedule(for sales)_TJ Masterflow June 15_Wrigley - 05 budget&amp;calendar LE 050728 (25I)_Wrigley - 06 simple chart Sep 14 2" xfId="9027"/>
    <cellStyle name="_New initiative 2004 Launch Schedule(for sales)_TJ Masterflow June 15_Wrigley - 05 budget&amp;calendar LE 050728 (25I)_Wrigley - 06 simple chart Sep 14_Category Template AC'11 @Cst Fx 52W vs 53W" xfId="9028"/>
    <cellStyle name="_New initiative 2004 Launch Schedule(for sales)_TJ Masterflow June 15_Wrigley - 05 budget&amp;calendar LE 050728 (25I)_Wrigley - 06 simple chart Sep 14_Category Template AC'11 @Cst Fx 52W vs 53W 2" xfId="9029"/>
    <cellStyle name="_New initiative 2004 Launch Schedule(for sales)_TJ Masterflow June 15_Wrigley - 05 budget&amp;calendar LE 050728 (25I)_Wrigley - 06 simple chart Sep 14_Category Template AC'11 @Cst Fx 52W vs 53W_P&amp;L KFE" xfId="9030"/>
    <cellStyle name="_New initiative 2004 Launch Schedule(for sales)_TJ Masterflow June 15_Wrigley - 05 budget&amp;calendar LE 050728 (25I)_Wrigley - 06 simple chart Sep 14_Category Template AC'11 @Cst Fx 52W vs 53W_Sheet3" xfId="9031"/>
    <cellStyle name="_New initiative 2004 Launch Schedule(for sales)_TJ Masterflow June 15_Wrigley - 05 budget&amp;calendar LE 050728 (25I)_Wrigley - 06 simple chart Sep 14_P&amp;L KFE" xfId="9032"/>
    <cellStyle name="_New initiative 2004 Launch Schedule(for sales)_TJ Masterflow June 15_Wrigley - 05 budget&amp;calendar LE 050728 (25I)_Wrigley - 06 simple chart Sep 14_Sheet3" xfId="9033"/>
    <cellStyle name="_New initiative 2004 Launch Schedule(for sales)_TJ Masterflow June 15_Wrigley - 05 budget&amp;calendar LE 050824 (25F)" xfId="9034"/>
    <cellStyle name="_New initiative 2004 Launch Schedule(for sales)_TJ Masterflow June 15_Wrigley - 05 budget&amp;calendar LE 050824 (25F) 2" xfId="9035"/>
    <cellStyle name="_New initiative 2004 Launch Schedule(for sales)_TJ Masterflow June 15_Wrigley - 05 budget&amp;calendar LE 050824 (25F)_Category Template AC'11 @Cst Fx 52W vs 53W" xfId="9036"/>
    <cellStyle name="_New initiative 2004 Launch Schedule(for sales)_TJ Masterflow June 15_Wrigley - 05 budget&amp;calendar LE 050824 (25F)_Category Template AC'11 @Cst Fx 52W vs 53W 2" xfId="9037"/>
    <cellStyle name="_New initiative 2004 Launch Schedule(for sales)_TJ Masterflow June 15_Wrigley - 05 budget&amp;calendar LE 050824 (25F)_Category Template AC'11 @Cst Fx 52W vs 53W_P&amp;L KFE" xfId="9038"/>
    <cellStyle name="_New initiative 2004 Launch Schedule(for sales)_TJ Masterflow June 15_Wrigley - 05 budget&amp;calendar LE 050824 (25F)_Category Template AC'11 @Cst Fx 52W vs 53W_Sheet3" xfId="9039"/>
    <cellStyle name="_New initiative 2004 Launch Schedule(for sales)_TJ Masterflow June 15_Wrigley - 05 budget&amp;calendar LE 050824 (25F)_P&amp;L KFE" xfId="9040"/>
    <cellStyle name="_New initiative 2004 Launch Schedule(for sales)_TJ Masterflow June 15_Wrigley - 05 budget&amp;calendar LE 050824 (25F)_Sheet3" xfId="9041"/>
    <cellStyle name="_New initiative 2004 Launch Schedule(for sales)_TJ Masterflow June 15_Wrigley - 05 budget&amp;calendar LE 050824 (25F)_Wrigley - 06 simple chart Sep 14" xfId="9042"/>
    <cellStyle name="_New initiative 2004 Launch Schedule(for sales)_TJ Masterflow June 15_Wrigley - 05 budget&amp;calendar LE 050824 (25F)_Wrigley - 06 simple chart Sep 14 2" xfId="9043"/>
    <cellStyle name="_New initiative 2004 Launch Schedule(for sales)_TJ Masterflow June 15_Wrigley - 05 budget&amp;calendar LE 050824 (25F)_Wrigley - 06 simple chart Sep 14_Category Template AC'11 @Cst Fx 52W vs 53W" xfId="9044"/>
    <cellStyle name="_New initiative 2004 Launch Schedule(for sales)_TJ Masterflow June 15_Wrigley - 05 budget&amp;calendar LE 050824 (25F)_Wrigley - 06 simple chart Sep 14_Category Template AC'11 @Cst Fx 52W vs 53W 2" xfId="9045"/>
    <cellStyle name="_New initiative 2004 Launch Schedule(for sales)_TJ Masterflow June 15_Wrigley - 05 budget&amp;calendar LE 050824 (25F)_Wrigley - 06 simple chart Sep 14_Category Template AC'11 @Cst Fx 52W vs 53W_P&amp;L KFE" xfId="9046"/>
    <cellStyle name="_New initiative 2004 Launch Schedule(for sales)_TJ Masterflow June 15_Wrigley - 05 budget&amp;calendar LE 050824 (25F)_Wrigley - 06 simple chart Sep 14_Category Template AC'11 @Cst Fx 52W vs 53W_Sheet3" xfId="9047"/>
    <cellStyle name="_New initiative 2004 Launch Schedule(for sales)_TJ Masterflow June 15_Wrigley - 05 budget&amp;calendar LE 050824 (25F)_Wrigley - 06 simple chart Sep 14_P&amp;L KFE" xfId="9048"/>
    <cellStyle name="_New initiative 2004 Launch Schedule(for sales)_TJ Masterflow June 15_Wrigley - 05 budget&amp;calendar LE 050824 (25F)_Wrigley - 06 simple chart Sep 14_Sheet3" xfId="9049"/>
    <cellStyle name="_New initiative 2004 Launch Schedule(for sales)_TJ Masterflow June 15_Wrigley - 05 budget&amp;calendar LE 050824 (25I)" xfId="9050"/>
    <cellStyle name="_New initiative 2004 Launch Schedule(for sales)_TJ Masterflow June 15_Wrigley - 05 budget&amp;calendar LE 050824 (25I) 2" xfId="9051"/>
    <cellStyle name="_New initiative 2004 Launch Schedule(for sales)_TJ Masterflow June 15_Wrigley - 05 budget&amp;calendar LE 050824 (25I)_Category Template AC'11 @Cst Fx 52W vs 53W" xfId="9052"/>
    <cellStyle name="_New initiative 2004 Launch Schedule(for sales)_TJ Masterflow June 15_Wrigley - 05 budget&amp;calendar LE 050824 (25I)_Category Template AC'11 @Cst Fx 52W vs 53W 2" xfId="9053"/>
    <cellStyle name="_New initiative 2004 Launch Schedule(for sales)_TJ Masterflow June 15_Wrigley - 05 budget&amp;calendar LE 050824 (25I)_Category Template AC'11 @Cst Fx 52W vs 53W_P&amp;L KFE" xfId="9054"/>
    <cellStyle name="_New initiative 2004 Launch Schedule(for sales)_TJ Masterflow June 15_Wrigley - 05 budget&amp;calendar LE 050824 (25I)_Category Template AC'11 @Cst Fx 52W vs 53W_Sheet3" xfId="9055"/>
    <cellStyle name="_New initiative 2004 Launch Schedule(for sales)_TJ Masterflow June 15_Wrigley - 05 budget&amp;calendar LE 050824 (25I)_P&amp;L KFE" xfId="9056"/>
    <cellStyle name="_New initiative 2004 Launch Schedule(for sales)_TJ Masterflow June 15_Wrigley - 05 budget&amp;calendar LE 050824 (25I)_Sheet3" xfId="9057"/>
    <cellStyle name="_New initiative 2004 Launch Schedule(for sales)_TJ Masterflow June 15_Wrigley - 05 budget&amp;calendar LE 050824 (25I)_Wrigley - 06 simple chart Sep 14" xfId="9058"/>
    <cellStyle name="_New initiative 2004 Launch Schedule(for sales)_TJ Masterflow June 15_Wrigley - 05 budget&amp;calendar LE 050824 (25I)_Wrigley - 06 simple chart Sep 14 2" xfId="9059"/>
    <cellStyle name="_New initiative 2004 Launch Schedule(for sales)_TJ Masterflow June 15_Wrigley - 05 budget&amp;calendar LE 050824 (25I)_Wrigley - 06 simple chart Sep 14_Category Template AC'11 @Cst Fx 52W vs 53W" xfId="9060"/>
    <cellStyle name="_New initiative 2004 Launch Schedule(for sales)_TJ Masterflow June 15_Wrigley - 05 budget&amp;calendar LE 050824 (25I)_Wrigley - 06 simple chart Sep 14_Category Template AC'11 @Cst Fx 52W vs 53W 2" xfId="9061"/>
    <cellStyle name="_New initiative 2004 Launch Schedule(for sales)_TJ Masterflow June 15_Wrigley - 05 budget&amp;calendar LE 050824 (25I)_Wrigley - 06 simple chart Sep 14_Category Template AC'11 @Cst Fx 52W vs 53W_P&amp;L KFE" xfId="9062"/>
    <cellStyle name="_New initiative 2004 Launch Schedule(for sales)_TJ Masterflow June 15_Wrigley - 05 budget&amp;calendar LE 050824 (25I)_Wrigley - 06 simple chart Sep 14_Category Template AC'11 @Cst Fx 52W vs 53W_Sheet3" xfId="9063"/>
    <cellStyle name="_New initiative 2004 Launch Schedule(for sales)_TJ Masterflow June 15_Wrigley - 05 budget&amp;calendar LE 050824 (25I)_Wrigley - 06 simple chart Sep 14_P&amp;L KFE" xfId="9064"/>
    <cellStyle name="_New initiative 2004 Launch Schedule(for sales)_TJ Masterflow June 15_Wrigley - 05 budget&amp;calendar LE 050824 (25I)_Wrigley - 06 simple chart Sep 14_Sheet3" xfId="9065"/>
    <cellStyle name="_New initiative 2004 Launch Schedule(for sales)_TJ Masterflow June 15_Wrigley - 06 simple chart Sep 14" xfId="9066"/>
    <cellStyle name="_New initiative 2004 Launch Schedule(for sales)_TJ Masterflow June 15_Wrigley - 06 simple chart Sep 14 2" xfId="9067"/>
    <cellStyle name="_New initiative 2004 Launch Schedule(for sales)_TJ Masterflow June 15_Wrigley - 06 simple chart Sep 14_Category Template AC'11 @Cst Fx 52W vs 53W" xfId="9068"/>
    <cellStyle name="_New initiative 2004 Launch Schedule(for sales)_TJ Masterflow June 15_Wrigley - 06 simple chart Sep 14_Category Template AC'11 @Cst Fx 52W vs 53W 2" xfId="9069"/>
    <cellStyle name="_New initiative 2004 Launch Schedule(for sales)_TJ Masterflow June 15_Wrigley - 06 simple chart Sep 14_Category Template AC'11 @Cst Fx 52W vs 53W_P&amp;L KFE" xfId="9070"/>
    <cellStyle name="_New initiative 2004 Launch Schedule(for sales)_TJ Masterflow June 15_Wrigley - 06 simple chart Sep 14_Category Template AC'11 @Cst Fx 52W vs 53W_Sheet3" xfId="9071"/>
    <cellStyle name="_New initiative 2004 Launch Schedule(for sales)_TJ Masterflow June 15_Wrigley - 06 simple chart Sep 14_P&amp;L KFE" xfId="9072"/>
    <cellStyle name="_New initiative 2004 Launch Schedule(for sales)_TJ Masterflow June 15_Wrigley - 06 simple chart Sep 14_Sheet3" xfId="9073"/>
    <cellStyle name="_New initiative 2004 Launch Schedule(for sales)_TP Masterflow June 15a" xfId="9074"/>
    <cellStyle name="_New initiative 2004 Launch Schedule(for sales)_TP Masterflow June 15a 2" xfId="9075"/>
    <cellStyle name="_New initiative 2004 Launch Schedule(for sales)_TP Masterflow June 15a_Book5" xfId="9076"/>
    <cellStyle name="_New initiative 2004 Launch Schedule(for sales)_TP Masterflow June 15a_Book5 2" xfId="9077"/>
    <cellStyle name="_New initiative 2004 Launch Schedule(for sales)_TP Masterflow June 15a_Book5_Category Template AC'11 @Cst Fx 52W vs 53W" xfId="9078"/>
    <cellStyle name="_New initiative 2004 Launch Schedule(for sales)_TP Masterflow June 15a_Book5_Category Template AC'11 @Cst Fx 52W vs 53W 2" xfId="9079"/>
    <cellStyle name="_New initiative 2004 Launch Schedule(for sales)_TP Masterflow June 15a_Book5_Category Template AC'11 @Cst Fx 52W vs 53W_P&amp;L KFE" xfId="9080"/>
    <cellStyle name="_New initiative 2004 Launch Schedule(for sales)_TP Masterflow June 15a_Book5_Category Template AC'11 @Cst Fx 52W vs 53W_Sheet3" xfId="9081"/>
    <cellStyle name="_New initiative 2004 Launch Schedule(for sales)_TP Masterflow June 15a_Book5_P&amp;L KFE" xfId="9082"/>
    <cellStyle name="_New initiative 2004 Launch Schedule(for sales)_TP Masterflow June 15a_Book5_Sheet3" xfId="9083"/>
    <cellStyle name="_New initiative 2004 Launch Schedule(for sales)_TP Masterflow June 15a_Category Template AC'11 @Cst Fx 52W vs 53W" xfId="9084"/>
    <cellStyle name="_New initiative 2004 Launch Schedule(for sales)_TP Masterflow June 15a_Category Template AC'11 @Cst Fx 52W vs 53W 2" xfId="9085"/>
    <cellStyle name="_New initiative 2004 Launch Schedule(for sales)_TP Masterflow June 15a_Category Template AC'11 @Cst Fx 52W vs 53W_P&amp;L KFE" xfId="9086"/>
    <cellStyle name="_New initiative 2004 Launch Schedule(for sales)_TP Masterflow June 15a_Category Template AC'11 @Cst Fx 52W vs 53W_Sheet3" xfId="9087"/>
    <cellStyle name="_New initiative 2004 Launch Schedule(for sales)_TP Masterflow June 15a_P&amp;L KFE" xfId="9088"/>
    <cellStyle name="_New initiative 2004 Launch Schedule(for sales)_TP Masterflow June 15a_Sheet3" xfId="9089"/>
    <cellStyle name="_New initiative 2004 Launch Schedule(for sales)_TP Masterflow June 15a_Wrigley - 05 budget&amp;calendar LE 050728 (25I)" xfId="9090"/>
    <cellStyle name="_New initiative 2004 Launch Schedule(for sales)_TP Masterflow June 15a_Wrigley - 05 budget&amp;calendar LE 050728 (25I) 2" xfId="9091"/>
    <cellStyle name="_New initiative 2004 Launch Schedule(for sales)_TP Masterflow June 15a_Wrigley - 05 budget&amp;calendar LE 050728 (25I)_Category Template AC'11 @Cst Fx 52W vs 53W" xfId="9092"/>
    <cellStyle name="_New initiative 2004 Launch Schedule(for sales)_TP Masterflow June 15a_Wrigley - 05 budget&amp;calendar LE 050728 (25I)_Category Template AC'11 @Cst Fx 52W vs 53W 2" xfId="9093"/>
    <cellStyle name="_New initiative 2004 Launch Schedule(for sales)_TP Masterflow June 15a_Wrigley - 05 budget&amp;calendar LE 050728 (25I)_Category Template AC'11 @Cst Fx 52W vs 53W_P&amp;L KFE" xfId="9094"/>
    <cellStyle name="_New initiative 2004 Launch Schedule(for sales)_TP Masterflow June 15a_Wrigley - 05 budget&amp;calendar LE 050728 (25I)_Category Template AC'11 @Cst Fx 52W vs 53W_Sheet3" xfId="9095"/>
    <cellStyle name="_New initiative 2004 Launch Schedule(for sales)_TP Masterflow June 15a_Wrigley - 05 budget&amp;calendar LE 050728 (25I)_P&amp;L KFE" xfId="9096"/>
    <cellStyle name="_New initiative 2004 Launch Schedule(for sales)_TP Masterflow June 15a_Wrigley - 05 budget&amp;calendar LE 050728 (25I)_Sheet3" xfId="9097"/>
    <cellStyle name="_New initiative 2004 Launch Schedule(for sales)_TP Masterflow June 15a_Wrigley - 05 budget&amp;calendar LE 050728 (25I)_Wrigley - 06 simple chart Sep 14" xfId="9098"/>
    <cellStyle name="_New initiative 2004 Launch Schedule(for sales)_TP Masterflow June 15a_Wrigley - 05 budget&amp;calendar LE 050728 (25I)_Wrigley - 06 simple chart Sep 14 2" xfId="9099"/>
    <cellStyle name="_New initiative 2004 Launch Schedule(for sales)_TP Masterflow June 15a_Wrigley - 05 budget&amp;calendar LE 050728 (25I)_Wrigley - 06 simple chart Sep 14_Category Template AC'11 @Cst Fx 52W vs 53W" xfId="9100"/>
    <cellStyle name="_New initiative 2004 Launch Schedule(for sales)_TP Masterflow June 15a_Wrigley - 05 budget&amp;calendar LE 050728 (25I)_Wrigley - 06 simple chart Sep 14_Category Template AC'11 @Cst Fx 52W vs 53W 2" xfId="9101"/>
    <cellStyle name="_New initiative 2004 Launch Schedule(for sales)_TP Masterflow June 15a_Wrigley - 05 budget&amp;calendar LE 050728 (25I)_Wrigley - 06 simple chart Sep 14_Category Template AC'11 @Cst Fx 52W vs 53W_P&amp;L KFE" xfId="9102"/>
    <cellStyle name="_New initiative 2004 Launch Schedule(for sales)_TP Masterflow June 15a_Wrigley - 05 budget&amp;calendar LE 050728 (25I)_Wrigley - 06 simple chart Sep 14_Category Template AC'11 @Cst Fx 52W vs 53W_Sheet3" xfId="9103"/>
    <cellStyle name="_New initiative 2004 Launch Schedule(for sales)_TP Masterflow June 15a_Wrigley - 05 budget&amp;calendar LE 050728 (25I)_Wrigley - 06 simple chart Sep 14_P&amp;L KFE" xfId="9104"/>
    <cellStyle name="_New initiative 2004 Launch Schedule(for sales)_TP Masterflow June 15a_Wrigley - 05 budget&amp;calendar LE 050728 (25I)_Wrigley - 06 simple chart Sep 14_Sheet3" xfId="9105"/>
    <cellStyle name="_New initiative 2004 Launch Schedule(for sales)_TP Masterflow June 15a_Wrigley - 05 budget&amp;calendar LE 050824 (25F)" xfId="9106"/>
    <cellStyle name="_New initiative 2004 Launch Schedule(for sales)_TP Masterflow June 15a_Wrigley - 05 budget&amp;calendar LE 050824 (25F) 2" xfId="9107"/>
    <cellStyle name="_New initiative 2004 Launch Schedule(for sales)_TP Masterflow June 15a_Wrigley - 05 budget&amp;calendar LE 050824 (25F)_Category Template AC'11 @Cst Fx 52W vs 53W" xfId="9108"/>
    <cellStyle name="_New initiative 2004 Launch Schedule(for sales)_TP Masterflow June 15a_Wrigley - 05 budget&amp;calendar LE 050824 (25F)_Category Template AC'11 @Cst Fx 52W vs 53W 2" xfId="9109"/>
    <cellStyle name="_New initiative 2004 Launch Schedule(for sales)_TP Masterflow June 15a_Wrigley - 05 budget&amp;calendar LE 050824 (25F)_Category Template AC'11 @Cst Fx 52W vs 53W_P&amp;L KFE" xfId="9110"/>
    <cellStyle name="_New initiative 2004 Launch Schedule(for sales)_TP Masterflow June 15a_Wrigley - 05 budget&amp;calendar LE 050824 (25F)_Category Template AC'11 @Cst Fx 52W vs 53W_Sheet3" xfId="9111"/>
    <cellStyle name="_New initiative 2004 Launch Schedule(for sales)_TP Masterflow June 15a_Wrigley - 05 budget&amp;calendar LE 050824 (25F)_P&amp;L KFE" xfId="9112"/>
    <cellStyle name="_New initiative 2004 Launch Schedule(for sales)_TP Masterflow June 15a_Wrigley - 05 budget&amp;calendar LE 050824 (25F)_Sheet3" xfId="9113"/>
    <cellStyle name="_New initiative 2004 Launch Schedule(for sales)_TP Masterflow June 15a_Wrigley - 05 budget&amp;calendar LE 050824 (25F)_Wrigley - 06 simple chart Sep 14" xfId="9114"/>
    <cellStyle name="_New initiative 2004 Launch Schedule(for sales)_TP Masterflow June 15a_Wrigley - 05 budget&amp;calendar LE 050824 (25F)_Wrigley - 06 simple chart Sep 14 2" xfId="9115"/>
    <cellStyle name="_New initiative 2004 Launch Schedule(for sales)_TP Masterflow June 15a_Wrigley - 05 budget&amp;calendar LE 050824 (25F)_Wrigley - 06 simple chart Sep 14_Category Template AC'11 @Cst Fx 52W vs 53W" xfId="9116"/>
    <cellStyle name="_New initiative 2004 Launch Schedule(for sales)_TP Masterflow June 15a_Wrigley - 05 budget&amp;calendar LE 050824 (25F)_Wrigley - 06 simple chart Sep 14_Category Template AC'11 @Cst Fx 52W vs 53W 2" xfId="9117"/>
    <cellStyle name="_New initiative 2004 Launch Schedule(for sales)_TP Masterflow June 15a_Wrigley - 05 budget&amp;calendar LE 050824 (25F)_Wrigley - 06 simple chart Sep 14_Category Template AC'11 @Cst Fx 52W vs 53W_P&amp;L KFE" xfId="9118"/>
    <cellStyle name="_New initiative 2004 Launch Schedule(for sales)_TP Masterflow June 15a_Wrigley - 05 budget&amp;calendar LE 050824 (25F)_Wrigley - 06 simple chart Sep 14_Category Template AC'11 @Cst Fx 52W vs 53W_Sheet3" xfId="9119"/>
    <cellStyle name="_New initiative 2004 Launch Schedule(for sales)_TP Masterflow June 15a_Wrigley - 05 budget&amp;calendar LE 050824 (25F)_Wrigley - 06 simple chart Sep 14_P&amp;L KFE" xfId="9120"/>
    <cellStyle name="_New initiative 2004 Launch Schedule(for sales)_TP Masterflow June 15a_Wrigley - 05 budget&amp;calendar LE 050824 (25F)_Wrigley - 06 simple chart Sep 14_Sheet3" xfId="9121"/>
    <cellStyle name="_New initiative 2004 Launch Schedule(for sales)_TP Masterflow June 15a_Wrigley - 05 budget&amp;calendar LE 050824 (25I)" xfId="9122"/>
    <cellStyle name="_New initiative 2004 Launch Schedule(for sales)_TP Masterflow June 15a_Wrigley - 05 budget&amp;calendar LE 050824 (25I) 2" xfId="9123"/>
    <cellStyle name="_New initiative 2004 Launch Schedule(for sales)_TP Masterflow June 15a_Wrigley - 05 budget&amp;calendar LE 050824 (25I)_Category Template AC'11 @Cst Fx 52W vs 53W" xfId="9124"/>
    <cellStyle name="_New initiative 2004 Launch Schedule(for sales)_TP Masterflow June 15a_Wrigley - 05 budget&amp;calendar LE 050824 (25I)_Category Template AC'11 @Cst Fx 52W vs 53W 2" xfId="9125"/>
    <cellStyle name="_New initiative 2004 Launch Schedule(for sales)_TP Masterflow June 15a_Wrigley - 05 budget&amp;calendar LE 050824 (25I)_Category Template AC'11 @Cst Fx 52W vs 53W_P&amp;L KFE" xfId="9126"/>
    <cellStyle name="_New initiative 2004 Launch Schedule(for sales)_TP Masterflow June 15a_Wrigley - 05 budget&amp;calendar LE 050824 (25I)_Category Template AC'11 @Cst Fx 52W vs 53W_Sheet3" xfId="9127"/>
    <cellStyle name="_New initiative 2004 Launch Schedule(for sales)_TP Masterflow June 15a_Wrigley - 05 budget&amp;calendar LE 050824 (25I)_P&amp;L KFE" xfId="9128"/>
    <cellStyle name="_New initiative 2004 Launch Schedule(for sales)_TP Masterflow June 15a_Wrigley - 05 budget&amp;calendar LE 050824 (25I)_Sheet3" xfId="9129"/>
    <cellStyle name="_New initiative 2004 Launch Schedule(for sales)_TP Masterflow June 15a_Wrigley - 05 budget&amp;calendar LE 050824 (25I)_Wrigley - 06 simple chart Sep 14" xfId="9130"/>
    <cellStyle name="_New initiative 2004 Launch Schedule(for sales)_TP Masterflow June 15a_Wrigley - 05 budget&amp;calendar LE 050824 (25I)_Wrigley - 06 simple chart Sep 14 2" xfId="9131"/>
    <cellStyle name="_New initiative 2004 Launch Schedule(for sales)_TP Masterflow June 15a_Wrigley - 05 budget&amp;calendar LE 050824 (25I)_Wrigley - 06 simple chart Sep 14_Category Template AC'11 @Cst Fx 52W vs 53W" xfId="9132"/>
    <cellStyle name="_New initiative 2004 Launch Schedule(for sales)_TP Masterflow June 15a_Wrigley - 05 budget&amp;calendar LE 050824 (25I)_Wrigley - 06 simple chart Sep 14_Category Template AC'11 @Cst Fx 52W vs 53W 2" xfId="9133"/>
    <cellStyle name="_New initiative 2004 Launch Schedule(for sales)_TP Masterflow June 15a_Wrigley - 05 budget&amp;calendar LE 050824 (25I)_Wrigley - 06 simple chart Sep 14_Category Template AC'11 @Cst Fx 52W vs 53W_P&amp;L KFE" xfId="9134"/>
    <cellStyle name="_New initiative 2004 Launch Schedule(for sales)_TP Masterflow June 15a_Wrigley - 05 budget&amp;calendar LE 050824 (25I)_Wrigley - 06 simple chart Sep 14_Category Template AC'11 @Cst Fx 52W vs 53W_Sheet3" xfId="9135"/>
    <cellStyle name="_New initiative 2004 Launch Schedule(for sales)_TP Masterflow June 15a_Wrigley - 05 budget&amp;calendar LE 050824 (25I)_Wrigley - 06 simple chart Sep 14_P&amp;L KFE" xfId="9136"/>
    <cellStyle name="_New initiative 2004 Launch Schedule(for sales)_TP Masterflow June 15a_Wrigley - 05 budget&amp;calendar LE 050824 (25I)_Wrigley - 06 simple chart Sep 14_Sheet3" xfId="9137"/>
    <cellStyle name="_New initiative 2004 Launch Schedule(for sales)_TP Masterflow June 15a_Wrigley - 06 simple chart Sep 14" xfId="9138"/>
    <cellStyle name="_New initiative 2004 Launch Schedule(for sales)_TP Masterflow June 15a_Wrigley - 06 simple chart Sep 14 2" xfId="9139"/>
    <cellStyle name="_New initiative 2004 Launch Schedule(for sales)_TP Masterflow June 15a_Wrigley - 06 simple chart Sep 14_Category Template AC'11 @Cst Fx 52W vs 53W" xfId="9140"/>
    <cellStyle name="_New initiative 2004 Launch Schedule(for sales)_TP Masterflow June 15a_Wrigley - 06 simple chart Sep 14_Category Template AC'11 @Cst Fx 52W vs 53W 2" xfId="9141"/>
    <cellStyle name="_New initiative 2004 Launch Schedule(for sales)_TP Masterflow June 15a_Wrigley - 06 simple chart Sep 14_Category Template AC'11 @Cst Fx 52W vs 53W_P&amp;L KFE" xfId="9142"/>
    <cellStyle name="_New initiative 2004 Launch Schedule(for sales)_TP Masterflow June 15a_Wrigley - 06 simple chart Sep 14_Category Template AC'11 @Cst Fx 52W vs 53W_Sheet3" xfId="9143"/>
    <cellStyle name="_New initiative 2004 Launch Schedule(for sales)_TP Masterflow June 15a_Wrigley - 06 simple chart Sep 14_P&amp;L KFE" xfId="9144"/>
    <cellStyle name="_New initiative 2004 Launch Schedule(for sales)_TP Masterflow June 15a_Wrigley - 06 simple chart Sep 14_Sheet3" xfId="9145"/>
    <cellStyle name="_New initiative 2004 Launch Schedule(for sales)_Wrigley - 05 budget&amp;calendar 1R 050609 (23I)_Jun 16b" xfId="9146"/>
    <cellStyle name="_New initiative 2004 Launch Schedule(for sales)_Wrigley - 05 budget&amp;calendar 1R 050609 (23I)_Jun 16b 2" xfId="9147"/>
    <cellStyle name="_New initiative 2004 Launch Schedule(for sales)_Wrigley - 05 budget&amp;calendar 1R 050609 (23I)_Jun 16b_Book5" xfId="9148"/>
    <cellStyle name="_New initiative 2004 Launch Schedule(for sales)_Wrigley - 05 budget&amp;calendar 1R 050609 (23I)_Jun 16b_Book5 2" xfId="9149"/>
    <cellStyle name="_New initiative 2004 Launch Schedule(for sales)_Wrigley - 05 budget&amp;calendar 1R 050609 (23I)_Jun 16b_Book5_Category Template AC'11 @Cst Fx 52W vs 53W" xfId="9150"/>
    <cellStyle name="_New initiative 2004 Launch Schedule(for sales)_Wrigley - 05 budget&amp;calendar 1R 050609 (23I)_Jun 16b_Book5_Category Template AC'11 @Cst Fx 52W vs 53W 2" xfId="9151"/>
    <cellStyle name="_New initiative 2004 Launch Schedule(for sales)_Wrigley - 05 budget&amp;calendar 1R 050609 (23I)_Jun 16b_Book5_Category Template AC'11 @Cst Fx 52W vs 53W_P&amp;L KFE" xfId="9152"/>
    <cellStyle name="_New initiative 2004 Launch Schedule(for sales)_Wrigley - 05 budget&amp;calendar 1R 050609 (23I)_Jun 16b_Book5_Category Template AC'11 @Cst Fx 52W vs 53W_Sheet3" xfId="9153"/>
    <cellStyle name="_New initiative 2004 Launch Schedule(for sales)_Wrigley - 05 budget&amp;calendar 1R 050609 (23I)_Jun 16b_Book5_P&amp;L KFE" xfId="9154"/>
    <cellStyle name="_New initiative 2004 Launch Schedule(for sales)_Wrigley - 05 budget&amp;calendar 1R 050609 (23I)_Jun 16b_Book5_Sheet3" xfId="9155"/>
    <cellStyle name="_New initiative 2004 Launch Schedule(for sales)_Wrigley - 05 budget&amp;calendar 1R 050609 (23I)_Jun 16b_Category Template AC'11 @Cst Fx 52W vs 53W" xfId="9156"/>
    <cellStyle name="_New initiative 2004 Launch Schedule(for sales)_Wrigley - 05 budget&amp;calendar 1R 050609 (23I)_Jun 16b_Category Template AC'11 @Cst Fx 52W vs 53W 2" xfId="9157"/>
    <cellStyle name="_New initiative 2004 Launch Schedule(for sales)_Wrigley - 05 budget&amp;calendar 1R 050609 (23I)_Jun 16b_Category Template AC'11 @Cst Fx 52W vs 53W_P&amp;L KFE" xfId="9158"/>
    <cellStyle name="_New initiative 2004 Launch Schedule(for sales)_Wrigley - 05 budget&amp;calendar 1R 050609 (23I)_Jun 16b_Category Template AC'11 @Cst Fx 52W vs 53W_Sheet3" xfId="9159"/>
    <cellStyle name="_New initiative 2004 Launch Schedule(for sales)_Wrigley - 05 budget&amp;calendar 1R 050609 (23I)_Jun 16b_P&amp;L KFE" xfId="9160"/>
    <cellStyle name="_New initiative 2004 Launch Schedule(for sales)_Wrigley - 05 budget&amp;calendar 1R 050609 (23I)_Jun 16b_Sheet3" xfId="9161"/>
    <cellStyle name="_New initiative 2004 Launch Schedule(for sales)_Wrigley - 05 budget&amp;calendar 1R 050609 (23I)_Jun 16b_Wrigley - 05 budget&amp;calendar LE 050728 (25I)" xfId="9162"/>
    <cellStyle name="_New initiative 2004 Launch Schedule(for sales)_Wrigley - 05 budget&amp;calendar 1R 050609 (23I)_Jun 16b_Wrigley - 05 budget&amp;calendar LE 050728 (25I) 2" xfId="9163"/>
    <cellStyle name="_New initiative 2004 Launch Schedule(for sales)_Wrigley - 05 budget&amp;calendar 1R 050609 (23I)_Jun 16b_Wrigley - 05 budget&amp;calendar LE 050728 (25I)_Category Template AC'11 @Cst Fx 52W vs 53W" xfId="9164"/>
    <cellStyle name="_New initiative 2004 Launch Schedule(for sales)_Wrigley - 05 budget&amp;calendar 1R 050609 (23I)_Jun 16b_Wrigley - 05 budget&amp;calendar LE 050728 (25I)_Category Template AC'11 @Cst Fx 52W vs 53W 2" xfId="9165"/>
    <cellStyle name="_New initiative 2004 Launch Schedule(for sales)_Wrigley - 05 budget&amp;calendar 1R 050609 (23I)_Jun 16b_Wrigley - 05 budget&amp;calendar LE 050728 (25I)_Category Template AC'11 @Cst Fx 52W vs 53W_P&amp;L KFE" xfId="9166"/>
    <cellStyle name="_New initiative 2004 Launch Schedule(for sales)_Wrigley - 05 budget&amp;calendar 1R 050609 (23I)_Jun 16b_Wrigley - 05 budget&amp;calendar LE 050728 (25I)_Category Template AC'11 @Cst Fx 52W vs 53W_Sheet3" xfId="9167"/>
    <cellStyle name="_New initiative 2004 Launch Schedule(for sales)_Wrigley - 05 budget&amp;calendar 1R 050609 (23I)_Jun 16b_Wrigley - 05 budget&amp;calendar LE 050728 (25I)_P&amp;L KFE" xfId="9168"/>
    <cellStyle name="_New initiative 2004 Launch Schedule(for sales)_Wrigley - 05 budget&amp;calendar 1R 050609 (23I)_Jun 16b_Wrigley - 05 budget&amp;calendar LE 050728 (25I)_Sheet3" xfId="9169"/>
    <cellStyle name="_New initiative 2004 Launch Schedule(for sales)_Wrigley - 05 budget&amp;calendar 1R 050609 (23I)_Jun 16b_Wrigley - 05 budget&amp;calendar LE 050728 (25I)_Wrigley - 06 simple chart Sep 14" xfId="9170"/>
    <cellStyle name="_New initiative 2004 Launch Schedule(for sales)_Wrigley - 05 budget&amp;calendar 1R 050609 (23I)_Jun 16b_Wrigley - 05 budget&amp;calendar LE 050728 (25I)_Wrigley - 06 simple chart Sep 14 2" xfId="9171"/>
    <cellStyle name="_New initiative 2004 Launch Schedule(for sales)_Wrigley - 05 budget&amp;calendar 1R 050609 (23I)_Jun 16b_Wrigley - 05 budget&amp;calendar LE 050728 (25I)_Wrigley - 06 simple chart Sep 14_Category Template AC'11 @Cst Fx 52W vs 53W" xfId="9172"/>
    <cellStyle name="_New initiative 2004 Launch Schedule(for sales)_Wrigley - 05 budget&amp;calendar 1R 050609 (23I)_Jun 16b_Wrigley - 05 budget&amp;calendar LE 050728 (25I)_Wrigley - 06 simple chart Sep 14_Category Template AC'11 @Cst Fx 52W vs 53W 2" xfId="9173"/>
    <cellStyle name="_New initiative 2004 Launch Schedule(for sales)_Wrigley - 05 budget&amp;calendar 1R 050609 (23I)_Jun 16b_Wrigley - 05 budget&amp;calendar LE 050728 (25I)_Wrigley - 06 simple chart Sep 14_Category Template AC'11 @Cst Fx 52W vs 53W_P&amp;L KFE" xfId="9174"/>
    <cellStyle name="_New initiative 2004 Launch Schedule(for sales)_Wrigley - 05 budget&amp;calendar 1R 050609 (23I)_Jun 16b_Wrigley - 05 budget&amp;calendar LE 050728 (25I)_Wrigley - 06 simple chart Sep 14_Category Template AC'11 @Cst Fx 52W vs 53W_Sheet3" xfId="9175"/>
    <cellStyle name="_New initiative 2004 Launch Schedule(for sales)_Wrigley - 05 budget&amp;calendar 1R 050609 (23I)_Jun 16b_Wrigley - 05 budget&amp;calendar LE 050728 (25I)_Wrigley - 06 simple chart Sep 14_P&amp;L KFE" xfId="9176"/>
    <cellStyle name="_New initiative 2004 Launch Schedule(for sales)_Wrigley - 05 budget&amp;calendar 1R 050609 (23I)_Jun 16b_Wrigley - 05 budget&amp;calendar LE 050728 (25I)_Wrigley - 06 simple chart Sep 14_Sheet3" xfId="9177"/>
    <cellStyle name="_New initiative 2004 Launch Schedule(for sales)_Wrigley - 05 budget&amp;calendar 1R 050609 (23I)_Jun 16b_Wrigley - 05 budget&amp;calendar LE 050824 (25F)" xfId="9178"/>
    <cellStyle name="_New initiative 2004 Launch Schedule(for sales)_Wrigley - 05 budget&amp;calendar 1R 050609 (23I)_Jun 16b_Wrigley - 05 budget&amp;calendar LE 050824 (25F) 2" xfId="9179"/>
    <cellStyle name="_New initiative 2004 Launch Schedule(for sales)_Wrigley - 05 budget&amp;calendar 1R 050609 (23I)_Jun 16b_Wrigley - 05 budget&amp;calendar LE 050824 (25F)_Category Template AC'11 @Cst Fx 52W vs 53W" xfId="9180"/>
    <cellStyle name="_New initiative 2004 Launch Schedule(for sales)_Wrigley - 05 budget&amp;calendar 1R 050609 (23I)_Jun 16b_Wrigley - 05 budget&amp;calendar LE 050824 (25F)_Category Template AC'11 @Cst Fx 52W vs 53W 2" xfId="9181"/>
    <cellStyle name="_New initiative 2004 Launch Schedule(for sales)_Wrigley - 05 budget&amp;calendar 1R 050609 (23I)_Jun 16b_Wrigley - 05 budget&amp;calendar LE 050824 (25F)_Category Template AC'11 @Cst Fx 52W vs 53W_P&amp;L KFE" xfId="9182"/>
    <cellStyle name="_New initiative 2004 Launch Schedule(for sales)_Wrigley - 05 budget&amp;calendar 1R 050609 (23I)_Jun 16b_Wrigley - 05 budget&amp;calendar LE 050824 (25F)_Category Template AC'11 @Cst Fx 52W vs 53W_Sheet3" xfId="9183"/>
    <cellStyle name="_New initiative 2004 Launch Schedule(for sales)_Wrigley - 05 budget&amp;calendar 1R 050609 (23I)_Jun 16b_Wrigley - 05 budget&amp;calendar LE 050824 (25F)_P&amp;L KFE" xfId="9184"/>
    <cellStyle name="_New initiative 2004 Launch Schedule(for sales)_Wrigley - 05 budget&amp;calendar 1R 050609 (23I)_Jun 16b_Wrigley - 05 budget&amp;calendar LE 050824 (25F)_Sheet3" xfId="9185"/>
    <cellStyle name="_New initiative 2004 Launch Schedule(for sales)_Wrigley - 05 budget&amp;calendar 1R 050609 (23I)_Jun 16b_Wrigley - 05 budget&amp;calendar LE 050824 (25F)_Wrigley - 06 simple chart Sep 14" xfId="9186"/>
    <cellStyle name="_New initiative 2004 Launch Schedule(for sales)_Wrigley - 05 budget&amp;calendar 1R 050609 (23I)_Jun 16b_Wrigley - 05 budget&amp;calendar LE 050824 (25F)_Wrigley - 06 simple chart Sep 14 2" xfId="9187"/>
    <cellStyle name="_New initiative 2004 Launch Schedule(for sales)_Wrigley - 05 budget&amp;calendar 1R 050609 (23I)_Jun 16b_Wrigley - 05 budget&amp;calendar LE 050824 (25F)_Wrigley - 06 simple chart Sep 14_Category Template AC'11 @Cst Fx 52W vs 53W" xfId="9188"/>
    <cellStyle name="_New initiative 2004 Launch Schedule(for sales)_Wrigley - 05 budget&amp;calendar 1R 050609 (23I)_Jun 16b_Wrigley - 05 budget&amp;calendar LE 050824 (25F)_Wrigley - 06 simple chart Sep 14_Category Template AC'11 @Cst Fx 52W vs 53W 2" xfId="9189"/>
    <cellStyle name="_New initiative 2004 Launch Schedule(for sales)_Wrigley - 05 budget&amp;calendar 1R 050609 (23I)_Jun 16b_Wrigley - 05 budget&amp;calendar LE 050824 (25F)_Wrigley - 06 simple chart Sep 14_Category Template AC'11 @Cst Fx 52W vs 53W_P&amp;L KFE" xfId="9190"/>
    <cellStyle name="_New initiative 2004 Launch Schedule(for sales)_Wrigley - 05 budget&amp;calendar 1R 050609 (23I)_Jun 16b_Wrigley - 05 budget&amp;calendar LE 050824 (25F)_Wrigley - 06 simple chart Sep 14_Category Template AC'11 @Cst Fx 52W vs 53W_Sheet3" xfId="9191"/>
    <cellStyle name="_New initiative 2004 Launch Schedule(for sales)_Wrigley - 05 budget&amp;calendar 1R 050609 (23I)_Jun 16b_Wrigley - 05 budget&amp;calendar LE 050824 (25F)_Wrigley - 06 simple chart Sep 14_P&amp;L KFE" xfId="9192"/>
    <cellStyle name="_New initiative 2004 Launch Schedule(for sales)_Wrigley - 05 budget&amp;calendar 1R 050609 (23I)_Jun 16b_Wrigley - 05 budget&amp;calendar LE 050824 (25F)_Wrigley - 06 simple chart Sep 14_Sheet3" xfId="9193"/>
    <cellStyle name="_New initiative 2004 Launch Schedule(for sales)_Wrigley - 05 budget&amp;calendar 1R 050609 (23I)_Jun 16b_Wrigley - 05 budget&amp;calendar LE 050824 (25I)" xfId="9194"/>
    <cellStyle name="_New initiative 2004 Launch Schedule(for sales)_Wrigley - 05 budget&amp;calendar 1R 050609 (23I)_Jun 16b_Wrigley - 05 budget&amp;calendar LE 050824 (25I) 2" xfId="9195"/>
    <cellStyle name="_New initiative 2004 Launch Schedule(for sales)_Wrigley - 05 budget&amp;calendar 1R 050609 (23I)_Jun 16b_Wrigley - 05 budget&amp;calendar LE 050824 (25I)_Category Template AC'11 @Cst Fx 52W vs 53W" xfId="9196"/>
    <cellStyle name="_New initiative 2004 Launch Schedule(for sales)_Wrigley - 05 budget&amp;calendar 1R 050609 (23I)_Jun 16b_Wrigley - 05 budget&amp;calendar LE 050824 (25I)_Category Template AC'11 @Cst Fx 52W vs 53W 2" xfId="9197"/>
    <cellStyle name="_New initiative 2004 Launch Schedule(for sales)_Wrigley - 05 budget&amp;calendar 1R 050609 (23I)_Jun 16b_Wrigley - 05 budget&amp;calendar LE 050824 (25I)_Category Template AC'11 @Cst Fx 52W vs 53W_P&amp;L KFE" xfId="9198"/>
    <cellStyle name="_New initiative 2004 Launch Schedule(for sales)_Wrigley - 05 budget&amp;calendar 1R 050609 (23I)_Jun 16b_Wrigley - 05 budget&amp;calendar LE 050824 (25I)_Category Template AC'11 @Cst Fx 52W vs 53W_Sheet3" xfId="9199"/>
    <cellStyle name="_New initiative 2004 Launch Schedule(for sales)_Wrigley - 05 budget&amp;calendar 1R 050609 (23I)_Jun 16b_Wrigley - 05 budget&amp;calendar LE 050824 (25I)_P&amp;L KFE" xfId="9200"/>
    <cellStyle name="_New initiative 2004 Launch Schedule(for sales)_Wrigley - 05 budget&amp;calendar 1R 050609 (23I)_Jun 16b_Wrigley - 05 budget&amp;calendar LE 050824 (25I)_Sheet3" xfId="9201"/>
    <cellStyle name="_New initiative 2004 Launch Schedule(for sales)_Wrigley - 05 budget&amp;calendar 1R 050609 (23I)_Jun 16b_Wrigley - 05 budget&amp;calendar LE 050824 (25I)_Wrigley - 06 simple chart Sep 14" xfId="9202"/>
    <cellStyle name="_New initiative 2004 Launch Schedule(for sales)_Wrigley - 05 budget&amp;calendar 1R 050609 (23I)_Jun 16b_Wrigley - 05 budget&amp;calendar LE 050824 (25I)_Wrigley - 06 simple chart Sep 14 2" xfId="9203"/>
    <cellStyle name="_New initiative 2004 Launch Schedule(for sales)_Wrigley - 05 budget&amp;calendar 1R 050609 (23I)_Jun 16b_Wrigley - 05 budget&amp;calendar LE 050824 (25I)_Wrigley - 06 simple chart Sep 14_Category Template AC'11 @Cst Fx 52W vs 53W" xfId="9204"/>
    <cellStyle name="_New initiative 2004 Launch Schedule(for sales)_Wrigley - 05 budget&amp;calendar 1R 050609 (23I)_Jun 16b_Wrigley - 05 budget&amp;calendar LE 050824 (25I)_Wrigley - 06 simple chart Sep 14_Category Template AC'11 @Cst Fx 52W vs 53W 2" xfId="9205"/>
    <cellStyle name="_New initiative 2004 Launch Schedule(for sales)_Wrigley - 05 budget&amp;calendar 1R 050609 (23I)_Jun 16b_Wrigley - 05 budget&amp;calendar LE 050824 (25I)_Wrigley - 06 simple chart Sep 14_Category Template AC'11 @Cst Fx 52W vs 53W_P&amp;L KFE" xfId="9206"/>
    <cellStyle name="_New initiative 2004 Launch Schedule(for sales)_Wrigley - 05 budget&amp;calendar 1R 050609 (23I)_Jun 16b_Wrigley - 05 budget&amp;calendar LE 050824 (25I)_Wrigley - 06 simple chart Sep 14_Category Template AC'11 @Cst Fx 52W vs 53W_Sheet3" xfId="9207"/>
    <cellStyle name="_New initiative 2004 Launch Schedule(for sales)_Wrigley - 05 budget&amp;calendar 1R 050609 (23I)_Jun 16b_Wrigley - 05 budget&amp;calendar LE 050824 (25I)_Wrigley - 06 simple chart Sep 14_P&amp;L KFE" xfId="9208"/>
    <cellStyle name="_New initiative 2004 Launch Schedule(for sales)_Wrigley - 05 budget&amp;calendar 1R 050609 (23I)_Jun 16b_Wrigley - 05 budget&amp;calendar LE 050824 (25I)_Wrigley - 06 simple chart Sep 14_Sheet3" xfId="9209"/>
    <cellStyle name="_New initiative 2004 Launch Schedule(for sales)_Wrigley - 05 budget&amp;calendar 1R 050609 (23I)_Jun 16b_Wrigley - 06 simple chart Sep 14" xfId="9210"/>
    <cellStyle name="_New initiative 2004 Launch Schedule(for sales)_Wrigley - 05 budget&amp;calendar 1R 050609 (23I)_Jun 16b_Wrigley - 06 simple chart Sep 14 2" xfId="9211"/>
    <cellStyle name="_New initiative 2004 Launch Schedule(for sales)_Wrigley - 05 budget&amp;calendar 1R 050609 (23I)_Jun 16b_Wrigley - 06 simple chart Sep 14_Category Template AC'11 @Cst Fx 52W vs 53W" xfId="9212"/>
    <cellStyle name="_New initiative 2004 Launch Schedule(for sales)_Wrigley - 05 budget&amp;calendar 1R 050609 (23I)_Jun 16b_Wrigley - 06 simple chart Sep 14_Category Template AC'11 @Cst Fx 52W vs 53W 2" xfId="9213"/>
    <cellStyle name="_New initiative 2004 Launch Schedule(for sales)_Wrigley - 05 budget&amp;calendar 1R 050609 (23I)_Jun 16b_Wrigley - 06 simple chart Sep 14_Category Template AC'11 @Cst Fx 52W vs 53W_P&amp;L KFE" xfId="9214"/>
    <cellStyle name="_New initiative 2004 Launch Schedule(for sales)_Wrigley - 05 budget&amp;calendar 1R 050609 (23I)_Jun 16b_Wrigley - 06 simple chart Sep 14_Category Template AC'11 @Cst Fx 52W vs 53W_Sheet3" xfId="9215"/>
    <cellStyle name="_New initiative 2004 Launch Schedule(for sales)_Wrigley - 05 budget&amp;calendar 1R 050609 (23I)_Jun 16b_Wrigley - 06 simple chart Sep 14_P&amp;L KFE" xfId="9216"/>
    <cellStyle name="_New initiative 2004 Launch Schedule(for sales)_Wrigley - 05 budget&amp;calendar 1R 050609 (23I)_Jun 16b_Wrigley - 06 simple chart Sep 14_Sheet3" xfId="9217"/>
    <cellStyle name="_New initiative 2004 Launch Schedule(for sales)_Wrigley - 05 budget&amp;calendar LE 050824 (25I)" xfId="9218"/>
    <cellStyle name="_New initiative 2004 Launch Schedule(for sales)_Wrigley - 05 budget&amp;calendar LE 050824 (25I) 2" xfId="9219"/>
    <cellStyle name="_New initiative 2004 Launch Schedule(for sales)_Wrigley - 05 budget&amp;calendar LE 050824 (25I)_Category Template AC'11 @Cst Fx 52W vs 53W" xfId="9220"/>
    <cellStyle name="_New initiative 2004 Launch Schedule(for sales)_Wrigley - 05 budget&amp;calendar LE 050824 (25I)_Category Template AC'11 @Cst Fx 52W vs 53W 2" xfId="9221"/>
    <cellStyle name="_New initiative 2004 Launch Schedule(for sales)_Wrigley - 05 budget&amp;calendar LE 050824 (25I)_Category Template AC'11 @Cst Fx 52W vs 53W_P&amp;L KFE" xfId="9222"/>
    <cellStyle name="_New initiative 2004 Launch Schedule(for sales)_Wrigley - 05 budget&amp;calendar LE 050824 (25I)_Category Template AC'11 @Cst Fx 52W vs 53W_Sheet3" xfId="9223"/>
    <cellStyle name="_New initiative 2004 Launch Schedule(for sales)_Wrigley - 05 budget&amp;calendar LE 050824 (25I)_P&amp;L KFE" xfId="9224"/>
    <cellStyle name="_New initiative 2004 Launch Schedule(for sales)_Wrigley - 05 budget&amp;calendar LE 050824 (25I)_Sheet3" xfId="9225"/>
    <cellStyle name="_New initiative 2004 Launch Schedule(for sales)_Wrigley - 05 budget&amp;calendar LE 050824 (25I)_Wrigley - 06 simple chart Sep 14" xfId="9226"/>
    <cellStyle name="_New initiative 2004 Launch Schedule(for sales)_Wrigley - 05 budget&amp;calendar LE 050824 (25I)_Wrigley - 06 simple chart Sep 14 2" xfId="9227"/>
    <cellStyle name="_New initiative 2004 Launch Schedule(for sales)_Wrigley - 05 budget&amp;calendar LE 050824 (25I)_Wrigley - 06 simple chart Sep 14_Category Template AC'11 @Cst Fx 52W vs 53W" xfId="9228"/>
    <cellStyle name="_New initiative 2004 Launch Schedule(for sales)_Wrigley - 05 budget&amp;calendar LE 050824 (25I)_Wrigley - 06 simple chart Sep 14_Category Template AC'11 @Cst Fx 52W vs 53W 2" xfId="9229"/>
    <cellStyle name="_New initiative 2004 Launch Schedule(for sales)_Wrigley - 05 budget&amp;calendar LE 050824 (25I)_Wrigley - 06 simple chart Sep 14_Category Template AC'11 @Cst Fx 52W vs 53W_P&amp;L KFE" xfId="9230"/>
    <cellStyle name="_New initiative 2004 Launch Schedule(for sales)_Wrigley - 05 budget&amp;calendar LE 050824 (25I)_Wrigley - 06 simple chart Sep 14_Category Template AC'11 @Cst Fx 52W vs 53W_Sheet3" xfId="9231"/>
    <cellStyle name="_New initiative 2004 Launch Schedule(for sales)_Wrigley - 05 budget&amp;calendar LE 050824 (25I)_Wrigley - 06 simple chart Sep 14_P&amp;L KFE" xfId="9232"/>
    <cellStyle name="_New initiative 2004 Launch Schedule(for sales)_Wrigley - 05 budget&amp;calendar LE 050824 (25I)_Wrigley - 06 simple chart Sep 14_Sheet3" xfId="9233"/>
    <cellStyle name="_New initiative 2004 Launch Schedule(for sales)_Wrigley - 05 budget&amp;calendar R1 050525 (21I) internal formate June 15" xfId="9234"/>
    <cellStyle name="_New initiative 2004 Launch Schedule(for sales)_Wrigley - 05 budget&amp;calendar R1 050525 (21I) internal formate June 15 2" xfId="9235"/>
    <cellStyle name="_New initiative 2004 Launch Schedule(for sales)_Wrigley - 05 budget&amp;calendar R1 050525 (21I) internal formate June 15_Book5" xfId="9236"/>
    <cellStyle name="_New initiative 2004 Launch Schedule(for sales)_Wrigley - 05 budget&amp;calendar R1 050525 (21I) internal formate June 15_Book5 2" xfId="9237"/>
    <cellStyle name="_New initiative 2004 Launch Schedule(for sales)_Wrigley - 05 budget&amp;calendar R1 050525 (21I) internal formate June 15_Book5_Category Template AC'11 @Cst Fx 52W vs 53W" xfId="9238"/>
    <cellStyle name="_New initiative 2004 Launch Schedule(for sales)_Wrigley - 05 budget&amp;calendar R1 050525 (21I) internal formate June 15_Book5_Category Template AC'11 @Cst Fx 52W vs 53W 2" xfId="9239"/>
    <cellStyle name="_New initiative 2004 Launch Schedule(for sales)_Wrigley - 05 budget&amp;calendar R1 050525 (21I) internal formate June 15_Book5_Category Template AC'11 @Cst Fx 52W vs 53W_P&amp;L KFE" xfId="9240"/>
    <cellStyle name="_New initiative 2004 Launch Schedule(for sales)_Wrigley - 05 budget&amp;calendar R1 050525 (21I) internal formate June 15_Book5_Category Template AC'11 @Cst Fx 52W vs 53W_Sheet3" xfId="9241"/>
    <cellStyle name="_New initiative 2004 Launch Schedule(for sales)_Wrigley - 05 budget&amp;calendar R1 050525 (21I) internal formate June 15_Book5_P&amp;L KFE" xfId="9242"/>
    <cellStyle name="_New initiative 2004 Launch Schedule(for sales)_Wrigley - 05 budget&amp;calendar R1 050525 (21I) internal formate June 15_Book5_Sheet3" xfId="9243"/>
    <cellStyle name="_New initiative 2004 Launch Schedule(for sales)_Wrigley - 05 budget&amp;calendar R1 050525 (21I) internal formate June 15_Category Template AC'11 @Cst Fx 52W vs 53W" xfId="9244"/>
    <cellStyle name="_New initiative 2004 Launch Schedule(for sales)_Wrigley - 05 budget&amp;calendar R1 050525 (21I) internal formate June 15_Category Template AC'11 @Cst Fx 52W vs 53W 2" xfId="9245"/>
    <cellStyle name="_New initiative 2004 Launch Schedule(for sales)_Wrigley - 05 budget&amp;calendar R1 050525 (21I) internal formate June 15_Category Template AC'11 @Cst Fx 52W vs 53W_P&amp;L KFE" xfId="9246"/>
    <cellStyle name="_New initiative 2004 Launch Schedule(for sales)_Wrigley - 05 budget&amp;calendar R1 050525 (21I) internal formate June 15_Category Template AC'11 @Cst Fx 52W vs 53W_Sheet3" xfId="9247"/>
    <cellStyle name="_New initiative 2004 Launch Schedule(for sales)_Wrigley - 05 budget&amp;calendar R1 050525 (21I) internal formate June 15_P&amp;L KFE" xfId="9248"/>
    <cellStyle name="_New initiative 2004 Launch Schedule(for sales)_Wrigley - 05 budget&amp;calendar R1 050525 (21I) internal formate June 15_Sheet3" xfId="9249"/>
    <cellStyle name="_New initiative 2004 Launch Schedule(for sales)_Wrigley - 05 budget&amp;calendar R1 050525 (21I) internal formate June 15_Wrigley - 05 budget&amp;calendar LE 050728 (25I)" xfId="9250"/>
    <cellStyle name="_New initiative 2004 Launch Schedule(for sales)_Wrigley - 05 budget&amp;calendar R1 050525 (21I) internal formate June 15_Wrigley - 05 budget&amp;calendar LE 050728 (25I) 2" xfId="9251"/>
    <cellStyle name="_New initiative 2004 Launch Schedule(for sales)_Wrigley - 05 budget&amp;calendar R1 050525 (21I) internal formate June 15_Wrigley - 05 budget&amp;calendar LE 050728 (25I)_Category Template AC'11 @Cst Fx 52W vs 53W" xfId="9252"/>
    <cellStyle name="_New initiative 2004 Launch Schedule(for sales)_Wrigley - 05 budget&amp;calendar R1 050525 (21I) internal formate June 15_Wrigley - 05 budget&amp;calendar LE 050728 (25I)_Category Template AC'11 @Cst Fx 52W vs 53W 2" xfId="9253"/>
    <cellStyle name="_New initiative 2004 Launch Schedule(for sales)_Wrigley - 05 budget&amp;calendar R1 050525 (21I) internal formate June 15_Wrigley - 05 budget&amp;calendar LE 050728 (25I)_Category Template AC'11 @Cst Fx 52W vs 53W_P&amp;L KFE" xfId="9254"/>
    <cellStyle name="_New initiative 2004 Launch Schedule(for sales)_Wrigley - 05 budget&amp;calendar R1 050525 (21I) internal formate June 15_Wrigley - 05 budget&amp;calendar LE 050728 (25I)_Category Template AC'11 @Cst Fx 52W vs 53W_Sheet3" xfId="9255"/>
    <cellStyle name="_New initiative 2004 Launch Schedule(for sales)_Wrigley - 05 budget&amp;calendar R1 050525 (21I) internal formate June 15_Wrigley - 05 budget&amp;calendar LE 050728 (25I)_P&amp;L KFE" xfId="9256"/>
    <cellStyle name="_New initiative 2004 Launch Schedule(for sales)_Wrigley - 05 budget&amp;calendar R1 050525 (21I) internal formate June 15_Wrigley - 05 budget&amp;calendar LE 050728 (25I)_Sheet3" xfId="9257"/>
    <cellStyle name="_New initiative 2004 Launch Schedule(for sales)_Wrigley - 05 budget&amp;calendar R1 050525 (21I) internal formate June 15_Wrigley - 05 budget&amp;calendar LE 050728 (25I)_Wrigley - 06 simple chart Sep 14" xfId="9258"/>
    <cellStyle name="_New initiative 2004 Launch Schedule(for sales)_Wrigley - 05 budget&amp;calendar R1 050525 (21I) internal formate June 15_Wrigley - 05 budget&amp;calendar LE 050728 (25I)_Wrigley - 06 simple chart Sep 14 2" xfId="9259"/>
    <cellStyle name="_New initiative 2004 Launch Schedule(for sales)_Wrigley - 05 budget&amp;calendar R1 050525 (21I) internal formate June 15_Wrigley - 05 budget&amp;calendar LE 050728 (25I)_Wrigley - 06 simple chart Sep 14_Category Template AC'11 @Cst Fx 52W vs 53W" xfId="9260"/>
    <cellStyle name="_New initiative 2004 Launch Schedule(for sales)_Wrigley - 05 budget&amp;calendar R1 050525 (21I) internal formate June 15_Wrigley - 05 budget&amp;calendar LE 050728 (25I)_Wrigley - 06 simple chart Sep 14_Category Template AC'11 @Cst Fx 52W vs 53W 2" xfId="9261"/>
    <cellStyle name="_New initiative 2004 Launch Schedule(for sales)_Wrigley - 05 budget&amp;calendar R1 050525 (21I) internal formate June 15_Wrigley - 05 budget&amp;calendar LE 050728 (25I)_Wrigley - 06 simple chart Sep 14_Category Template AC'11 @Cst Fx 52W vs 53W_P&amp;L KFE" xfId="9262"/>
    <cellStyle name="_New initiative 2004 Launch Schedule(for sales)_Wrigley - 05 budget&amp;calendar R1 050525 (21I) internal formate June 15_Wrigley - 05 budget&amp;calendar LE 050728 (25I)_Wrigley - 06 simple chart Sep 14_Category Template AC'11 @Cst Fx 52W vs 53W_Sheet3" xfId="9263"/>
    <cellStyle name="_New initiative 2004 Launch Schedule(for sales)_Wrigley - 05 budget&amp;calendar R1 050525 (21I) internal formate June 15_Wrigley - 05 budget&amp;calendar LE 050728 (25I)_Wrigley - 06 simple chart Sep 14_P&amp;L KFE" xfId="9264"/>
    <cellStyle name="_New initiative 2004 Launch Schedule(for sales)_Wrigley - 05 budget&amp;calendar R1 050525 (21I) internal formate June 15_Wrigley - 05 budget&amp;calendar LE 050728 (25I)_Wrigley - 06 simple chart Sep 14_Sheet3" xfId="9265"/>
    <cellStyle name="_New initiative 2004 Launch Schedule(for sales)_Wrigley - 05 budget&amp;calendar R1 050525 (21I) internal formate June 15_Wrigley - 05 budget&amp;calendar LE 050824 (25F)" xfId="9266"/>
    <cellStyle name="_New initiative 2004 Launch Schedule(for sales)_Wrigley - 05 budget&amp;calendar R1 050525 (21I) internal formate June 15_Wrigley - 05 budget&amp;calendar LE 050824 (25F) 2" xfId="9267"/>
    <cellStyle name="_New initiative 2004 Launch Schedule(for sales)_Wrigley - 05 budget&amp;calendar R1 050525 (21I) internal formate June 15_Wrigley - 05 budget&amp;calendar LE 050824 (25F)_Category Template AC'11 @Cst Fx 52W vs 53W" xfId="9268"/>
    <cellStyle name="_New initiative 2004 Launch Schedule(for sales)_Wrigley - 05 budget&amp;calendar R1 050525 (21I) internal formate June 15_Wrigley - 05 budget&amp;calendar LE 050824 (25F)_Category Template AC'11 @Cst Fx 52W vs 53W 2" xfId="9269"/>
    <cellStyle name="_New initiative 2004 Launch Schedule(for sales)_Wrigley - 05 budget&amp;calendar R1 050525 (21I) internal formate June 15_Wrigley - 05 budget&amp;calendar LE 050824 (25F)_Category Template AC'11 @Cst Fx 52W vs 53W_P&amp;L KFE" xfId="9270"/>
    <cellStyle name="_New initiative 2004 Launch Schedule(for sales)_Wrigley - 05 budget&amp;calendar R1 050525 (21I) internal formate June 15_Wrigley - 05 budget&amp;calendar LE 050824 (25F)_Category Template AC'11 @Cst Fx 52W vs 53W_Sheet3" xfId="9271"/>
    <cellStyle name="_New initiative 2004 Launch Schedule(for sales)_Wrigley - 05 budget&amp;calendar R1 050525 (21I) internal formate June 15_Wrigley - 05 budget&amp;calendar LE 050824 (25F)_P&amp;L KFE" xfId="9272"/>
    <cellStyle name="_New initiative 2004 Launch Schedule(for sales)_Wrigley - 05 budget&amp;calendar R1 050525 (21I) internal formate June 15_Wrigley - 05 budget&amp;calendar LE 050824 (25F)_Sheet3" xfId="9273"/>
    <cellStyle name="_New initiative 2004 Launch Schedule(for sales)_Wrigley - 05 budget&amp;calendar R1 050525 (21I) internal formate June 15_Wrigley - 05 budget&amp;calendar LE 050824 (25F)_Wrigley - 06 simple chart Sep 14" xfId="9274"/>
    <cellStyle name="_New initiative 2004 Launch Schedule(for sales)_Wrigley - 05 budget&amp;calendar R1 050525 (21I) internal formate June 15_Wrigley - 05 budget&amp;calendar LE 050824 (25F)_Wrigley - 06 simple chart Sep 14 2" xfId="9275"/>
    <cellStyle name="_New initiative 2004 Launch Schedule(for sales)_Wrigley - 05 budget&amp;calendar R1 050525 (21I) internal formate June 15_Wrigley - 05 budget&amp;calendar LE 050824 (25F)_Wrigley - 06 simple chart Sep 14_Category Template AC'11 @Cst Fx 52W vs 53W" xfId="9276"/>
    <cellStyle name="_New initiative 2004 Launch Schedule(for sales)_Wrigley - 05 budget&amp;calendar R1 050525 (21I) internal formate June 15_Wrigley - 05 budget&amp;calendar LE 050824 (25F)_Wrigley - 06 simple chart Sep 14_Category Template AC'11 @Cst Fx 52W vs 53W 2" xfId="9277"/>
    <cellStyle name="_New initiative 2004 Launch Schedule(for sales)_Wrigley - 05 budget&amp;calendar R1 050525 (21I) internal formate June 15_Wrigley - 05 budget&amp;calendar LE 050824 (25F)_Wrigley - 06 simple chart Sep 14_Category Template AC'11 @Cst Fx 52W vs 53W_P&amp;L KFE" xfId="9278"/>
    <cellStyle name="_New initiative 2004 Launch Schedule(for sales)_Wrigley - 05 budget&amp;calendar R1 050525 (21I) internal formate June 15_Wrigley - 05 budget&amp;calendar LE 050824 (25F)_Wrigley - 06 simple chart Sep 14_Category Template AC'11 @Cst Fx 52W vs 53W_Sheet3" xfId="9279"/>
    <cellStyle name="_New initiative 2004 Launch Schedule(for sales)_Wrigley - 05 budget&amp;calendar R1 050525 (21I) internal formate June 15_Wrigley - 05 budget&amp;calendar LE 050824 (25F)_Wrigley - 06 simple chart Sep 14_P&amp;L KFE" xfId="9280"/>
    <cellStyle name="_New initiative 2004 Launch Schedule(for sales)_Wrigley - 05 budget&amp;calendar R1 050525 (21I) internal formate June 15_Wrigley - 05 budget&amp;calendar LE 050824 (25F)_Wrigley - 06 simple chart Sep 14_Sheet3" xfId="9281"/>
    <cellStyle name="_New initiative 2004 Launch Schedule(for sales)_Wrigley - 05 budget&amp;calendar R1 050525 (21I) internal formate June 15_Wrigley - 05 budget&amp;calendar LE 050824 (25I)" xfId="9282"/>
    <cellStyle name="_New initiative 2004 Launch Schedule(for sales)_Wrigley - 05 budget&amp;calendar R1 050525 (21I) internal formate June 15_Wrigley - 05 budget&amp;calendar LE 050824 (25I) 2" xfId="9283"/>
    <cellStyle name="_New initiative 2004 Launch Schedule(for sales)_Wrigley - 05 budget&amp;calendar R1 050525 (21I) internal formate June 15_Wrigley - 05 budget&amp;calendar LE 050824 (25I)_Category Template AC'11 @Cst Fx 52W vs 53W" xfId="9284"/>
    <cellStyle name="_New initiative 2004 Launch Schedule(for sales)_Wrigley - 05 budget&amp;calendar R1 050525 (21I) internal formate June 15_Wrigley - 05 budget&amp;calendar LE 050824 (25I)_Category Template AC'11 @Cst Fx 52W vs 53W 2" xfId="9285"/>
    <cellStyle name="_New initiative 2004 Launch Schedule(for sales)_Wrigley - 05 budget&amp;calendar R1 050525 (21I) internal formate June 15_Wrigley - 05 budget&amp;calendar LE 050824 (25I)_Category Template AC'11 @Cst Fx 52W vs 53W_P&amp;L KFE" xfId="9286"/>
    <cellStyle name="_New initiative 2004 Launch Schedule(for sales)_Wrigley - 05 budget&amp;calendar R1 050525 (21I) internal formate June 15_Wrigley - 05 budget&amp;calendar LE 050824 (25I)_Category Template AC'11 @Cst Fx 52W vs 53W_Sheet3" xfId="9287"/>
    <cellStyle name="_New initiative 2004 Launch Schedule(for sales)_Wrigley - 05 budget&amp;calendar R1 050525 (21I) internal formate June 15_Wrigley - 05 budget&amp;calendar LE 050824 (25I)_P&amp;L KFE" xfId="9288"/>
    <cellStyle name="_New initiative 2004 Launch Schedule(for sales)_Wrigley - 05 budget&amp;calendar R1 050525 (21I) internal formate June 15_Wrigley - 05 budget&amp;calendar LE 050824 (25I)_Sheet3" xfId="9289"/>
    <cellStyle name="_New initiative 2004 Launch Schedule(for sales)_Wrigley - 05 budget&amp;calendar R1 050525 (21I) internal formate June 15_Wrigley - 05 budget&amp;calendar LE 050824 (25I)_Wrigley - 06 simple chart Sep 14" xfId="9290"/>
    <cellStyle name="_New initiative 2004 Launch Schedule(for sales)_Wrigley - 05 budget&amp;calendar R1 050525 (21I) internal formate June 15_Wrigley - 05 budget&amp;calendar LE 050824 (25I)_Wrigley - 06 simple chart Sep 14 2" xfId="9291"/>
    <cellStyle name="_New initiative 2004 Launch Schedule(for sales)_Wrigley - 05 budget&amp;calendar R1 050525 (21I) internal formate June 15_Wrigley - 05 budget&amp;calendar LE 050824 (25I)_Wrigley - 06 simple chart Sep 14_Category Template AC'11 @Cst Fx 52W vs 53W" xfId="9292"/>
    <cellStyle name="_New initiative 2004 Launch Schedule(for sales)_Wrigley - 05 budget&amp;calendar R1 050525 (21I) internal formate June 15_Wrigley - 05 budget&amp;calendar LE 050824 (25I)_Wrigley - 06 simple chart Sep 14_Category Template AC'11 @Cst Fx 52W vs 53W 2" xfId="9293"/>
    <cellStyle name="_New initiative 2004 Launch Schedule(for sales)_Wrigley - 05 budget&amp;calendar R1 050525 (21I) internal formate June 15_Wrigley - 05 budget&amp;calendar LE 050824 (25I)_Wrigley - 06 simple chart Sep 14_Category Template AC'11 @Cst Fx 52W vs 53W_P&amp;L KFE" xfId="9294"/>
    <cellStyle name="_New initiative 2004 Launch Schedule(for sales)_Wrigley - 05 budget&amp;calendar R1 050525 (21I) internal formate June 15_Wrigley - 05 budget&amp;calendar LE 050824 (25I)_Wrigley - 06 simple chart Sep 14_Category Template AC'11 @Cst Fx 52W vs 53W_Sheet3" xfId="9295"/>
    <cellStyle name="_New initiative 2004 Launch Schedule(for sales)_Wrigley - 05 budget&amp;calendar R1 050525 (21I) internal formate June 15_Wrigley - 05 budget&amp;calendar LE 050824 (25I)_Wrigley - 06 simple chart Sep 14_P&amp;L KFE" xfId="9296"/>
    <cellStyle name="_New initiative 2004 Launch Schedule(for sales)_Wrigley - 05 budget&amp;calendar R1 050525 (21I) internal formate June 15_Wrigley - 05 budget&amp;calendar LE 050824 (25I)_Wrigley - 06 simple chart Sep 14_Sheet3" xfId="9297"/>
    <cellStyle name="_New initiative 2004 Launch Schedule(for sales)_Wrigley - 05 budget&amp;calendar R1 050525 (21I) internal formate June 15_Wrigley - 06 simple chart Sep 14" xfId="9298"/>
    <cellStyle name="_New initiative 2004 Launch Schedule(for sales)_Wrigley - 05 budget&amp;calendar R1 050525 (21I) internal formate June 15_Wrigley - 06 simple chart Sep 14 2" xfId="9299"/>
    <cellStyle name="_New initiative 2004 Launch Schedule(for sales)_Wrigley - 05 budget&amp;calendar R1 050525 (21I) internal formate June 15_Wrigley - 06 simple chart Sep 14_Category Template AC'11 @Cst Fx 52W vs 53W" xfId="9300"/>
    <cellStyle name="_New initiative 2004 Launch Schedule(for sales)_Wrigley - 05 budget&amp;calendar R1 050525 (21I) internal formate June 15_Wrigley - 06 simple chart Sep 14_Category Template AC'11 @Cst Fx 52W vs 53W 2" xfId="9301"/>
    <cellStyle name="_New initiative 2004 Launch Schedule(for sales)_Wrigley - 05 budget&amp;calendar R1 050525 (21I) internal formate June 15_Wrigley - 06 simple chart Sep 14_Category Template AC'11 @Cst Fx 52W vs 53W_P&amp;L KFE" xfId="9302"/>
    <cellStyle name="_New initiative 2004 Launch Schedule(for sales)_Wrigley - 05 budget&amp;calendar R1 050525 (21I) internal formate June 15_Wrigley - 06 simple chart Sep 14_Category Template AC'11 @Cst Fx 52W vs 53W_Sheet3" xfId="9303"/>
    <cellStyle name="_New initiative 2004 Launch Schedule(for sales)_Wrigley - 05 budget&amp;calendar R1 050525 (21I) internal formate June 15_Wrigley - 06 simple chart Sep 14_P&amp;L KFE" xfId="9304"/>
    <cellStyle name="_New initiative 2004 Launch Schedule(for sales)_Wrigley - 05 budget&amp;calendar R1 050525 (21I) internal formate June 15_Wrigley - 06 simple chart Sep 14_Sheet3" xfId="9305"/>
    <cellStyle name="_New initiative 2004 Launch Schedule(for sales)_Wrigley - 06 simple chart Sep 14" xfId="9306"/>
    <cellStyle name="_New initiative 2004 Launch Schedule(for sales)_Wrigley - 06 simple chart Sep 14 2" xfId="9307"/>
    <cellStyle name="_New initiative 2004 Launch Schedule(for sales)_Wrigley - 06 simple chart Sep 14_Category Template AC'11 @Cst Fx 52W vs 53W" xfId="9308"/>
    <cellStyle name="_New initiative 2004 Launch Schedule(for sales)_Wrigley - 06 simple chart Sep 14_Category Template AC'11 @Cst Fx 52W vs 53W 2" xfId="9309"/>
    <cellStyle name="_New initiative 2004 Launch Schedule(for sales)_Wrigley - 06 simple chart Sep 14_Category Template AC'11 @Cst Fx 52W vs 53W_P&amp;L KFE" xfId="9310"/>
    <cellStyle name="_New initiative 2004 Launch Schedule(for sales)_Wrigley - 06 simple chart Sep 14_Category Template AC'11 @Cst Fx 52W vs 53W_Sheet3" xfId="9311"/>
    <cellStyle name="_New initiative 2004 Launch Schedule(for sales)_Wrigley - 06 simple chart Sep 14_P&amp;L KFE" xfId="9312"/>
    <cellStyle name="_New initiative 2004 Launch Schedule(for sales)_Wrigley - 06 simple chart Sep 14_Sheet3" xfId="9313"/>
    <cellStyle name="_New Products with and without PVT v2 YY" xfId="9314"/>
    <cellStyle name="_New Products with and without PVT v2 YY 2" xfId="9315"/>
    <cellStyle name="_New Products with and without PVT v2 YY_Category Template AC'11 @Cst Fx 52W vs 53W" xfId="9316"/>
    <cellStyle name="_New Products with and without PVT v2 YY_Category Template AC'11 @Cst Fx 52W vs 53W 2" xfId="9317"/>
    <cellStyle name="_New Products with and without PVT v2 YY_Category Template AC'11 @Cst Fx 52W vs 53W_P&amp;L KFE" xfId="9318"/>
    <cellStyle name="_New Products with and without PVT v2 YY_Category Template AC'11 @Cst Fx 52W vs 53W_Sheet3" xfId="9319"/>
    <cellStyle name="_New Products with and without PVT v2 YY_P&amp;L KFE" xfId="9320"/>
    <cellStyle name="_New Products with and without PVT v2 YY_Sheet3" xfId="9321"/>
    <cellStyle name="_new_rep_cust_200611" xfId="9322"/>
    <cellStyle name="_new_rep_cust_200611 2" xfId="9323"/>
    <cellStyle name="_Nielsen RFP QA (2)" xfId="9324"/>
    <cellStyle name="_Nielsen_RFP_Data_Working" xfId="9325"/>
    <cellStyle name="_November 04 - Solutions and Delivery Centres Loaded Costs v4.5" xfId="9326"/>
    <cellStyle name="_NP w08`08" xfId="9327"/>
    <cellStyle name="_NP w11`08" xfId="9328"/>
    <cellStyle name="_NPDs (2)" xfId="9329"/>
    <cellStyle name="_NPDs (2) 2" xfId="9330"/>
    <cellStyle name="_OB" xfId="9331"/>
    <cellStyle name="_OB 2008 w JAA-GZ" xfId="9332"/>
    <cellStyle name="_OB 2008 w JAA-GZ 2" xfId="9333"/>
    <cellStyle name="_OB 2008 w JAA-GZ_Category Template AC'11 @Cst Fx 52W vs 53W" xfId="9334"/>
    <cellStyle name="_OB 2008 w JAA-GZ_Category Template AC'11 @Cst Fx 52W vs 53W 2" xfId="9335"/>
    <cellStyle name="_OB 2008 w JAA-GZ_Category Template AC'11 @Cst Fx 52W vs 53W_P&amp;L KFE" xfId="9336"/>
    <cellStyle name="_OB 2008 w JAA-GZ_Category Template AC'11 @Cst Fx 52W vs 53W_Sheet3" xfId="9337"/>
    <cellStyle name="_OB 2008 w JAA-GZ_P&amp;L KFE" xfId="9338"/>
    <cellStyle name="_OB 2008 w JAA-GZ_Sheet3" xfId="9339"/>
    <cellStyle name="_OB 2008 w JAA-PY" xfId="9340"/>
    <cellStyle name="_OB 2008 w JAA-PY 2" xfId="9341"/>
    <cellStyle name="_OB 2008 w JAA-PY_Category Template AC'11 @Cst Fx 52W vs 53W" xfId="9342"/>
    <cellStyle name="_OB 2008 w JAA-PY_Category Template AC'11 @Cst Fx 52W vs 53W 2" xfId="9343"/>
    <cellStyle name="_OB 2008 w JAA-PY_Category Template AC'11 @Cst Fx 52W vs 53W_P&amp;L KFE" xfId="9344"/>
    <cellStyle name="_OB 2008 w JAA-PY_Category Template AC'11 @Cst Fx 52W vs 53W_Sheet3" xfId="9345"/>
    <cellStyle name="_OB 2008 w JAA-PY_P&amp;L KFE" xfId="9346"/>
    <cellStyle name="_OB 2008 w JAA-PY_Sheet3" xfId="9347"/>
    <cellStyle name="_OB 2008 w JAA-SH" xfId="9348"/>
    <cellStyle name="_OB 2008 w JAA-SH 2" xfId="9349"/>
    <cellStyle name="_OB 2008 w JAA-SH_Category Template AC'11 @Cst Fx 52W vs 53W" xfId="9350"/>
    <cellStyle name="_OB 2008 w JAA-SH_Category Template AC'11 @Cst Fx 52W vs 53W 2" xfId="9351"/>
    <cellStyle name="_OB 2008 w JAA-SH_Category Template AC'11 @Cst Fx 52W vs 53W_P&amp;L KFE" xfId="9352"/>
    <cellStyle name="_OB 2008 w JAA-SH_Category Template AC'11 @Cst Fx 52W vs 53W_Sheet3" xfId="9353"/>
    <cellStyle name="_OB 2008 w JAA-SH_P&amp;L KFE" xfId="9354"/>
    <cellStyle name="_OB 2008 w JAA-SH_Sheet3" xfId="9355"/>
    <cellStyle name="_OB subcontracting Price" xfId="9356"/>
    <cellStyle name="_OB subcontracting Price 2" xfId="9357"/>
    <cellStyle name="_OB subcontracting Price_Category Template AC'11 @Cst Fx 52W vs 53W" xfId="9358"/>
    <cellStyle name="_OB subcontracting Price_Category Template AC'11 @Cst Fx 52W vs 53W 2" xfId="9359"/>
    <cellStyle name="_OB subcontracting Price_Category Template AC'11 @Cst Fx 52W vs 53W_P&amp;L KFE" xfId="9360"/>
    <cellStyle name="_OB subcontracting Price_Category Template AC'11 @Cst Fx 52W vs 53W_Sheet3" xfId="9361"/>
    <cellStyle name="_OB subcontracting Price_OB 2008 w JAA-PY" xfId="9362"/>
    <cellStyle name="_OB subcontracting Price_OB 2008 w JAA-PY 2" xfId="9363"/>
    <cellStyle name="_OB subcontracting Price_OB 2008 w JAA-PY_Category Template AC'11 @Cst Fx 52W vs 53W" xfId="9364"/>
    <cellStyle name="_OB subcontracting Price_OB 2008 w JAA-PY_Category Template AC'11 @Cst Fx 52W vs 53W 2" xfId="9365"/>
    <cellStyle name="_OB subcontracting Price_OB 2008 w JAA-PY_Category Template AC'11 @Cst Fx 52W vs 53W_P&amp;L KFE" xfId="9366"/>
    <cellStyle name="_OB subcontracting Price_OB 2008 w JAA-PY_Category Template AC'11 @Cst Fx 52W vs 53W_Sheet3" xfId="9367"/>
    <cellStyle name="_OB subcontracting Price_OB 2008 w JAA-PY_P&amp;L KFE" xfId="9368"/>
    <cellStyle name="_OB subcontracting Price_OB 2008 w JAA-PY_Sheet3" xfId="9369"/>
    <cellStyle name="_OB subcontracting Price_P&amp;L KFE" xfId="9370"/>
    <cellStyle name="_OB subcontracting Price_powerpoint content" xfId="9371"/>
    <cellStyle name="_OB subcontracting Price_powerpoint content 2" xfId="9372"/>
    <cellStyle name="_OB subcontracting Price_powerpoint content_Category Template AC'11 @Cst Fx 52W vs 53W" xfId="9373"/>
    <cellStyle name="_OB subcontracting Price_powerpoint content_Category Template AC'11 @Cst Fx 52W vs 53W 2" xfId="9374"/>
    <cellStyle name="_OB subcontracting Price_powerpoint content_Category Template AC'11 @Cst Fx 52W vs 53W_P&amp;L KFE" xfId="9375"/>
    <cellStyle name="_OB subcontracting Price_powerpoint content_Category Template AC'11 @Cst Fx 52W vs 53W_Sheet3" xfId="9376"/>
    <cellStyle name="_OB subcontracting Price_powerpoint content_P&amp;L KFE" xfId="9377"/>
    <cellStyle name="_OB subcontracting Price_powerpoint content_Sheet3" xfId="9378"/>
    <cellStyle name="_OB subcontracting Price_Sheet3" xfId="9379"/>
    <cellStyle name="_OB07_UB SP by Alex" xfId="9380"/>
    <cellStyle name="_OB07_UB SP by Alex 2" xfId="9381"/>
    <cellStyle name="_OB07_UB SP by Alex 2_P&amp;L KFE" xfId="9382"/>
    <cellStyle name="_OB07_UB SP by Alex 2_Sheet3" xfId="9383"/>
    <cellStyle name="_OB07_UB SP by Alex 3" xfId="9384"/>
    <cellStyle name="_OB07_UB SP by Alex_AC11 conso @Cst Fx after LFL restatement" xfId="9385"/>
    <cellStyle name="_OB07_UB SP by Alex_AC11 conso @Cst Fx after LFL restatement 2" xfId="9386"/>
    <cellStyle name="_OB07_UB SP by Alex_AC11 conso @Cst Fx after LFL restatement_P&amp;L KFE" xfId="9387"/>
    <cellStyle name="_OB07_UB SP by Alex_AC11 conso @Cst Fx after LFL restatement_Sheet3" xfId="9388"/>
    <cellStyle name="_OB07_UB SP by Alex_OI_ADJ" xfId="9389"/>
    <cellStyle name="_OB07_UB SP by Alex_OI_ADJ 2" xfId="9390"/>
    <cellStyle name="_OB07_UB SP by Alex_P&amp;L" xfId="9391"/>
    <cellStyle name="_OB07_UB SP by Alex_P&amp;L_P&amp;L KFE" xfId="9392"/>
    <cellStyle name="_OB07_UB SP by Alex_P&amp;L_Sheet3" xfId="9393"/>
    <cellStyle name="_OB07_UB SP by Alex_Sheet1" xfId="9394"/>
    <cellStyle name="_OB08 Excel Retrieve Template (big)" xfId="9395"/>
    <cellStyle name="_OB08 Ret - Volume block chart" xfId="9396"/>
    <cellStyle name="_OBS Links List as of 6 Aug 2008 v3" xfId="9397"/>
    <cellStyle name="_OC drivers Platform vs. LE" xfId="9398"/>
    <cellStyle name="_Office Options Costs and Savings (7)" xfId="9399"/>
    <cellStyle name="_OPEX Comparison OB.SG vs. 05" xfId="9400"/>
    <cellStyle name="_OPEX Comparison OB.SG vs. 05 2" xfId="9401"/>
    <cellStyle name="_OPEX Comparison OB.SG vs. 05_Category Template AC'11 @Cst Fx 52W vs 53W" xfId="9402"/>
    <cellStyle name="_OPEX Comparison OB.SG vs. 05_Category Template AC'11 @Cst Fx 52W vs 53W 2" xfId="9403"/>
    <cellStyle name="_OPEX Comparison OB.SG vs. 05_Category Template AC'11 @Cst Fx 52W vs 53W_P&amp;L KFE" xfId="9404"/>
    <cellStyle name="_OPEX Comparison OB.SG vs. 05_Category Template AC'11 @Cst Fx 52W vs 53W_Sheet3" xfId="9405"/>
    <cellStyle name="_OPEX Comparison OB.SG vs. 05_P&amp;L KFE" xfId="9406"/>
    <cellStyle name="_OPEX Comparison OB.SG vs. 05_Sheet3" xfId="9407"/>
    <cellStyle name="_Opps &amp; Risk 2008" xfId="9408"/>
    <cellStyle name="_OppsRisksTemplate (MBU 07)" xfId="9409"/>
    <cellStyle name="_OppsRisksTemplate (MBU 07) 10" xfId="9410"/>
    <cellStyle name="_OppsRisksTemplate (MBU 07) 2" xfId="9411"/>
    <cellStyle name="_OppsRisksTemplate (MBU 07) 2 2" xfId="9412"/>
    <cellStyle name="_OppsRisksTemplate (MBU 07) 2 2_P&amp;L KFE" xfId="9413"/>
    <cellStyle name="_OppsRisksTemplate (MBU 07) 2 2_Sheet3" xfId="9414"/>
    <cellStyle name="_OppsRisksTemplate (MBU 07) 2_P&amp;L KFE" xfId="9415"/>
    <cellStyle name="_OppsRisksTemplate (MBU 07) 2_Sheet3" xfId="9416"/>
    <cellStyle name="_OppsRisksTemplate (MBU 07) 3" xfId="9417"/>
    <cellStyle name="_OppsRisksTemplate (MBU 07) 3_P&amp;L KFE" xfId="9418"/>
    <cellStyle name="_OppsRisksTemplate (MBU 07) 3_Sheet3" xfId="9419"/>
    <cellStyle name="_OppsRisksTemplate (MBU 07) 4" xfId="9420"/>
    <cellStyle name="_OppsRisksTemplate (MBU 07) 5" xfId="9421"/>
    <cellStyle name="_OppsRisksTemplate (MBU 07) 6" xfId="9422"/>
    <cellStyle name="_OppsRisksTemplate (MBU 07) 7" xfId="9423"/>
    <cellStyle name="_OppsRisksTemplate (MBU 07) 8" xfId="9424"/>
    <cellStyle name="_OppsRisksTemplate (MBU 07) 9" xfId="9425"/>
    <cellStyle name="_OppsRisksTemplate (MBU 07)_2011 Targets by category Aug 25" xfId="9426"/>
    <cellStyle name="_OppsRisksTemplate (MBU 07)_AC11 conso @Cst Fx" xfId="9427"/>
    <cellStyle name="_OppsRisksTemplate (MBU 07)_AC11 conso @Cst Fx 2" xfId="9428"/>
    <cellStyle name="_OppsRisksTemplate (MBU 07)_AC11 conso @Cst Fx after LFL restatement" xfId="9429"/>
    <cellStyle name="_OppsRisksTemplate (MBU 07)_AC11 conso @Cst Fx after LFL restatement 2" xfId="9430"/>
    <cellStyle name="_OppsRisksTemplate (MBU 07)_AC11 conso @Cst Fx after LFL restatement_P&amp;L KFE" xfId="9431"/>
    <cellStyle name="_OppsRisksTemplate (MBU 07)_AC11 conso @Cst Fx after LFL restatement_Sheet3" xfId="9432"/>
    <cellStyle name="_OppsRisksTemplate (MBU 07)_AC11 conso @Cst Fx_P&amp;L KFE" xfId="9433"/>
    <cellStyle name="_OppsRisksTemplate (MBU 07)_AC11 conso @Cst Fx_Sheet3" xfId="9434"/>
    <cellStyle name="_OppsRisksTemplate (MBU 07)_ASO P10, Q4  S38 27-09 bis" xfId="9435"/>
    <cellStyle name="_OppsRisksTemplate (MBU 07)_Category PnL" xfId="9436"/>
    <cellStyle name="_OppsRisksTemplate (MBU 07)_Category PnL 2" xfId="9437"/>
    <cellStyle name="_OppsRisksTemplate (MBU 07)_Category PnL_P&amp;L KFE" xfId="9438"/>
    <cellStyle name="_OppsRisksTemplate (MBU 07)_Category PnL_Sheet3" xfId="9439"/>
    <cellStyle name="_OppsRisksTemplate (MBU 07)_Category Targets 2011_1.2" xfId="9440"/>
    <cellStyle name="_OppsRisksTemplate (MBU 07)_Category Template_Actuals" xfId="9441"/>
    <cellStyle name="_OppsRisksTemplate (MBU 07)_Category Template_Actuals 2" xfId="9442"/>
    <cellStyle name="_OppsRisksTemplate (MBU 07)_Category Template_Actuals NEW" xfId="9443"/>
    <cellStyle name="_OppsRisksTemplate (MBU 07)_Category Template_Actuals NEW 2" xfId="9444"/>
    <cellStyle name="_OppsRisksTemplate (MBU 07)_Category Template_Actuals NEW_Biscuits Actual Results P01" xfId="9445"/>
    <cellStyle name="_OppsRisksTemplate (MBU 07)_Category Template_Actuals NEW_Biscuits Actual Results P01 2" xfId="9446"/>
    <cellStyle name="_OppsRisksTemplate (MBU 07)_Category Template_Actuals NEW_Biscuits Actual Results P01_Category Template_Actuals" xfId="9447"/>
    <cellStyle name="_OppsRisksTemplate (MBU 07)_Category Template_Actuals NEW_Biscuits Actual Results P01_Category Template_Actuals 2" xfId="9448"/>
    <cellStyle name="_OppsRisksTemplate (MBU 07)_Category Template_Actuals NEW_Biscuits Actual Results P01_Category Template_Actuals_Biscuits Actual Results P02" xfId="9449"/>
    <cellStyle name="_OppsRisksTemplate (MBU 07)_Category Template_Actuals NEW_Biscuits Actual Results P01_Category Template_Actuals_Biscuits Actual Results P02 2" xfId="9450"/>
    <cellStyle name="_OppsRisksTemplate (MBU 07)_Category Template_Actuals NEW_Biscuits Actual Results P01_Category Template_Actuals_Biscuits Actual Results P02_Category Template_Actuals" xfId="9451"/>
    <cellStyle name="_OppsRisksTemplate (MBU 07)_Category Template_Actuals NEW_Biscuits Actual Results P01_Category Template_Actuals_Biscuits Actual Results P02_Category Template_Actuals_Biscuits Actual Results P04" xfId="9452"/>
    <cellStyle name="_OppsRisksTemplate (MBU 07)_Category Template_Actuals NEW_Biscuits Actual Results P01_Category Template_Actuals_Biscuits Actual Results P02_Category Template_Actuals_P&amp;L P06 AFH AC US" xfId="9453"/>
    <cellStyle name="_OppsRisksTemplate (MBU 07)_Category Template_Actuals NEW_Biscuits Actual Results P01_Category Template_Actuals_Biscuits Actual Results P02_P&amp;L" xfId="9454"/>
    <cellStyle name="_OppsRisksTemplate (MBU 07)_Category Template_Actuals NEW_Biscuits Actual Results P01_Category Template_Actuals_Biscuits Actual Results P02_P&amp;L_P&amp;L KFE" xfId="9455"/>
    <cellStyle name="_OppsRisksTemplate (MBU 07)_Category Template_Actuals NEW_Biscuits Actual Results P01_Category Template_Actuals_Biscuits Actual Results P02_P&amp;L_Sheet3" xfId="9456"/>
    <cellStyle name="_OppsRisksTemplate (MBU 07)_Category Template_Actuals NEW_Biscuits Actual Results P01_Category Template_Actuals_Biscuits Actual Results P02_VRAN YTD" xfId="9457"/>
    <cellStyle name="_OppsRisksTemplate (MBU 07)_Category Template_Actuals NEW_Biscuits Actual Results P01_Category Template_Actuals_Biscuits Actual Results P04" xfId="9458"/>
    <cellStyle name="_OppsRisksTemplate (MBU 07)_Category Template_Actuals NEW_Biscuits Actual Results P01_Category Template_Actuals_P&amp;L" xfId="9459"/>
    <cellStyle name="_OppsRisksTemplate (MBU 07)_Category Template_Actuals NEW_Biscuits Actual Results P01_Category Template_Actuals_P&amp;L P06 AFH AC US" xfId="9460"/>
    <cellStyle name="_OppsRisksTemplate (MBU 07)_Category Template_Actuals NEW_Biscuits Actual Results P01_Category Template_Actuals_P&amp;L_P&amp;L KFE" xfId="9461"/>
    <cellStyle name="_OppsRisksTemplate (MBU 07)_Category Template_Actuals NEW_Biscuits Actual Results P01_Category Template_Actuals_P&amp;L_Sheet3" xfId="9462"/>
    <cellStyle name="_OppsRisksTemplate (MBU 07)_Category Template_Actuals NEW_Biscuits Actual Results P01_P&amp;L" xfId="9463"/>
    <cellStyle name="_OppsRisksTemplate (MBU 07)_Category Template_Actuals NEW_Biscuits Actual Results P01_P&amp;L_P&amp;L KFE" xfId="9464"/>
    <cellStyle name="_OppsRisksTemplate (MBU 07)_Category Template_Actuals NEW_Biscuits Actual Results P01_P&amp;L_Sheet3" xfId="9465"/>
    <cellStyle name="_OppsRisksTemplate (MBU 07)_Category Template_Actuals NEW_Biscuits Actual Results P01_VRAN YTD" xfId="9466"/>
    <cellStyle name="_OppsRisksTemplate (MBU 07)_Category Template_Actuals NEW_Biscuits Actual Results P02" xfId="9467"/>
    <cellStyle name="_OppsRisksTemplate (MBU 07)_Category Template_Actuals NEW_Biscuits Actual Results P02 2" xfId="9468"/>
    <cellStyle name="_OppsRisksTemplate (MBU 07)_Category Template_Actuals NEW_Biscuits Actual Results P02_Category Template_Actuals" xfId="9469"/>
    <cellStyle name="_OppsRisksTemplate (MBU 07)_Category Template_Actuals NEW_Biscuits Actual Results P02_Category Template_Actuals_Biscuits Actual Results P04" xfId="9470"/>
    <cellStyle name="_OppsRisksTemplate (MBU 07)_Category Template_Actuals NEW_Biscuits Actual Results P02_Category Template_Actuals_P&amp;L P06 AFH AC US" xfId="9471"/>
    <cellStyle name="_OppsRisksTemplate (MBU 07)_Category Template_Actuals NEW_Biscuits Actual Results P02_P&amp;L" xfId="9472"/>
    <cellStyle name="_OppsRisksTemplate (MBU 07)_Category Template_Actuals NEW_Biscuits Actual Results P02_P&amp;L_P&amp;L KFE" xfId="9473"/>
    <cellStyle name="_OppsRisksTemplate (MBU 07)_Category Template_Actuals NEW_Biscuits Actual Results P02_P&amp;L_Sheet3" xfId="9474"/>
    <cellStyle name="_OppsRisksTemplate (MBU 07)_Category Template_Actuals NEW_Biscuits Actual Results P02_VRAN YTD" xfId="9475"/>
    <cellStyle name="_OppsRisksTemplate (MBU 07)_Category Template_Actuals NEW_Biscuits Actual Results P04" xfId="9476"/>
    <cellStyle name="_OppsRisksTemplate (MBU 07)_Category Template_Actuals NEW_Biscuits Actual Results P1 BIS" xfId="9477"/>
    <cellStyle name="_OppsRisksTemplate (MBU 07)_Category Template_Actuals NEW_Biscuits Actual Results P1 BIS 2" xfId="9478"/>
    <cellStyle name="_OppsRisksTemplate (MBU 07)_Category Template_Actuals NEW_Biscuits Actual Results P1 BIS_Category Template_Actuals" xfId="9479"/>
    <cellStyle name="_OppsRisksTemplate (MBU 07)_Category Template_Actuals NEW_Biscuits Actual Results P1 BIS_Category Template_Actuals_Biscuits Actual Results P04" xfId="9480"/>
    <cellStyle name="_OppsRisksTemplate (MBU 07)_Category Template_Actuals NEW_Biscuits Actual Results P1 BIS_Category Template_Actuals_P&amp;L P06 AFH AC US" xfId="9481"/>
    <cellStyle name="_OppsRisksTemplate (MBU 07)_Category Template_Actuals NEW_Biscuits Actual Results P1 BIS_P&amp;L" xfId="9482"/>
    <cellStyle name="_OppsRisksTemplate (MBU 07)_Category Template_Actuals NEW_Biscuits Actual Results P1 BIS_P&amp;L_P&amp;L KFE" xfId="9483"/>
    <cellStyle name="_OppsRisksTemplate (MBU 07)_Category Template_Actuals NEW_Biscuits Actual Results P1 BIS_P&amp;L_Sheet3" xfId="9484"/>
    <cellStyle name="_OppsRisksTemplate (MBU 07)_Category Template_Actuals NEW_Biscuits Actual Results P1 BIS_VRAN YTD" xfId="9485"/>
    <cellStyle name="_OppsRisksTemplate (MBU 07)_Category Template_Actuals NEW_Biscuits Actual Results P12 161210" xfId="9486"/>
    <cellStyle name="_OppsRisksTemplate (MBU 07)_Category Template_Actuals NEW_Biscuits Actual Results P12 161210 2" xfId="9487"/>
    <cellStyle name="_OppsRisksTemplate (MBU 07)_Category Template_Actuals NEW_Biscuits Actual Results P12 161210_Category Template_Actuals" xfId="9488"/>
    <cellStyle name="_OppsRisksTemplate (MBU 07)_Category Template_Actuals NEW_Biscuits Actual Results P12 161210_Category Template_Actuals 2" xfId="9489"/>
    <cellStyle name="_OppsRisksTemplate (MBU 07)_Category Template_Actuals NEW_Biscuits Actual Results P12 161210_Category Template_Actuals_Biscuits Actual Results P02" xfId="9490"/>
    <cellStyle name="_OppsRisksTemplate (MBU 07)_Category Template_Actuals NEW_Biscuits Actual Results P12 161210_Category Template_Actuals_Biscuits Actual Results P02 2" xfId="9491"/>
    <cellStyle name="_OppsRisksTemplate (MBU 07)_Category Template_Actuals NEW_Biscuits Actual Results P12 161210_Category Template_Actuals_Biscuits Actual Results P02_Category Template_Actuals" xfId="9492"/>
    <cellStyle name="_OppsRisksTemplate (MBU 07)_Category Template_Actuals NEW_Biscuits Actual Results P12 161210_Category Template_Actuals_Biscuits Actual Results P02_Category Template_Actuals_Biscuits Actual Results P04" xfId="9493"/>
    <cellStyle name="_OppsRisksTemplate (MBU 07)_Category Template_Actuals NEW_Biscuits Actual Results P12 161210_Category Template_Actuals_Biscuits Actual Results P02_Category Template_Actuals_P&amp;L P06 AFH AC US" xfId="9494"/>
    <cellStyle name="_OppsRisksTemplate (MBU 07)_Category Template_Actuals NEW_Biscuits Actual Results P12 161210_Category Template_Actuals_Biscuits Actual Results P02_P&amp;L" xfId="9495"/>
    <cellStyle name="_OppsRisksTemplate (MBU 07)_Category Template_Actuals NEW_Biscuits Actual Results P12 161210_Category Template_Actuals_Biscuits Actual Results P02_P&amp;L_P&amp;L KFE" xfId="9496"/>
    <cellStyle name="_OppsRisksTemplate (MBU 07)_Category Template_Actuals NEW_Biscuits Actual Results P12 161210_Category Template_Actuals_Biscuits Actual Results P02_P&amp;L_Sheet3" xfId="9497"/>
    <cellStyle name="_OppsRisksTemplate (MBU 07)_Category Template_Actuals NEW_Biscuits Actual Results P12 161210_Category Template_Actuals_Biscuits Actual Results P02_VRAN YTD" xfId="9498"/>
    <cellStyle name="_OppsRisksTemplate (MBU 07)_Category Template_Actuals NEW_Biscuits Actual Results P12 161210_Category Template_Actuals_Biscuits Actual Results P04" xfId="9499"/>
    <cellStyle name="_OppsRisksTemplate (MBU 07)_Category Template_Actuals NEW_Biscuits Actual Results P12 161210_Category Template_Actuals_P&amp;L" xfId="9500"/>
    <cellStyle name="_OppsRisksTemplate (MBU 07)_Category Template_Actuals NEW_Biscuits Actual Results P12 161210_Category Template_Actuals_P&amp;L P06 AFH AC US" xfId="9501"/>
    <cellStyle name="_OppsRisksTemplate (MBU 07)_Category Template_Actuals NEW_Biscuits Actual Results P12 161210_Category Template_Actuals_P&amp;L_P&amp;L KFE" xfId="9502"/>
    <cellStyle name="_OppsRisksTemplate (MBU 07)_Category Template_Actuals NEW_Biscuits Actual Results P12 161210_Category Template_Actuals_P&amp;L_Sheet3" xfId="9503"/>
    <cellStyle name="_OppsRisksTemplate (MBU 07)_Category Template_Actuals NEW_Biscuits Actual Results P12 161210_P&amp;L" xfId="9504"/>
    <cellStyle name="_OppsRisksTemplate (MBU 07)_Category Template_Actuals NEW_Biscuits Actual Results P12 161210_P&amp;L_P&amp;L KFE" xfId="9505"/>
    <cellStyle name="_OppsRisksTemplate (MBU 07)_Category Template_Actuals NEW_Biscuits Actual Results P12 161210_P&amp;L_Sheet3" xfId="9506"/>
    <cellStyle name="_OppsRisksTemplate (MBU 07)_Category Template_Actuals NEW_Biscuits Actual Results P12 161210_VRAN YTD" xfId="9507"/>
    <cellStyle name="_OppsRisksTemplate (MBU 07)_Category Template_Actuals NEW_P&amp;L" xfId="9508"/>
    <cellStyle name="_OppsRisksTemplate (MBU 07)_Category Template_Actuals NEW_P&amp;L P06 AFH AC US" xfId="9509"/>
    <cellStyle name="_OppsRisksTemplate (MBU 07)_Category Template_Actuals NEW_P&amp;L_P&amp;L KFE" xfId="9510"/>
    <cellStyle name="_OppsRisksTemplate (MBU 07)_Category Template_Actuals NEW_P&amp;L_Sheet3" xfId="9511"/>
    <cellStyle name="_OppsRisksTemplate (MBU 07)_Category Template_Actuals_Biscuits Actual Results P02" xfId="9512"/>
    <cellStyle name="_OppsRisksTemplate (MBU 07)_Category Template_Actuals_Biscuits Actual Results P02 2" xfId="9513"/>
    <cellStyle name="_OppsRisksTemplate (MBU 07)_Category Template_Actuals_Biscuits Actual Results P02_Category Template_Actuals" xfId="9514"/>
    <cellStyle name="_OppsRisksTemplate (MBU 07)_Category Template_Actuals_Biscuits Actual Results P02_Category Template_Actuals_Biscuits Actual Results P04" xfId="9515"/>
    <cellStyle name="_OppsRisksTemplate (MBU 07)_Category Template_Actuals_Biscuits Actual Results P02_Category Template_Actuals_P&amp;L P06 AFH AC US" xfId="9516"/>
    <cellStyle name="_OppsRisksTemplate (MBU 07)_Category Template_Actuals_Biscuits Actual Results P02_P&amp;L" xfId="9517"/>
    <cellStyle name="_OppsRisksTemplate (MBU 07)_Category Template_Actuals_Biscuits Actual Results P02_P&amp;L_P&amp;L KFE" xfId="9518"/>
    <cellStyle name="_OppsRisksTemplate (MBU 07)_Category Template_Actuals_Biscuits Actual Results P02_P&amp;L_Sheet3" xfId="9519"/>
    <cellStyle name="_OppsRisksTemplate (MBU 07)_Category Template_Actuals_Biscuits Actual Results P02_VRAN YTD" xfId="9520"/>
    <cellStyle name="_OppsRisksTemplate (MBU 07)_Category Template_Actuals_Biscuits Actual Results P04" xfId="9521"/>
    <cellStyle name="_OppsRisksTemplate (MBU 07)_Category Template_Actuals_P&amp;L" xfId="9522"/>
    <cellStyle name="_OppsRisksTemplate (MBU 07)_Category Template_Actuals_P&amp;L P06 AFH AC US" xfId="9523"/>
    <cellStyle name="_OppsRisksTemplate (MBU 07)_Category Template_Actuals_P&amp;L_P&amp;L KFE" xfId="9524"/>
    <cellStyle name="_OppsRisksTemplate (MBU 07)_Category Template_Actuals_P&amp;L_Sheet3" xfId="9525"/>
    <cellStyle name="_OppsRisksTemplate (MBU 07)_KFE Category PnL template_Combined_P03 (2)" xfId="9526"/>
    <cellStyle name="_OppsRisksTemplate (MBU 07)_KFE Category PnL template_Combined_P03 (2)_P&amp;L KFE" xfId="9527"/>
    <cellStyle name="_OppsRisksTemplate (MBU 07)_KFE Category PnL template_Combined_P03 (2)_Sheet3" xfId="9528"/>
    <cellStyle name="_OppsRisksTemplate (MBU 07)_KFE Category PnL template_Kraft Legacy (2)" xfId="9529"/>
    <cellStyle name="_OppsRisksTemplate (MBU 07)_KFE Category PnL template_Kraft Legacy (2)_P&amp;L KFE" xfId="9530"/>
    <cellStyle name="_OppsRisksTemplate (MBU 07)_KFE Category PnL template_Kraft Legacy (2)_Sheet3" xfId="9531"/>
    <cellStyle name="_OppsRisksTemplate (MBU 07)_KFE Category PnL template_Kraft Legacy (4)" xfId="9532"/>
    <cellStyle name="_OppsRisksTemplate (MBU 07)_KFE Category PnL template_Kraft Legacy (4)_P&amp;L KFE" xfId="9533"/>
    <cellStyle name="_OppsRisksTemplate (MBU 07)_KFE Category PnL template_Kraft Legacy (4)_Sheet3" xfId="9534"/>
    <cellStyle name="_OppsRisksTemplate (MBU 07)_OI Bridge 0" xfId="9535"/>
    <cellStyle name="_OppsRisksTemplate (MBU 07)_OI Bridge 0_1" xfId="9536"/>
    <cellStyle name="_OppsRisksTemplate (MBU 07)_OI Bridge 1" xfId="9537"/>
    <cellStyle name="_OppsRisksTemplate (MBU 07)_P&amp;L" xfId="9538"/>
    <cellStyle name="_OppsRisksTemplate (MBU 07)_P&amp;L_P&amp;L KFE" xfId="9539"/>
    <cellStyle name="_OppsRisksTemplate (MBU 07)_P&amp;L_Sheet3" xfId="9540"/>
    <cellStyle name="_OppsRisksTemplate (MBU 07)_Scorecard P02" xfId="9541"/>
    <cellStyle name="_OppsRisksTemplate (MBU 07)_Sheet1" xfId="9542"/>
    <cellStyle name="_OppsRisksTemplate (MBU 07)_VRAN YTD" xfId="9543"/>
    <cellStyle name="_OppsRisksTemplate (MBU 07)_VRAN YTD 2" xfId="9544"/>
    <cellStyle name="_OppsRisksTemplate (MBU 07)_VRAN YTD_Biscuits Actual Results P01" xfId="9545"/>
    <cellStyle name="_OppsRisksTemplate (MBU 07)_VRAN YTD_Biscuits Actual Results P01 2" xfId="9546"/>
    <cellStyle name="_OppsRisksTemplate (MBU 07)_VRAN YTD_Biscuits Actual Results P01_Category Template_Actuals" xfId="9547"/>
    <cellStyle name="_OppsRisksTemplate (MBU 07)_VRAN YTD_Biscuits Actual Results P01_Category Template_Actuals 2" xfId="9548"/>
    <cellStyle name="_OppsRisksTemplate (MBU 07)_VRAN YTD_Biscuits Actual Results P01_Category Template_Actuals_Biscuits Actual Results P02" xfId="9549"/>
    <cellStyle name="_OppsRisksTemplate (MBU 07)_VRAN YTD_Biscuits Actual Results P01_Category Template_Actuals_Biscuits Actual Results P02 2" xfId="9550"/>
    <cellStyle name="_OppsRisksTemplate (MBU 07)_VRAN YTD_Biscuits Actual Results P01_Category Template_Actuals_Biscuits Actual Results P02_Category Template_Actuals" xfId="9551"/>
    <cellStyle name="_OppsRisksTemplate (MBU 07)_VRAN YTD_Biscuits Actual Results P01_Category Template_Actuals_Biscuits Actual Results P02_Category Template_Actuals_Biscuits Actual Results P04" xfId="9552"/>
    <cellStyle name="_OppsRisksTemplate (MBU 07)_VRAN YTD_Biscuits Actual Results P01_Category Template_Actuals_Biscuits Actual Results P02_Category Template_Actuals_P&amp;L P06 AFH AC US" xfId="9553"/>
    <cellStyle name="_OppsRisksTemplate (MBU 07)_VRAN YTD_Biscuits Actual Results P01_Category Template_Actuals_Biscuits Actual Results P02_P&amp;L" xfId="9554"/>
    <cellStyle name="_OppsRisksTemplate (MBU 07)_VRAN YTD_Biscuits Actual Results P01_Category Template_Actuals_Biscuits Actual Results P02_P&amp;L_P&amp;L KFE" xfId="9555"/>
    <cellStyle name="_OppsRisksTemplate (MBU 07)_VRAN YTD_Biscuits Actual Results P01_Category Template_Actuals_Biscuits Actual Results P02_P&amp;L_Sheet3" xfId="9556"/>
    <cellStyle name="_OppsRisksTemplate (MBU 07)_VRAN YTD_Biscuits Actual Results P01_Category Template_Actuals_Biscuits Actual Results P02_VRAN YTD" xfId="9557"/>
    <cellStyle name="_OppsRisksTemplate (MBU 07)_VRAN YTD_Biscuits Actual Results P01_Category Template_Actuals_Biscuits Actual Results P04" xfId="9558"/>
    <cellStyle name="_OppsRisksTemplate (MBU 07)_VRAN YTD_Biscuits Actual Results P01_Category Template_Actuals_P&amp;L" xfId="9559"/>
    <cellStyle name="_OppsRisksTemplate (MBU 07)_VRAN YTD_Biscuits Actual Results P01_Category Template_Actuals_P&amp;L P06 AFH AC US" xfId="9560"/>
    <cellStyle name="_OppsRisksTemplate (MBU 07)_VRAN YTD_Biscuits Actual Results P01_Category Template_Actuals_P&amp;L_P&amp;L KFE" xfId="9561"/>
    <cellStyle name="_OppsRisksTemplate (MBU 07)_VRAN YTD_Biscuits Actual Results P01_Category Template_Actuals_P&amp;L_Sheet3" xfId="9562"/>
    <cellStyle name="_OppsRisksTemplate (MBU 07)_VRAN YTD_Biscuits Actual Results P01_P&amp;L" xfId="9563"/>
    <cellStyle name="_OppsRisksTemplate (MBU 07)_VRAN YTD_Biscuits Actual Results P01_P&amp;L_P&amp;L KFE" xfId="9564"/>
    <cellStyle name="_OppsRisksTemplate (MBU 07)_VRAN YTD_Biscuits Actual Results P01_P&amp;L_Sheet3" xfId="9565"/>
    <cellStyle name="_OppsRisksTemplate (MBU 07)_VRAN YTD_Biscuits Actual Results P01_VRAN YTD" xfId="9566"/>
    <cellStyle name="_OppsRisksTemplate (MBU 07)_VRAN YTD_Biscuits Actual Results P02" xfId="9567"/>
    <cellStyle name="_OppsRisksTemplate (MBU 07)_VRAN YTD_Biscuits Actual Results P02 2" xfId="9568"/>
    <cellStyle name="_OppsRisksTemplate (MBU 07)_VRAN YTD_Biscuits Actual Results P02_Category Template_Actuals" xfId="9569"/>
    <cellStyle name="_OppsRisksTemplate (MBU 07)_VRAN YTD_Biscuits Actual Results P02_Category Template_Actuals_Biscuits Actual Results P04" xfId="9570"/>
    <cellStyle name="_OppsRisksTemplate (MBU 07)_VRAN YTD_Biscuits Actual Results P02_Category Template_Actuals_P&amp;L P06 AFH AC US" xfId="9571"/>
    <cellStyle name="_OppsRisksTemplate (MBU 07)_VRAN YTD_Biscuits Actual Results P02_P&amp;L" xfId="9572"/>
    <cellStyle name="_OppsRisksTemplate (MBU 07)_VRAN YTD_Biscuits Actual Results P02_P&amp;L_P&amp;L KFE" xfId="9573"/>
    <cellStyle name="_OppsRisksTemplate (MBU 07)_VRAN YTD_Biscuits Actual Results P02_P&amp;L_Sheet3" xfId="9574"/>
    <cellStyle name="_OppsRisksTemplate (MBU 07)_VRAN YTD_Biscuits Actual Results P02_VRAN YTD" xfId="9575"/>
    <cellStyle name="_OppsRisksTemplate (MBU 07)_VRAN YTD_Biscuits Actual Results P04" xfId="9576"/>
    <cellStyle name="_OppsRisksTemplate (MBU 07)_VRAN YTD_Biscuits Actual Results P1 BIS" xfId="9577"/>
    <cellStyle name="_OppsRisksTemplate (MBU 07)_VRAN YTD_Biscuits Actual Results P1 BIS 2" xfId="9578"/>
    <cellStyle name="_OppsRisksTemplate (MBU 07)_VRAN YTD_Biscuits Actual Results P1 BIS_Category Template_Actuals" xfId="9579"/>
    <cellStyle name="_OppsRisksTemplate (MBU 07)_VRAN YTD_Biscuits Actual Results P1 BIS_Category Template_Actuals_Biscuits Actual Results P04" xfId="9580"/>
    <cellStyle name="_OppsRisksTemplate (MBU 07)_VRAN YTD_Biscuits Actual Results P1 BIS_Category Template_Actuals_P&amp;L P06 AFH AC US" xfId="9581"/>
    <cellStyle name="_OppsRisksTemplate (MBU 07)_VRAN YTD_Biscuits Actual Results P1 BIS_P&amp;L" xfId="9582"/>
    <cellStyle name="_OppsRisksTemplate (MBU 07)_VRAN YTD_Biscuits Actual Results P1 BIS_P&amp;L_P&amp;L KFE" xfId="9583"/>
    <cellStyle name="_OppsRisksTemplate (MBU 07)_VRAN YTD_Biscuits Actual Results P1 BIS_P&amp;L_Sheet3" xfId="9584"/>
    <cellStyle name="_OppsRisksTemplate (MBU 07)_VRAN YTD_Biscuits Actual Results P1 BIS_VRAN YTD" xfId="9585"/>
    <cellStyle name="_OppsRisksTemplate (MBU 07)_VRAN YTD_Biscuits Actual Results P12 161210" xfId="9586"/>
    <cellStyle name="_OppsRisksTemplate (MBU 07)_VRAN YTD_Biscuits Actual Results P12 161210 2" xfId="9587"/>
    <cellStyle name="_OppsRisksTemplate (MBU 07)_VRAN YTD_Biscuits Actual Results P12 161210_Category Template_Actuals" xfId="9588"/>
    <cellStyle name="_OppsRisksTemplate (MBU 07)_VRAN YTD_Biscuits Actual Results P12 161210_Category Template_Actuals 2" xfId="9589"/>
    <cellStyle name="_OppsRisksTemplate (MBU 07)_VRAN YTD_Biscuits Actual Results P12 161210_Category Template_Actuals_Biscuits Actual Results P02" xfId="9590"/>
    <cellStyle name="_OppsRisksTemplate (MBU 07)_VRAN YTD_Biscuits Actual Results P12 161210_Category Template_Actuals_Biscuits Actual Results P02 2" xfId="9591"/>
    <cellStyle name="_OppsRisksTemplate (MBU 07)_VRAN YTD_Biscuits Actual Results P12 161210_Category Template_Actuals_Biscuits Actual Results P02_Category Template_Actuals" xfId="9592"/>
    <cellStyle name="_OppsRisksTemplate (MBU 07)_VRAN YTD_Biscuits Actual Results P12 161210_Category Template_Actuals_Biscuits Actual Results P02_Category Template_Actuals_Biscuits Actual Results P04" xfId="9593"/>
    <cellStyle name="_OppsRisksTemplate (MBU 07)_VRAN YTD_Biscuits Actual Results P12 161210_Category Template_Actuals_Biscuits Actual Results P02_Category Template_Actuals_P&amp;L P06 AFH AC US" xfId="9594"/>
    <cellStyle name="_OppsRisksTemplate (MBU 07)_VRAN YTD_Biscuits Actual Results P12 161210_Category Template_Actuals_Biscuits Actual Results P02_P&amp;L" xfId="9595"/>
    <cellStyle name="_OppsRisksTemplate (MBU 07)_VRAN YTD_Biscuits Actual Results P12 161210_Category Template_Actuals_Biscuits Actual Results P02_P&amp;L_P&amp;L KFE" xfId="9596"/>
    <cellStyle name="_OppsRisksTemplate (MBU 07)_VRAN YTD_Biscuits Actual Results P12 161210_Category Template_Actuals_Biscuits Actual Results P02_P&amp;L_Sheet3" xfId="9597"/>
    <cellStyle name="_OppsRisksTemplate (MBU 07)_VRAN YTD_Biscuits Actual Results P12 161210_Category Template_Actuals_Biscuits Actual Results P02_VRAN YTD" xfId="9598"/>
    <cellStyle name="_OppsRisksTemplate (MBU 07)_VRAN YTD_Biscuits Actual Results P12 161210_Category Template_Actuals_Biscuits Actual Results P04" xfId="9599"/>
    <cellStyle name="_OppsRisksTemplate (MBU 07)_VRAN YTD_Biscuits Actual Results P12 161210_Category Template_Actuals_P&amp;L" xfId="9600"/>
    <cellStyle name="_OppsRisksTemplate (MBU 07)_VRAN YTD_Biscuits Actual Results P12 161210_Category Template_Actuals_P&amp;L P06 AFH AC US" xfId="9601"/>
    <cellStyle name="_OppsRisksTemplate (MBU 07)_VRAN YTD_Biscuits Actual Results P12 161210_Category Template_Actuals_P&amp;L_P&amp;L KFE" xfId="9602"/>
    <cellStyle name="_OppsRisksTemplate (MBU 07)_VRAN YTD_Biscuits Actual Results P12 161210_Category Template_Actuals_P&amp;L_Sheet3" xfId="9603"/>
    <cellStyle name="_OppsRisksTemplate (MBU 07)_VRAN YTD_Biscuits Actual Results P12 161210_P&amp;L" xfId="9604"/>
    <cellStyle name="_OppsRisksTemplate (MBU 07)_VRAN YTD_Biscuits Actual Results P12 161210_P&amp;L_P&amp;L KFE" xfId="9605"/>
    <cellStyle name="_OppsRisksTemplate (MBU 07)_VRAN YTD_Biscuits Actual Results P12 161210_P&amp;L_Sheet3" xfId="9606"/>
    <cellStyle name="_OppsRisksTemplate (MBU 07)_VRAN YTD_Biscuits Actual Results P12 161210_VRAN YTD" xfId="9607"/>
    <cellStyle name="_OppsRisksTemplate (MBU 07)_VRAN YTD_P&amp;L" xfId="9608"/>
    <cellStyle name="_OppsRisksTemplate (MBU 07)_VRAN YTD_P&amp;L P06 AFH AC US" xfId="9609"/>
    <cellStyle name="_OppsRisksTemplate (MBU 07)_VRAN YTD_P&amp;L_P&amp;L KFE" xfId="9610"/>
    <cellStyle name="_OppsRisksTemplate (MBU 07)_VRAN YTD_P&amp;L_Sheet3" xfId="9611"/>
    <cellStyle name="_OppsRisksTemplate (MBU 07)_WP_AC11 P&amp;L LFL 27.10.10" xfId="9612"/>
    <cellStyle name="_Other GA Cv1 2010" xfId="9613"/>
    <cellStyle name="_Other Selling Cv1 2010" xfId="9614"/>
    <cellStyle name="_Overhead Drivers" xfId="9615"/>
    <cellStyle name="_P&amp;L by country ACT10 P1" xfId="9616"/>
    <cellStyle name="_P&amp;L by country ACT10 P1 2" xfId="9617"/>
    <cellStyle name="_P&amp;L Evo % (2)" xfId="9618"/>
    <cellStyle name="_P&amp;L Evo % (2)_100722-KFG-Database Target Push-Down_V1" xfId="9619"/>
    <cellStyle name="_P&amp;L Evo % (2)_AC'11 Orbis Upload_140910" xfId="9620"/>
    <cellStyle name="_P&amp;L Evo % (2)_Area Target Setting Input_270810" xfId="9621"/>
    <cellStyle name="_P&amp;L Evo % (2)_Biscuits CBY Synergies_sent (2)" xfId="9622"/>
    <cellStyle name="_P&amp;L Evo (2)" xfId="9623"/>
    <cellStyle name="_P&amp;L Evo (2)_100722-KFG-Database Target Push-Down_V1" xfId="9624"/>
    <cellStyle name="_P&amp;L Evo (2)_AC'11 Orbis Upload_140910" xfId="9625"/>
    <cellStyle name="_P&amp;L Evo (2)_Area Target Setting Input_270810" xfId="9626"/>
    <cellStyle name="_P&amp;L Evo (2)_Biscuits CBY Synergies_sent (2)" xfId="9627"/>
    <cellStyle name="_P&amp;L HFM" xfId="9628"/>
    <cellStyle name="_P&amp;L Scenarios_Spain Biscuits_AOP11_5_Belvita GP" xfId="9629"/>
    <cellStyle name="_P&amp;L Scenarios_Spain Biscuits_AOP11_5_Belvita GP 2" xfId="9630"/>
    <cellStyle name="_P&amp;L Scenarios_Spain Biscuits_AOP11_5_Belvita GP_P&amp;L KFE" xfId="9631"/>
    <cellStyle name="_P&amp;L Scenarios_Spain Biscuits_AOP11_5_Belvita GP_Sheet1" xfId="9632"/>
    <cellStyle name="_P&amp;L Scenarios_Spain Biscuits_AOP11_5_Belvita GP_Sheet3" xfId="9633"/>
    <cellStyle name="_P06-08 Month End+MU Summary P6W2" xfId="9634"/>
    <cellStyle name="_P06-09 Month End+MU Summary W2 09-06-01v1" xfId="9635"/>
    <cellStyle name="_P10 Project UOP report" xfId="9636"/>
    <cellStyle name="_P11'07 Ops flash Vs LE'07 v2" xfId="9637"/>
    <cellStyle name="_P11'07 Ops flash Vs LE'07 v2_100722-KFG-Database Target Push-Down_V1" xfId="9638"/>
    <cellStyle name="_P11'07 Ops flash Vs LE'07 v2_AC'11 Orbis Upload_140910" xfId="9639"/>
    <cellStyle name="_P11'07 Ops flash Vs LE'07 v2_Area Target Setting Input_270810" xfId="9640"/>
    <cellStyle name="_P11'07 Ops flash Vs LE'07 v2_Biscuits CBY Synergies_sent (2)" xfId="9641"/>
    <cellStyle name="_P1E _ SP On going costs V4" xfId="9642"/>
    <cellStyle name="_P1E 2009-7 Results" xfId="9643"/>
    <cellStyle name="_P1E accruals for DC" xfId="9644"/>
    <cellStyle name="_P1E AP vs SP 09" xfId="9645"/>
    <cellStyle name="_P1E AP vs SP 09 2" xfId="9646"/>
    <cellStyle name="_P1E AP vs SP 09 2_P&amp;L KFE" xfId="9647"/>
    <cellStyle name="_P1E AP vs SP 09 2_Sheet3" xfId="9648"/>
    <cellStyle name="_P1E AP vs SP 09_P&amp;L KFE" xfId="9649"/>
    <cellStyle name="_P1E AP vs SP 09_Sheet3" xfId="9650"/>
    <cellStyle name="_P1E Budget - April 09 Big Bang to AB" xfId="9651"/>
    <cellStyle name="_P1E Budget - SMU3_AOP'10" xfId="9652"/>
    <cellStyle name="_P1E Budget -AOP'10-v1" xfId="9653"/>
    <cellStyle name="_P1E Strategic reserve request Dec 07" xfId="9654"/>
    <cellStyle name="_P1E Strategic reserve request Dec 07 2" xfId="9655"/>
    <cellStyle name="_P1E Strategic reserve request Dec 07 2_P&amp;L KFE" xfId="9656"/>
    <cellStyle name="_P1E Strategic reserve request Dec 07 2_Sheet3" xfId="9657"/>
    <cellStyle name="_P1E Strategic reserve request Dec 07_P&amp;L KFE" xfId="9658"/>
    <cellStyle name="_P1E Strategic reserve request Dec 07_Sheet3" xfId="9659"/>
    <cellStyle name="_P2'08 CMC Flash v1 7 02 08" xfId="9660"/>
    <cellStyle name="_P2'08 CMC Flash v1 7 02 08_100722-KFG-Database Target Push-Down_V1" xfId="9661"/>
    <cellStyle name="_P2'08 CMC Flash v1 7 02 08_AC'11 Orbis Upload_140910" xfId="9662"/>
    <cellStyle name="_P2'08 CMC Flash v1 7 02 08_Area Target Setting Input_270810" xfId="9663"/>
    <cellStyle name="_P2'08 CMC Flash v1 7 02 08_Biscuits CBY Synergies_sent (2)" xfId="9664"/>
    <cellStyle name="_Pack budget review 2010" xfId="9665"/>
    <cellStyle name="_Pack budget review 2010 2" xfId="9666"/>
    <cellStyle name="_Pack Check List" xfId="9667"/>
    <cellStyle name="_Pimpop Investment vs  CO-MAN" xfId="9668"/>
    <cellStyle name="_Pimpop Investment vs  CO-MAN 2" xfId="9669"/>
    <cellStyle name="_Pimpop Investment vs  CO-MAN_Category Template AC'11 @Cst Fx 52W vs 53W" xfId="9670"/>
    <cellStyle name="_Pimpop Investment vs  CO-MAN_Category Template AC'11 @Cst Fx 52W vs 53W 2" xfId="9671"/>
    <cellStyle name="_Pimpop Investment vs  CO-MAN_Category Template AC'11 @Cst Fx 52W vs 53W_P&amp;L KFE" xfId="9672"/>
    <cellStyle name="_Pimpop Investment vs  CO-MAN_Category Template AC'11 @Cst Fx 52W vs 53W_Sheet3" xfId="9673"/>
    <cellStyle name="_Pimpop Investment vs  CO-MAN_P&amp;L KFE" xfId="9674"/>
    <cellStyle name="_Pimpop Investment vs  CO-MAN_Sheet3" xfId="9675"/>
    <cellStyle name="_PL_Korona Ltd_08.06.06" xfId="9676"/>
    <cellStyle name="_PL_Korona Ltd_08.06.06_AR_TUC new line_Szekes v10" xfId="9677"/>
    <cellStyle name="_Plantilla Slides presentación cierre CSL" xfId="9678"/>
    <cellStyle name="_Potential task allocation 4" xfId="9679"/>
    <cellStyle name="_Potugal bridge" xfId="9680"/>
    <cellStyle name="_Pour Envoi AOP10 KFEU 07-09-09" xfId="9681"/>
    <cellStyle name="_powerpoint content" xfId="9682"/>
    <cellStyle name="_powerpoint content 2" xfId="9683"/>
    <cellStyle name="_powerpoint content_Category Template AC'11 @Cst Fx 52W vs 53W" xfId="9684"/>
    <cellStyle name="_powerpoint content_Category Template AC'11 @Cst Fx 52W vs 53W 2" xfId="9685"/>
    <cellStyle name="_powerpoint content_Category Template AC'11 @Cst Fx 52W vs 53W_P&amp;L KFE" xfId="9686"/>
    <cellStyle name="_powerpoint content_Category Template AC'11 @Cst Fx 52W vs 53W_Sheet3" xfId="9687"/>
    <cellStyle name="_powerpoint content_P&amp;L KFE" xfId="9688"/>
    <cellStyle name="_powerpoint content_Sheet3" xfId="9689"/>
    <cellStyle name="_PP Masterflow June 15a" xfId="9690"/>
    <cellStyle name="_PP Masterflow June 15a 2" xfId="9691"/>
    <cellStyle name="_PP Masterflow June 15a_Book5" xfId="9692"/>
    <cellStyle name="_PP Masterflow June 15a_Book5 2" xfId="9693"/>
    <cellStyle name="_PP Masterflow June 15a_Book5_Category Template AC'11 @Cst Fx 52W vs 53W" xfId="9694"/>
    <cellStyle name="_PP Masterflow June 15a_Book5_Category Template AC'11 @Cst Fx 52W vs 53W 2" xfId="9695"/>
    <cellStyle name="_PP Masterflow June 15a_Book5_Category Template AC'11 @Cst Fx 52W vs 53W_P&amp;L KFE" xfId="9696"/>
    <cellStyle name="_PP Masterflow June 15a_Book5_Category Template AC'11 @Cst Fx 52W vs 53W_Sheet3" xfId="9697"/>
    <cellStyle name="_PP Masterflow June 15a_Book5_P&amp;L KFE" xfId="9698"/>
    <cellStyle name="_PP Masterflow June 15a_Book5_Sheet3" xfId="9699"/>
    <cellStyle name="_PP Masterflow June 15a_Category Template AC'11 @Cst Fx 52W vs 53W" xfId="9700"/>
    <cellStyle name="_PP Masterflow June 15a_Category Template AC'11 @Cst Fx 52W vs 53W 2" xfId="9701"/>
    <cellStyle name="_PP Masterflow June 15a_Category Template AC'11 @Cst Fx 52W vs 53W_P&amp;L KFE" xfId="9702"/>
    <cellStyle name="_PP Masterflow June 15a_Category Template AC'11 @Cst Fx 52W vs 53W_Sheet3" xfId="9703"/>
    <cellStyle name="_PP Masterflow June 15a_P&amp;L KFE" xfId="9704"/>
    <cellStyle name="_PP Masterflow June 15a_Sheet3" xfId="9705"/>
    <cellStyle name="_PP Masterflow June 15a_Wrigley - 05 budget&amp;calendar LE 050728 (25I)" xfId="9706"/>
    <cellStyle name="_PP Masterflow June 15a_Wrigley - 05 budget&amp;calendar LE 050728 (25I) 2" xfId="9707"/>
    <cellStyle name="_PP Masterflow June 15a_Wrigley - 05 budget&amp;calendar LE 050728 (25I)_Category Template AC'11 @Cst Fx 52W vs 53W" xfId="9708"/>
    <cellStyle name="_PP Masterflow June 15a_Wrigley - 05 budget&amp;calendar LE 050728 (25I)_Category Template AC'11 @Cst Fx 52W vs 53W 2" xfId="9709"/>
    <cellStyle name="_PP Masterflow June 15a_Wrigley - 05 budget&amp;calendar LE 050728 (25I)_Category Template AC'11 @Cst Fx 52W vs 53W_P&amp;L KFE" xfId="9710"/>
    <cellStyle name="_PP Masterflow June 15a_Wrigley - 05 budget&amp;calendar LE 050728 (25I)_Category Template AC'11 @Cst Fx 52W vs 53W_Sheet3" xfId="9711"/>
    <cellStyle name="_PP Masterflow June 15a_Wrigley - 05 budget&amp;calendar LE 050728 (25I)_P&amp;L KFE" xfId="9712"/>
    <cellStyle name="_PP Masterflow June 15a_Wrigley - 05 budget&amp;calendar LE 050728 (25I)_Sheet3" xfId="9713"/>
    <cellStyle name="_PP Masterflow June 15a_Wrigley - 05 budget&amp;calendar LE 050728 (25I)_Wrigley - 06 simple chart Sep 14" xfId="9714"/>
    <cellStyle name="_PP Masterflow June 15a_Wrigley - 05 budget&amp;calendar LE 050728 (25I)_Wrigley - 06 simple chart Sep 14 2" xfId="9715"/>
    <cellStyle name="_PP Masterflow June 15a_Wrigley - 05 budget&amp;calendar LE 050728 (25I)_Wrigley - 06 simple chart Sep 14_Category Template AC'11 @Cst Fx 52W vs 53W" xfId="9716"/>
    <cellStyle name="_PP Masterflow June 15a_Wrigley - 05 budget&amp;calendar LE 050728 (25I)_Wrigley - 06 simple chart Sep 14_Category Template AC'11 @Cst Fx 52W vs 53W 2" xfId="9717"/>
    <cellStyle name="_PP Masterflow June 15a_Wrigley - 05 budget&amp;calendar LE 050728 (25I)_Wrigley - 06 simple chart Sep 14_Category Template AC'11 @Cst Fx 52W vs 53W_P&amp;L KFE" xfId="9718"/>
    <cellStyle name="_PP Masterflow June 15a_Wrigley - 05 budget&amp;calendar LE 050728 (25I)_Wrigley - 06 simple chart Sep 14_Category Template AC'11 @Cst Fx 52W vs 53W_Sheet3" xfId="9719"/>
    <cellStyle name="_PP Masterflow June 15a_Wrigley - 05 budget&amp;calendar LE 050728 (25I)_Wrigley - 06 simple chart Sep 14_P&amp;L KFE" xfId="9720"/>
    <cellStyle name="_PP Masterflow June 15a_Wrigley - 05 budget&amp;calendar LE 050728 (25I)_Wrigley - 06 simple chart Sep 14_Sheet3" xfId="9721"/>
    <cellStyle name="_PP Masterflow June 15a_Wrigley - 05 budget&amp;calendar LE 050824 (25F)" xfId="9722"/>
    <cellStyle name="_PP Masterflow June 15a_Wrigley - 05 budget&amp;calendar LE 050824 (25F) 2" xfId="9723"/>
    <cellStyle name="_PP Masterflow June 15a_Wrigley - 05 budget&amp;calendar LE 050824 (25F)_Category Template AC'11 @Cst Fx 52W vs 53W" xfId="9724"/>
    <cellStyle name="_PP Masterflow June 15a_Wrigley - 05 budget&amp;calendar LE 050824 (25F)_Category Template AC'11 @Cst Fx 52W vs 53W 2" xfId="9725"/>
    <cellStyle name="_PP Masterflow June 15a_Wrigley - 05 budget&amp;calendar LE 050824 (25F)_Category Template AC'11 @Cst Fx 52W vs 53W_P&amp;L KFE" xfId="9726"/>
    <cellStyle name="_PP Masterflow June 15a_Wrigley - 05 budget&amp;calendar LE 050824 (25F)_Category Template AC'11 @Cst Fx 52W vs 53W_Sheet3" xfId="9727"/>
    <cellStyle name="_PP Masterflow June 15a_Wrigley - 05 budget&amp;calendar LE 050824 (25F)_P&amp;L KFE" xfId="9728"/>
    <cellStyle name="_PP Masterflow June 15a_Wrigley - 05 budget&amp;calendar LE 050824 (25F)_Sheet3" xfId="9729"/>
    <cellStyle name="_PP Masterflow June 15a_Wrigley - 05 budget&amp;calendar LE 050824 (25F)_Wrigley - 06 simple chart Sep 14" xfId="9730"/>
    <cellStyle name="_PP Masterflow June 15a_Wrigley - 05 budget&amp;calendar LE 050824 (25F)_Wrigley - 06 simple chart Sep 14 2" xfId="9731"/>
    <cellStyle name="_PP Masterflow June 15a_Wrigley - 05 budget&amp;calendar LE 050824 (25F)_Wrigley - 06 simple chart Sep 14_Category Template AC'11 @Cst Fx 52W vs 53W" xfId="9732"/>
    <cellStyle name="_PP Masterflow June 15a_Wrigley - 05 budget&amp;calendar LE 050824 (25F)_Wrigley - 06 simple chart Sep 14_Category Template AC'11 @Cst Fx 52W vs 53W 2" xfId="9733"/>
    <cellStyle name="_PP Masterflow June 15a_Wrigley - 05 budget&amp;calendar LE 050824 (25F)_Wrigley - 06 simple chart Sep 14_Category Template AC'11 @Cst Fx 52W vs 53W_P&amp;L KFE" xfId="9734"/>
    <cellStyle name="_PP Masterflow June 15a_Wrigley - 05 budget&amp;calendar LE 050824 (25F)_Wrigley - 06 simple chart Sep 14_Category Template AC'11 @Cst Fx 52W vs 53W_Sheet3" xfId="9735"/>
    <cellStyle name="_PP Masterflow June 15a_Wrigley - 05 budget&amp;calendar LE 050824 (25F)_Wrigley - 06 simple chart Sep 14_P&amp;L KFE" xfId="9736"/>
    <cellStyle name="_PP Masterflow June 15a_Wrigley - 05 budget&amp;calendar LE 050824 (25F)_Wrigley - 06 simple chart Sep 14_Sheet3" xfId="9737"/>
    <cellStyle name="_PP Masterflow June 15a_Wrigley - 05 budget&amp;calendar LE 050824 (25I)" xfId="9738"/>
    <cellStyle name="_PP Masterflow June 15a_Wrigley - 05 budget&amp;calendar LE 050824 (25I) 2" xfId="9739"/>
    <cellStyle name="_PP Masterflow June 15a_Wrigley - 05 budget&amp;calendar LE 050824 (25I)_Category Template AC'11 @Cst Fx 52W vs 53W" xfId="9740"/>
    <cellStyle name="_PP Masterflow June 15a_Wrigley - 05 budget&amp;calendar LE 050824 (25I)_Category Template AC'11 @Cst Fx 52W vs 53W 2" xfId="9741"/>
    <cellStyle name="_PP Masterflow June 15a_Wrigley - 05 budget&amp;calendar LE 050824 (25I)_Category Template AC'11 @Cst Fx 52W vs 53W_P&amp;L KFE" xfId="9742"/>
    <cellStyle name="_PP Masterflow June 15a_Wrigley - 05 budget&amp;calendar LE 050824 (25I)_Category Template AC'11 @Cst Fx 52W vs 53W_Sheet3" xfId="9743"/>
    <cellStyle name="_PP Masterflow June 15a_Wrigley - 05 budget&amp;calendar LE 050824 (25I)_P&amp;L KFE" xfId="9744"/>
    <cellStyle name="_PP Masterflow June 15a_Wrigley - 05 budget&amp;calendar LE 050824 (25I)_Sheet3" xfId="9745"/>
    <cellStyle name="_PP Masterflow June 15a_Wrigley - 05 budget&amp;calendar LE 050824 (25I)_Wrigley - 06 simple chart Sep 14" xfId="9746"/>
    <cellStyle name="_PP Masterflow June 15a_Wrigley - 05 budget&amp;calendar LE 050824 (25I)_Wrigley - 06 simple chart Sep 14 2" xfId="9747"/>
    <cellStyle name="_PP Masterflow June 15a_Wrigley - 05 budget&amp;calendar LE 050824 (25I)_Wrigley - 06 simple chart Sep 14_Category Template AC'11 @Cst Fx 52W vs 53W" xfId="9748"/>
    <cellStyle name="_PP Masterflow June 15a_Wrigley - 05 budget&amp;calendar LE 050824 (25I)_Wrigley - 06 simple chart Sep 14_Category Template AC'11 @Cst Fx 52W vs 53W 2" xfId="9749"/>
    <cellStyle name="_PP Masterflow June 15a_Wrigley - 05 budget&amp;calendar LE 050824 (25I)_Wrigley - 06 simple chart Sep 14_Category Template AC'11 @Cst Fx 52W vs 53W_P&amp;L KFE" xfId="9750"/>
    <cellStyle name="_PP Masterflow June 15a_Wrigley - 05 budget&amp;calendar LE 050824 (25I)_Wrigley - 06 simple chart Sep 14_Category Template AC'11 @Cst Fx 52W vs 53W_Sheet3" xfId="9751"/>
    <cellStyle name="_PP Masterflow June 15a_Wrigley - 05 budget&amp;calendar LE 050824 (25I)_Wrigley - 06 simple chart Sep 14_P&amp;L KFE" xfId="9752"/>
    <cellStyle name="_PP Masterflow June 15a_Wrigley - 05 budget&amp;calendar LE 050824 (25I)_Wrigley - 06 simple chart Sep 14_Sheet3" xfId="9753"/>
    <cellStyle name="_PP Masterflow June 15a_Wrigley - 06 simple chart Sep 14" xfId="9754"/>
    <cellStyle name="_PP Masterflow June 15a_Wrigley - 06 simple chart Sep 14 2" xfId="9755"/>
    <cellStyle name="_PP Masterflow June 15a_Wrigley - 06 simple chart Sep 14_Category Template AC'11 @Cst Fx 52W vs 53W" xfId="9756"/>
    <cellStyle name="_PP Masterflow June 15a_Wrigley - 06 simple chart Sep 14_Category Template AC'11 @Cst Fx 52W vs 53W 2" xfId="9757"/>
    <cellStyle name="_PP Masterflow June 15a_Wrigley - 06 simple chart Sep 14_Category Template AC'11 @Cst Fx 52W vs 53W_P&amp;L KFE" xfId="9758"/>
    <cellStyle name="_PP Masterflow June 15a_Wrigley - 06 simple chart Sep 14_Category Template AC'11 @Cst Fx 52W vs 53W_Sheet3" xfId="9759"/>
    <cellStyle name="_PP Masterflow June 15a_Wrigley - 06 simple chart Sep 14_P&amp;L KFE" xfId="9760"/>
    <cellStyle name="_PP Masterflow June 15a_Wrigley - 06 simple chart Sep 14_Sheet3" xfId="9761"/>
    <cellStyle name="_Pre-closing back up_10.2006" xfId="9762"/>
    <cellStyle name="_Pre-closing back up_10.2006 2" xfId="9763"/>
    <cellStyle name="_Préparation réunion Bruno" xfId="9764"/>
    <cellStyle name="_Préparation réunion Deanie XR" xfId="9765"/>
    <cellStyle name="_Préparation réunion KFEU" xfId="9766"/>
    <cellStyle name="_Price Breakout v3 071405" xfId="9767"/>
    <cellStyle name="_Pricing Bridge - Pricing Actions AC 2011 (3)" xfId="9768"/>
    <cellStyle name="_Priority brands and countries" xfId="9769"/>
    <cellStyle name="_Prod Update 06102008" xfId="9770"/>
    <cellStyle name="_Productivity Tracking 2008 Nov Update DM" xfId="9771"/>
    <cellStyle name="_Productivity Tracking 2008 Nov Update DM 2" xfId="9772"/>
    <cellStyle name="_Productivity Tracking 2008 Nov Update DM 2_P&amp;L KFE" xfId="9773"/>
    <cellStyle name="_Productivity Tracking 2008 Nov Update DM 2_Sheet3" xfId="9774"/>
    <cellStyle name="_Productivity Tracking 2008 Nov Update DM_P&amp;L KFE" xfId="9775"/>
    <cellStyle name="_Productivity Tracking 2008 Nov Update DM_Sheet3" xfId="9776"/>
    <cellStyle name="_Productivity Tracking 2009 Feb Update" xfId="9777"/>
    <cellStyle name="_Productivity Tracking 2009 Feb Update 2" xfId="9778"/>
    <cellStyle name="_Productivity Tracking 2009 Feb Update 2_P&amp;L KFE" xfId="9779"/>
    <cellStyle name="_Productivity Tracking 2009 Feb Update 2_Sheet3" xfId="9780"/>
    <cellStyle name="_Productivity Tracking 2009 Feb Update_P&amp;L KFE" xfId="9781"/>
    <cellStyle name="_Productivity Tracking 2009 Feb Update_Sheet3" xfId="9782"/>
    <cellStyle name="_Profitability" xfId="9783"/>
    <cellStyle name="_Profitability 2" xfId="9784"/>
    <cellStyle name="_Profitability December v1" xfId="9785"/>
    <cellStyle name="_Profitability December v1 2" xfId="9786"/>
    <cellStyle name="_Profitability January 2007 v1" xfId="9787"/>
    <cellStyle name="_Profitability January 2007 v1 2" xfId="9788"/>
    <cellStyle name="_Project list P12 06" xfId="9789"/>
    <cellStyle name="_Project list P8 06" xfId="9790"/>
    <cellStyle name="_Proposed ComCu rate summary page 03-03-08" xfId="9791"/>
    <cellStyle name="_Proposed ComCu rate summary page 03-03-08 2" xfId="9792"/>
    <cellStyle name="_Proposed ComCu rate summary page 03-03-08_AC11 bridge Sept30 2010" xfId="9793"/>
    <cellStyle name="_Proposed ComCu rate summary page 03-03-08_ASO P10, Q4  S38 27-09 bis" xfId="9794"/>
    <cellStyle name="_Proposed ComCu rate summary page 03-03-08_Biscuits Top Line Rate Charts" xfId="9795"/>
    <cellStyle name="_Proposed ComCu rate summary page 03-03-08_bridge" xfId="9796"/>
    <cellStyle name="_Proposed ComCu rate summary page 03-03-08_Category Template AC'11 Oct7 Feedback" xfId="9797"/>
    <cellStyle name="_Proposed ComCu rate summary page 03-03-08_Category Template AC'11_sent to countries" xfId="9798"/>
    <cellStyle name="_Proposed ComCu rate summary page 03-03-08_Category Template AC'11_sent to countries ( euro )" xfId="9799"/>
    <cellStyle name="_Proposed ComCu rate summary page 03-03-08_Category Template AC'11_sent to countries ( euro )_after feedback" xfId="9800"/>
    <cellStyle name="_Proposed ComCu rate summary page 03-03-08_Cost bridge" xfId="9801"/>
    <cellStyle name="_Proposed ComCu rate summary page 03-03-08_EVA COGS AC11 vs AugFc_24-09" xfId="9802"/>
    <cellStyle name="_Proposed ComCu rate summary page 03-03-08_Italy Mgmt bridge AC'11 vs Aug Fc" xfId="9803"/>
    <cellStyle name="_Proposed ComCu rate summary page 03-03-08_Mgmt bridge AC'11 vs Aug Fc_Spain" xfId="9804"/>
    <cellStyle name="_Proposed ComCu rate summary page 03-03-08_Mgmt Bridge DAC_O_R_c (2)" xfId="9805"/>
    <cellStyle name="_Proposed ComCu rate summary page 03-03-08_NC Drivers PY Qrt excl Cadbury" xfId="9806"/>
    <cellStyle name="_Proposed ComCu rate summary page 03-03-08_P&amp;L Qrt" xfId="9807"/>
    <cellStyle name="_Proposed ComCu rate summary page 03-03-08_PA" xfId="9808"/>
    <cellStyle name="_Proposed ComCu rate summary page 03-03-08_Pricing Bridge" xfId="9809"/>
    <cellStyle name="_Proposed ComCu rate summary page 03-03-08_Pricing Bridge - Pricing Actions AC 2011 (3)" xfId="9810"/>
    <cellStyle name="_Proposed ComCu rate summary page 03-03-08_Scorecard P02" xfId="9811"/>
    <cellStyle name="_Proposed ComCu rate summary page 03-03-08_Template Aug Fc AOP (3)" xfId="9812"/>
    <cellStyle name="_Proposed ComCu rate summary page 03-03-08_UK - 24Sep Bridge" xfId="9813"/>
    <cellStyle name="_Proposed ComCu rate summary page 03-03-08_YTD vs AOP" xfId="9814"/>
    <cellStyle name="_Proposed ComCu rate summary page 03-03-08_YTD vs AOP 2" xfId="9815"/>
    <cellStyle name="_Proposed ComCu rate summary page 03-03-08_YTD vs AUGFC" xfId="9816"/>
    <cellStyle name="_Proposed ComCu rate summary page 03-03-08_YTD vs AUGFC 2" xfId="9817"/>
    <cellStyle name="_Proposed ComCu rate summary page 03-03-08_YTD vs PY" xfId="9818"/>
    <cellStyle name="_Proposed ComCu rate summary page 03-03-08_YTD vs PY 2" xfId="9819"/>
    <cellStyle name="_Proposed Interco Contact List" xfId="9820"/>
    <cellStyle name="_Proposta aumento Tabela de Preços 01 06 2008 Kraft PT" xfId="9821"/>
    <cellStyle name="_Proposta aumento Tabela de Preços 01 06 2008 Kraft PT 2" xfId="9822"/>
    <cellStyle name="_Proposta aumento Tabela de Preços 01 06 2008 Kraft PT_Opps&amp;Risks" xfId="9823"/>
    <cellStyle name="_Proposta aumento Tabela de Preços 01 06 2008 Kraft PT_Opps&amp;Risks 2" xfId="9824"/>
    <cellStyle name="_Proposta aumento Tabela de Preços 01 06 2008 Kraft PT_P&amp;L KFE" xfId="9825"/>
    <cellStyle name="_Proposta aumento Tabela de Preços 01 06 2008 Kraft PT_Sheet1" xfId="9826"/>
    <cellStyle name="_Proposta aumento Tabela de Preços 01 06 2008 Kraft PT_Sheet3" xfId="9827"/>
    <cellStyle name="_Purchasing Analysis E2 2004 vs B2005_33 mio PNI_ver.5 22.10." xfId="9828"/>
    <cellStyle name="_Purchasing Analysis E2 2004 vs B2005_33 mio PNI_ver.5 22.10. 2" xfId="9829"/>
    <cellStyle name="_Purchasing Analysis E2 2004 vs B2005_33 mio PNI_ver.5 22.10._KFE Severance Masterfile New (10) Update 2010 09_mw_hw" xfId="9830"/>
    <cellStyle name="_Purchasing Analysis E2 2004 vs B2005_33 mio PNI_ver.5 22.10._xyz" xfId="9831"/>
    <cellStyle name="_Purchasing Analysis E2 2004 vs B2005_33 mio PNI_ver.6 8.11." xfId="9832"/>
    <cellStyle name="_Purchasing Analysis E2 2004 vs B2005_33 mio PNI_ver.6 8.11. 2" xfId="9833"/>
    <cellStyle name="_Purchasing Analysis E2 2004 vs B2005_comleted" xfId="9834"/>
    <cellStyle name="_Purchasing Analysis E2 2004 vs B2005_comleted 2" xfId="9835"/>
    <cellStyle name="_Purchasing Analysis E2 2004 vs B2005_comleted ver.2ok" xfId="9836"/>
    <cellStyle name="_Purchasing Analysis E2 2004 vs B2005_comleted ver.2ok 2" xfId="9837"/>
    <cellStyle name="_Purchasing Analysis E2 2004 vs B2005_comleted ver.2ok_xyz" xfId="9838"/>
    <cellStyle name="_Purchasing Analysis E2 2004 vs B2005_comleted_xyz" xfId="9839"/>
    <cellStyle name="_Q1 IBR summary v1" xfId="9840"/>
    <cellStyle name="_Q1 IBR summary v1 2" xfId="9841"/>
    <cellStyle name="_Q1 IBR summary v1 2_P&amp;L KFE" xfId="9842"/>
    <cellStyle name="_Q1 IBR summary v1 2_Sheet3" xfId="9843"/>
    <cellStyle name="_Q1 IBR summary v1 3" xfId="9844"/>
    <cellStyle name="_Q1 IBR summary v1_Opps&amp;Risks" xfId="9845"/>
    <cellStyle name="_Q1 IBR summary v1_Opps&amp;Risks 2" xfId="9846"/>
    <cellStyle name="_Q1 IBR summary v1_P&amp;L KFE" xfId="9847"/>
    <cellStyle name="_Q1 IBR summary v1_Sheet3" xfId="9848"/>
    <cellStyle name="_Q1 template 9 de noviembre nuevo OB-2" xfId="9849"/>
    <cellStyle name="_R&amp;Opps Bisc 2009 for MU3 March" xfId="9850"/>
    <cellStyle name="_R&amp;Opps Bisc 2009 for MU3 March 2" xfId="9851"/>
    <cellStyle name="_R&amp;Opps Bisc 2009 for MU3 March_2011 Targets by category Aug 25" xfId="9852"/>
    <cellStyle name="_R&amp;Opps Bisc 2009 for MU3 March_Category PnL Template_140910" xfId="9853"/>
    <cellStyle name="_R&amp;Opps Bisc 2009 for MU3 March_Category PnL Template_140910 2" xfId="9854"/>
    <cellStyle name="_R&amp;Opps Bisc 2009 for MU3 March_Category PnL Template_140910_Biscuits Actual Results P01" xfId="9855"/>
    <cellStyle name="_R&amp;Opps Bisc 2009 for MU3 March_Category PnL Template_140910_Biscuits Actual Results P01 2" xfId="9856"/>
    <cellStyle name="_R&amp;Opps Bisc 2009 for MU3 March_Category PnL Template_140910_Biscuits Actual Results P02" xfId="9857"/>
    <cellStyle name="_R&amp;Opps Bisc 2009 for MU3 March_Category PnL Template_140910_Biscuits Actual Results P02 2" xfId="9858"/>
    <cellStyle name="_R&amp;Opps Bisc 2009 for MU3 March_Category PnL Template_140910_Biscuits Actual Results P04" xfId="9859"/>
    <cellStyle name="_R&amp;Opps Bisc 2009 for MU3 March_Category PnL Template_140910_Biscuits Actual Results P1 BIS" xfId="9860"/>
    <cellStyle name="_R&amp;Opps Bisc 2009 for MU3 March_Category PnL Template_140910_Biscuits Actual Results P1 BIS 2" xfId="9861"/>
    <cellStyle name="_R&amp;Opps Bisc 2009 for MU3 March_Category PnL Template_140910_Biscuits Actual Results P10" xfId="9862"/>
    <cellStyle name="_R&amp;Opps Bisc 2009 for MU3 March_Category PnL Template_140910_Biscuits Actual Results P10 2" xfId="9863"/>
    <cellStyle name="_R&amp;Opps Bisc 2009 for MU3 March_Category PnL Template_140910_Biscuits Actual Results P11" xfId="9864"/>
    <cellStyle name="_R&amp;Opps Bisc 2009 for MU3 March_Category PnL Template_140910_Biscuits Actual Results P11 2" xfId="9865"/>
    <cellStyle name="_R&amp;Opps Bisc 2009 for MU3 March_Category PnL Template_140910_Biscuits Actual Results P12" xfId="9866"/>
    <cellStyle name="_R&amp;Opps Bisc 2009 for MU3 March_Category PnL Template_140910_Biscuits Actual Results P12 161210" xfId="9867"/>
    <cellStyle name="_R&amp;Opps Bisc 2009 for MU3 March_Category PnL Template_140910_Biscuits Actual Results P12 161210 2" xfId="9868"/>
    <cellStyle name="_R&amp;Opps Bisc 2009 for MU3 March_Category PnL Template_140910_Biscuits Actual Results P12 2" xfId="9869"/>
    <cellStyle name="_R&amp;Opps Bisc 2009 for MU3 March_Category PnL Template_140910_Biscuits Actual Results P12 Conso T2" xfId="9870"/>
    <cellStyle name="_R&amp;Opps Bisc 2009 for MU3 March_Category PnL Template_140910_Biscuits Actual Results P12 Conso T2 2" xfId="9871"/>
    <cellStyle name="_R&amp;Opps Bisc 2009 for MU3 March_Category PnL Template_140910_Category Template_Actuals" xfId="9872"/>
    <cellStyle name="_R&amp;Opps Bisc 2009 for MU3 March_Category PnL Template_140910_Category Template_Actuals 2" xfId="9873"/>
    <cellStyle name="_R&amp;Opps Bisc 2009 for MU3 March_Category PnL Template_140910_Category Template_Actuals NEW" xfId="9874"/>
    <cellStyle name="_R&amp;Opps Bisc 2009 for MU3 March_Category PnL Template_140910_Category Template_Actuals NEW 2" xfId="9875"/>
    <cellStyle name="_R&amp;Opps Bisc 2009 for MU3 March_Category PnL Template_140910_P&amp;L P06 AFH AC US" xfId="9876"/>
    <cellStyle name="_R&amp;Opps Bisc 2009 for MU3 March_Category PnL Template_140910_VRAN YTD" xfId="9877"/>
    <cellStyle name="_R&amp;Opps Bisc 2009 for MU3 March_Category PnL Template_140910_VRAN YTD 2" xfId="9878"/>
    <cellStyle name="_R&amp;Opps Bisc 2009 for MU3 March_Category PnL Template_201010 (4)" xfId="9879"/>
    <cellStyle name="_R&amp;Opps Bisc 2009 for MU3 March_Category PnL Template_201010 (4) 2" xfId="9880"/>
    <cellStyle name="_R&amp;Opps Bisc 2009 for MU3 March_Category PnL Template_201010 (4)_Biscuits Actual Results P02" xfId="9881"/>
    <cellStyle name="_R&amp;Opps Bisc 2009 for MU3 March_Category PnL Template_201010 (4)_Biscuits Actual Results P02 2" xfId="9882"/>
    <cellStyle name="_R&amp;Opps Bisc 2009 for MU3 March_Category PnL Template_201010 (4)_Biscuits Actual Results P02_P&amp;L KFE" xfId="9883"/>
    <cellStyle name="_R&amp;Opps Bisc 2009 for MU3 March_Category PnL Template_201010 (4)_Biscuits Actual Results P02_Sheet3" xfId="9884"/>
    <cellStyle name="_R&amp;Opps Bisc 2009 for MU3 March_Category PnL Template_201010 (4)_NC Drivers P10 T1" xfId="9885"/>
    <cellStyle name="_R&amp;Opps Bisc 2009 for MU3 March_Category PnL Template_201010 (4)_NC Drivers P10 T1 2" xfId="9886"/>
    <cellStyle name="_R&amp;Opps Bisc 2009 for MU3 March_Category PnL Template_201010 (4)_NC Drivers P10 T1_O&amp;R Nov Fc conso" xfId="9887"/>
    <cellStyle name="_R&amp;Opps Bisc 2009 for MU3 March_Category PnL Template_201010 (4)_NC Drivers P10 T1_O&amp;R Nov Fc conso 2" xfId="9888"/>
    <cellStyle name="_R&amp;Opps Bisc 2009 for MU3 March_Category PnL Template_201010 (4)_O&amp;R Nov Fc conso" xfId="9889"/>
    <cellStyle name="_R&amp;Opps Bisc 2009 for MU3 March_Category PnL Template_201010 (4)_O&amp;R Nov Fc conso 2" xfId="9890"/>
    <cellStyle name="_R&amp;Opps Bisc 2009 for MU3 March_Category Targets 2011_1.2" xfId="9891"/>
    <cellStyle name="_R&amp;Opps Bisc 2009 for MU3 March_Category Template AC'11 Oct7 Feedback" xfId="9892"/>
    <cellStyle name="_R&amp;Opps Bisc 2009 for MU3 March_Category Template AC'11_sent to countries" xfId="9893"/>
    <cellStyle name="_R&amp;Opps Bisc 2009 for MU3 March_Category Template AC'11_sent to countries ( euro )_after feedback" xfId="9894"/>
    <cellStyle name="_R&amp;Opps Bisc 2009 for MU3 March_Pricing Bridge - Pricing Actions AC 2011 (3)" xfId="9895"/>
    <cellStyle name="_R&amp;Opps Bisc 2009 for MU3 March_Sheet1" xfId="9896"/>
    <cellStyle name="_R&amp;Opps Bisc 2009 for MU3 March_UK - 24Sep Bridge" xfId="9897"/>
    <cellStyle name="_Raw materials comparison" xfId="9898"/>
    <cellStyle name="_Raw materials comparison_AR_TUC new line_Szekes v10" xfId="9899"/>
    <cellStyle name="_Re class-update HQ for CSL (2)" xfId="9900"/>
    <cellStyle name="_Re class-update HQ for CSL (2) 2" xfId="9901"/>
    <cellStyle name="_Re class-update HQ for CSL (2)_AC11 conso @Cst Fx after LFL restatement" xfId="9902"/>
    <cellStyle name="_Re class-update HQ for CSL (2)_AC11 conso @Cst Fx after LFL restatement 2" xfId="9903"/>
    <cellStyle name="_Re class-update HQ for CSL (2)_AC11 conso @Cst Fx after LFL restatement_P&amp;L KFE" xfId="9904"/>
    <cellStyle name="_Re class-update HQ for CSL (2)_AC11 conso @Cst Fx after LFL restatement_Sheet3" xfId="9905"/>
    <cellStyle name="_Re class-update HQ for CSL (2)_OI_ADJ" xfId="9906"/>
    <cellStyle name="_Re class-update HQ for CSL (2)_OI_ADJ 2" xfId="9907"/>
    <cellStyle name="_Re class-update HQ for CSL (2)_P&amp;L" xfId="9908"/>
    <cellStyle name="_Re class-update HQ for CSL (2)_P&amp;L_P&amp;L KFE" xfId="9909"/>
    <cellStyle name="_Re class-update HQ for CSL (2)_P&amp;L_Sheet3" xfId="9910"/>
    <cellStyle name="_Re class-update HQ for CSL (2)_Sheet1" xfId="9911"/>
    <cellStyle name="_Recharges for 2007 (22072007)" xfId="9912"/>
    <cellStyle name="_Regional Actuals Calculator v7" xfId="9913"/>
    <cellStyle name="_Regional CSAC JUNE 08 FINAL" xfId="9914"/>
    <cellStyle name="_rep1" xfId="9915"/>
    <cellStyle name="_rep1 2" xfId="9916"/>
    <cellStyle name="_Retrieve P&amp;L HFM" xfId="9917"/>
    <cellStyle name="_RevenueVolume_by_plantcustomer" xfId="9918"/>
    <cellStyle name="_Review of P6 Actuals" xfId="9919"/>
    <cellStyle name="_RM Cote D'OR_17 08 07" xfId="9920"/>
    <cellStyle name="_RM Cote D'OR_17 08 07_AR_TUC new line_Szekes v10" xfId="9921"/>
    <cellStyle name="_RM&amp;PM Var CU1vs CU2 chart" xfId="9922"/>
    <cellStyle name="_RM&amp;PM Var CU1vs CU2 chart_100722-KFG-Database Target Push-Down_V1" xfId="9923"/>
    <cellStyle name="_RM&amp;PM Var CU1vs CU2 chart_AC'11 Orbis Upload_140910" xfId="9924"/>
    <cellStyle name="_RM&amp;PM Var CU1vs CU2 chart_Area Target Setting Input_270810" xfId="9925"/>
    <cellStyle name="_RM&amp;PM Var CU1vs CU2 chart_Biscuits CBY Synergies_sent (2)" xfId="9926"/>
    <cellStyle name="_Roadmap - Indirects" xfId="9927"/>
    <cellStyle name="_Roadmap - Indirects II" xfId="9928"/>
    <cellStyle name="_ROI-Petersburg's BT process" xfId="9929"/>
    <cellStyle name="_ROI-Petersburg's BT process 2" xfId="9930"/>
    <cellStyle name="_ROI-Petersburg's BT process_Category Template AC'11 @Cst Fx 52W vs 53W" xfId="9931"/>
    <cellStyle name="_ROI-Petersburg's BT process_Category Template AC'11 @Cst Fx 52W vs 53W 2" xfId="9932"/>
    <cellStyle name="_ROI-Petersburg's BT process_Category Template AC'11 @Cst Fx 52W vs 53W_P&amp;L KFE" xfId="9933"/>
    <cellStyle name="_ROI-Petersburg's BT process_Category Template AC'11 @Cst Fx 52W vs 53W_Sheet3" xfId="9934"/>
    <cellStyle name="_ROI-Petersburg's BT process_P&amp;L KFE" xfId="9935"/>
    <cellStyle name="_ROI-Petersburg's BT process_Sheet3" xfId="9936"/>
    <cellStyle name="_ROP VAR #06 '10 vs LY '05" xfId="9937"/>
    <cellStyle name="_ROP VAR #06 '10 vs LY '05 2" xfId="9938"/>
    <cellStyle name="_ROP VAR #06 '10 vs LY '05_values" xfId="9939"/>
    <cellStyle name="_ROP VAR #06 '10 vs LY '05_values 2" xfId="9940"/>
    <cellStyle name="_Row1" xfId="9941"/>
    <cellStyle name="_Row1 2" xfId="9942"/>
    <cellStyle name="_Row1_2011 Targets by Category" xfId="9943"/>
    <cellStyle name="_Row1_2011 Targets by category Aug 25" xfId="9944"/>
    <cellStyle name="_Row1_2011 Targets by Category Last OM" xfId="9945"/>
    <cellStyle name="_Row1_2011 Targets by Category Last OM.xls" xfId="9946"/>
    <cellStyle name="_Row1_2011 Targets by Category Oct 1 incl Cby adjustments" xfId="9947"/>
    <cellStyle name="_Row1_2011 Targets by Category Sep 06" xfId="9948"/>
    <cellStyle name="_Row1_2011 Targets by Category Sep 07" xfId="9949"/>
    <cellStyle name="_Row1_2011 Targets by Category Sep 07 incl. JK feedback" xfId="9950"/>
    <cellStyle name="_Row1_AC11 conso @Cst Fx after LFL restatement" xfId="9951"/>
    <cellStyle name="_Row1_AC11 conso @Cst Fx after LFL restatement 2" xfId="9952"/>
    <cellStyle name="_Row1_AC11 conso @Cst Fx after LFL restatement_P&amp;L KFE" xfId="9953"/>
    <cellStyle name="_Row1_AC11 conso @Cst Fx after LFL restatement_Sheet3" xfId="9954"/>
    <cellStyle name="_Row1_Category Targets 2011_1.2" xfId="9955"/>
    <cellStyle name="_Row1_Category Template AC'11 @Cst Fx 52W vs 53W" xfId="9956"/>
    <cellStyle name="_Row1_Category Template AC'11 @Cst Fx 52W vs 53W 2" xfId="9957"/>
    <cellStyle name="_Row1_Category Template AC'11 @Cst Fx 52W vs 53W_P&amp;L KFE" xfId="9958"/>
    <cellStyle name="_Row1_Category Template AC'11 @Cst Fx 52W vs 53W_Sheet3" xfId="9959"/>
    <cellStyle name="_Row1_P&amp;L KBE 2008-2011" xfId="9960"/>
    <cellStyle name="_Row1_P&amp;L KBE 2008-2011 2" xfId="9961"/>
    <cellStyle name="_Row1_P&amp;L KBE 2008-2011_P&amp;L KFE" xfId="9962"/>
    <cellStyle name="_Row1_P&amp;L KBE 2008-2011_Sheet3" xfId="9963"/>
    <cellStyle name="_Row1_P&amp;L KFE" xfId="9964"/>
    <cellStyle name="_Row1_Sheet3" xfId="9965"/>
    <cellStyle name="_Row2" xfId="9966"/>
    <cellStyle name="_Row2 2" xfId="9967"/>
    <cellStyle name="_Row2_bridge" xfId="9968"/>
    <cellStyle name="_Row2_Category Template AC'11 @Cst Fx 52W vs 53W" xfId="9969"/>
    <cellStyle name="_Row2_Category Template AC'11 @Cst Fx 52W vs 53W 2" xfId="9970"/>
    <cellStyle name="_Row2_Category Template AC'11 28092010" xfId="9971"/>
    <cellStyle name="_Row2_Category Template AC'11 30092010v4" xfId="9972"/>
    <cellStyle name="_Row2_Category Template AC'11_sent to countries" xfId="9973"/>
    <cellStyle name="_Row2_Category Template AC'11_sent to countries ( euro )" xfId="9974"/>
    <cellStyle name="_Row2_Category Template AC'11_sent to countries à modifier" xfId="9975"/>
    <cellStyle name="_Row2_Cost bridge" xfId="9976"/>
    <cellStyle name="_Row2_Mgmt bridge AC'11 vs Aug Fc_Spain" xfId="9977"/>
    <cellStyle name="_Row2_NC Drivers PY Qrt excl Cadbury" xfId="9978"/>
    <cellStyle name="_Row2_P&amp;L Qrt" xfId="9979"/>
    <cellStyle name="_Row2_PA" xfId="9980"/>
    <cellStyle name="_Row2_Pricing Bridge" xfId="9981"/>
    <cellStyle name="_Row3" xfId="9982"/>
    <cellStyle name="_Row3 2" xfId="9983"/>
    <cellStyle name="_Row3 2 2" xfId="9984"/>
    <cellStyle name="_Row3 2 2_P&amp;L KFE" xfId="9985"/>
    <cellStyle name="_Row3 2 2_Sheet3" xfId="9986"/>
    <cellStyle name="_Row3 2_P&amp;L KFE" xfId="9987"/>
    <cellStyle name="_Row3 2_Sheet3" xfId="9988"/>
    <cellStyle name="_Row3 3" xfId="9989"/>
    <cellStyle name="_Row3 3_P&amp;L KFE" xfId="9990"/>
    <cellStyle name="_Row3 3_Sheet3" xfId="9991"/>
    <cellStyle name="_Row3 4" xfId="9992"/>
    <cellStyle name="_Row3_2011 Targets by category Aug 25" xfId="9993"/>
    <cellStyle name="_Row3_AC11 conso @Cst Fx" xfId="9994"/>
    <cellStyle name="_Row3_AC11 conso @Cst Fx 2" xfId="9995"/>
    <cellStyle name="_Row3_AC11 conso @Cst Fx after LFL restatement" xfId="9996"/>
    <cellStyle name="_Row3_AC11 conso @Cst Fx after LFL restatement 2" xfId="9997"/>
    <cellStyle name="_Row3_AC11 conso @Cst Fx after LFL restatement_P&amp;L KFE" xfId="9998"/>
    <cellStyle name="_Row3_AC11 conso @Cst Fx after LFL restatement_Sheet3" xfId="9999"/>
    <cellStyle name="_Row3_AC11 conso @Cst Fx_P&amp;L KFE" xfId="10000"/>
    <cellStyle name="_Row3_AC11 conso @Cst Fx_Sheet3" xfId="10001"/>
    <cellStyle name="_Row3_Book Budget 2002-2003" xfId="10002"/>
    <cellStyle name="_Row3_Book Budget 2002-2003 2" xfId="10003"/>
    <cellStyle name="_Row3_Book Budget 2002-2003 2 2" xfId="10004"/>
    <cellStyle name="_Row3_Book Budget 2002-2003 2 2_P&amp;L KFE" xfId="10005"/>
    <cellStyle name="_Row3_Book Budget 2002-2003 2 2_Sheet3" xfId="10006"/>
    <cellStyle name="_Row3_Book Budget 2002-2003 2_P&amp;L KFE" xfId="10007"/>
    <cellStyle name="_Row3_Book Budget 2002-2003 2_Sheet3" xfId="10008"/>
    <cellStyle name="_Row3_Book Budget 2002-2003 3" xfId="10009"/>
    <cellStyle name="_Row3_Book Budget 2002-2003 3_P&amp;L KFE" xfId="10010"/>
    <cellStyle name="_Row3_Book Budget 2002-2003 3_Sheet3" xfId="10011"/>
    <cellStyle name="_Row3_Book Budget 2002-2003 4" xfId="10012"/>
    <cellStyle name="_Row3_Book Budget 2002-2003_2011 Targets by category Aug 25" xfId="10013"/>
    <cellStyle name="_Row3_Book Budget 2002-2003_AC11 conso @Cst Fx" xfId="10014"/>
    <cellStyle name="_Row3_Book Budget 2002-2003_AC11 conso @Cst Fx 2" xfId="10015"/>
    <cellStyle name="_Row3_Book Budget 2002-2003_AC11 conso @Cst Fx after LFL restatement" xfId="10016"/>
    <cellStyle name="_Row3_Book Budget 2002-2003_AC11 conso @Cst Fx after LFL restatement 2" xfId="10017"/>
    <cellStyle name="_Row3_Book Budget 2002-2003_AC11 conso @Cst Fx after LFL restatement_P&amp;L KFE" xfId="10018"/>
    <cellStyle name="_Row3_Book Budget 2002-2003_AC11 conso @Cst Fx after LFL restatement_Sheet3" xfId="10019"/>
    <cellStyle name="_Row3_Book Budget 2002-2003_AC11 conso @Cst Fx_P&amp;L KFE" xfId="10020"/>
    <cellStyle name="_Row3_Book Budget 2002-2003_AC11 conso @Cst Fx_Sheet3" xfId="10021"/>
    <cellStyle name="_Row3_Book Budget 2002-2003_Category PnL" xfId="10022"/>
    <cellStyle name="_Row3_Book Budget 2002-2003_Category PnL 2" xfId="10023"/>
    <cellStyle name="_Row3_Book Budget 2002-2003_Category PnL_P&amp;L KFE" xfId="10024"/>
    <cellStyle name="_Row3_Book Budget 2002-2003_Category PnL_Sheet3" xfId="10025"/>
    <cellStyle name="_Row3_Book Budget 2002-2003_Category Targets 2011_1.2" xfId="10026"/>
    <cellStyle name="_Row3_Book Budget 2002-2003_Category Template_Actuals" xfId="10027"/>
    <cellStyle name="_Row3_Book Budget 2002-2003_Category Template_Actuals 2" xfId="10028"/>
    <cellStyle name="_Row3_Book Budget 2002-2003_Category Template_Actuals NEW" xfId="10029"/>
    <cellStyle name="_Row3_Book Budget 2002-2003_Category Template_Actuals NEW 2" xfId="10030"/>
    <cellStyle name="_Row3_Book Budget 2002-2003_Category Template_Actuals NEW_Biscuits Actual Results P01" xfId="10031"/>
    <cellStyle name="_Row3_Book Budget 2002-2003_Category Template_Actuals NEW_Biscuits Actual Results P01 2" xfId="10032"/>
    <cellStyle name="_Row3_Book Budget 2002-2003_Category Template_Actuals NEW_Biscuits Actual Results P01_Category Template_Actuals" xfId="10033"/>
    <cellStyle name="_Row3_Book Budget 2002-2003_Category Template_Actuals NEW_Biscuits Actual Results P01_Category Template_Actuals 2" xfId="10034"/>
    <cellStyle name="_Row3_Book Budget 2002-2003_Category Template_Actuals NEW_Biscuits Actual Results P01_Category Template_Actuals_Biscuits Actual Results P02" xfId="10035"/>
    <cellStyle name="_Row3_Book Budget 2002-2003_Category Template_Actuals NEW_Biscuits Actual Results P01_Category Template_Actuals_Biscuits Actual Results P02 2" xfId="10036"/>
    <cellStyle name="_Row3_Book Budget 2002-2003_Category Template_Actuals NEW_Biscuits Actual Results P01_Category Template_Actuals_Biscuits Actual Results P02_Category Template_Actuals" xfId="10037"/>
    <cellStyle name="_Row3_Book Budget 2002-2003_Category Template_Actuals NEW_Biscuits Actual Results P01_Category Template_Actuals_Biscuits Actual Results P02_Category Template_Actuals_Biscuits Actual Results P04" xfId="10038"/>
    <cellStyle name="_Row3_Book Budget 2002-2003_Category Template_Actuals NEW_Biscuits Actual Results P01_Category Template_Actuals_Biscuits Actual Results P02_Category Template_Actuals_P&amp;L P06 AFH AC US" xfId="10039"/>
    <cellStyle name="_Row3_Book Budget 2002-2003_Category Template_Actuals NEW_Biscuits Actual Results P01_Category Template_Actuals_Biscuits Actual Results P02_P&amp;L" xfId="10040"/>
    <cellStyle name="_Row3_Book Budget 2002-2003_Category Template_Actuals NEW_Biscuits Actual Results P01_Category Template_Actuals_Biscuits Actual Results P02_P&amp;L_P&amp;L KFE" xfId="10041"/>
    <cellStyle name="_Row3_Book Budget 2002-2003_Category Template_Actuals NEW_Biscuits Actual Results P01_Category Template_Actuals_Biscuits Actual Results P02_P&amp;L_Sheet3" xfId="10042"/>
    <cellStyle name="_Row3_Book Budget 2002-2003_Category Template_Actuals NEW_Biscuits Actual Results P01_Category Template_Actuals_Biscuits Actual Results P02_VRAN YTD" xfId="10043"/>
    <cellStyle name="_Row3_Book Budget 2002-2003_Category Template_Actuals NEW_Biscuits Actual Results P01_Category Template_Actuals_Biscuits Actual Results P04" xfId="10044"/>
    <cellStyle name="_Row3_Book Budget 2002-2003_Category Template_Actuals NEW_Biscuits Actual Results P01_Category Template_Actuals_P&amp;L" xfId="10045"/>
    <cellStyle name="_Row3_Book Budget 2002-2003_Category Template_Actuals NEW_Biscuits Actual Results P01_Category Template_Actuals_P&amp;L P06 AFH AC US" xfId="10046"/>
    <cellStyle name="_Row3_Book Budget 2002-2003_Category Template_Actuals NEW_Biscuits Actual Results P01_Category Template_Actuals_P&amp;L_P&amp;L KFE" xfId="10047"/>
    <cellStyle name="_Row3_Book Budget 2002-2003_Category Template_Actuals NEW_Biscuits Actual Results P01_Category Template_Actuals_P&amp;L_Sheet3" xfId="10048"/>
    <cellStyle name="_Row3_Book Budget 2002-2003_Category Template_Actuals NEW_Biscuits Actual Results P01_P&amp;L" xfId="10049"/>
    <cellStyle name="_Row3_Book Budget 2002-2003_Category Template_Actuals NEW_Biscuits Actual Results P01_P&amp;L_P&amp;L KFE" xfId="10050"/>
    <cellStyle name="_Row3_Book Budget 2002-2003_Category Template_Actuals NEW_Biscuits Actual Results P01_P&amp;L_Sheet3" xfId="10051"/>
    <cellStyle name="_Row3_Book Budget 2002-2003_Category Template_Actuals NEW_Biscuits Actual Results P01_VRAN YTD" xfId="10052"/>
    <cellStyle name="_Row3_Book Budget 2002-2003_Category Template_Actuals NEW_Biscuits Actual Results P02" xfId="10053"/>
    <cellStyle name="_Row3_Book Budget 2002-2003_Category Template_Actuals NEW_Biscuits Actual Results P02 2" xfId="10054"/>
    <cellStyle name="_Row3_Book Budget 2002-2003_Category Template_Actuals NEW_Biscuits Actual Results P02_Category Template_Actuals" xfId="10055"/>
    <cellStyle name="_Row3_Book Budget 2002-2003_Category Template_Actuals NEW_Biscuits Actual Results P02_Category Template_Actuals_Biscuits Actual Results P04" xfId="10056"/>
    <cellStyle name="_Row3_Book Budget 2002-2003_Category Template_Actuals NEW_Biscuits Actual Results P02_Category Template_Actuals_P&amp;L P06 AFH AC US" xfId="10057"/>
    <cellStyle name="_Row3_Book Budget 2002-2003_Category Template_Actuals NEW_Biscuits Actual Results P02_P&amp;L" xfId="10058"/>
    <cellStyle name="_Row3_Book Budget 2002-2003_Category Template_Actuals NEW_Biscuits Actual Results P02_P&amp;L_P&amp;L KFE" xfId="10059"/>
    <cellStyle name="_Row3_Book Budget 2002-2003_Category Template_Actuals NEW_Biscuits Actual Results P02_P&amp;L_Sheet3" xfId="10060"/>
    <cellStyle name="_Row3_Book Budget 2002-2003_Category Template_Actuals NEW_Biscuits Actual Results P02_VRAN YTD" xfId="10061"/>
    <cellStyle name="_Row3_Book Budget 2002-2003_Category Template_Actuals NEW_Biscuits Actual Results P04" xfId="10062"/>
    <cellStyle name="_Row3_Book Budget 2002-2003_Category Template_Actuals NEW_Biscuits Actual Results P1 BIS" xfId="10063"/>
    <cellStyle name="_Row3_Book Budget 2002-2003_Category Template_Actuals NEW_Biscuits Actual Results P1 BIS 2" xfId="10064"/>
    <cellStyle name="_Row3_Book Budget 2002-2003_Category Template_Actuals NEW_Biscuits Actual Results P1 BIS_Category Template_Actuals" xfId="10065"/>
    <cellStyle name="_Row3_Book Budget 2002-2003_Category Template_Actuals NEW_Biscuits Actual Results P1 BIS_Category Template_Actuals_Biscuits Actual Results P04" xfId="10066"/>
    <cellStyle name="_Row3_Book Budget 2002-2003_Category Template_Actuals NEW_Biscuits Actual Results P1 BIS_Category Template_Actuals_P&amp;L P06 AFH AC US" xfId="10067"/>
    <cellStyle name="_Row3_Book Budget 2002-2003_Category Template_Actuals NEW_Biscuits Actual Results P1 BIS_P&amp;L" xfId="10068"/>
    <cellStyle name="_Row3_Book Budget 2002-2003_Category Template_Actuals NEW_Biscuits Actual Results P1 BIS_P&amp;L_P&amp;L KFE" xfId="10069"/>
    <cellStyle name="_Row3_Book Budget 2002-2003_Category Template_Actuals NEW_Biscuits Actual Results P1 BIS_P&amp;L_Sheet3" xfId="10070"/>
    <cellStyle name="_Row3_Book Budget 2002-2003_Category Template_Actuals NEW_Biscuits Actual Results P1 BIS_VRAN YTD" xfId="10071"/>
    <cellStyle name="_Row3_Book Budget 2002-2003_Category Template_Actuals NEW_Biscuits Actual Results P12 161210" xfId="10072"/>
    <cellStyle name="_Row3_Book Budget 2002-2003_Category Template_Actuals NEW_Biscuits Actual Results P12 161210 2" xfId="10073"/>
    <cellStyle name="_Row3_Book Budget 2002-2003_Category Template_Actuals NEW_Biscuits Actual Results P12 161210_Category Template_Actuals" xfId="10074"/>
    <cellStyle name="_Row3_Book Budget 2002-2003_Category Template_Actuals NEW_Biscuits Actual Results P12 161210_Category Template_Actuals 2" xfId="10075"/>
    <cellStyle name="_Row3_Book Budget 2002-2003_Category Template_Actuals NEW_Biscuits Actual Results P12 161210_Category Template_Actuals_Biscuits Actual Results P02" xfId="10076"/>
    <cellStyle name="_Row3_Book Budget 2002-2003_Category Template_Actuals NEW_Biscuits Actual Results P12 161210_Category Template_Actuals_Biscuits Actual Results P02 2" xfId="10077"/>
    <cellStyle name="_Row3_Book Budget 2002-2003_Category Template_Actuals NEW_Biscuits Actual Results P12 161210_Category Template_Actuals_Biscuits Actual Results P02_Category Template_Actuals" xfId="10078"/>
    <cellStyle name="_Row3_Book Budget 2002-2003_Category Template_Actuals NEW_Biscuits Actual Results P12 161210_Category Template_Actuals_Biscuits Actual Results P02_Category Template_Actuals_Biscuits Actual Results P04" xfId="10079"/>
    <cellStyle name="_Row3_Book Budget 2002-2003_Category Template_Actuals NEW_Biscuits Actual Results P12 161210_Category Template_Actuals_Biscuits Actual Results P02_Category Template_Actuals_P&amp;L P06 AFH AC US" xfId="10080"/>
    <cellStyle name="_Row3_Book Budget 2002-2003_Category Template_Actuals NEW_Biscuits Actual Results P12 161210_Category Template_Actuals_Biscuits Actual Results P02_P&amp;L" xfId="10081"/>
    <cellStyle name="_Row3_Book Budget 2002-2003_Category Template_Actuals NEW_Biscuits Actual Results P12 161210_Category Template_Actuals_Biscuits Actual Results P02_P&amp;L_P&amp;L KFE" xfId="10082"/>
    <cellStyle name="_Row3_Book Budget 2002-2003_Category Template_Actuals NEW_Biscuits Actual Results P12 161210_Category Template_Actuals_Biscuits Actual Results P02_P&amp;L_Sheet3" xfId="10083"/>
    <cellStyle name="_Row3_Book Budget 2002-2003_Category Template_Actuals NEW_Biscuits Actual Results P12 161210_Category Template_Actuals_Biscuits Actual Results P02_VRAN YTD" xfId="10084"/>
    <cellStyle name="_Row3_Book Budget 2002-2003_Category Template_Actuals NEW_Biscuits Actual Results P12 161210_Category Template_Actuals_Biscuits Actual Results P04" xfId="10085"/>
    <cellStyle name="_Row3_Book Budget 2002-2003_Category Template_Actuals NEW_Biscuits Actual Results P12 161210_Category Template_Actuals_P&amp;L" xfId="10086"/>
    <cellStyle name="_Row3_Book Budget 2002-2003_Category Template_Actuals NEW_Biscuits Actual Results P12 161210_Category Template_Actuals_P&amp;L P06 AFH AC US" xfId="10087"/>
    <cellStyle name="_Row3_Book Budget 2002-2003_Category Template_Actuals NEW_Biscuits Actual Results P12 161210_Category Template_Actuals_P&amp;L_P&amp;L KFE" xfId="10088"/>
    <cellStyle name="_Row3_Book Budget 2002-2003_Category Template_Actuals NEW_Biscuits Actual Results P12 161210_Category Template_Actuals_P&amp;L_Sheet3" xfId="10089"/>
    <cellStyle name="_Row3_Book Budget 2002-2003_Category Template_Actuals NEW_Biscuits Actual Results P12 161210_P&amp;L" xfId="10090"/>
    <cellStyle name="_Row3_Book Budget 2002-2003_Category Template_Actuals NEW_Biscuits Actual Results P12 161210_P&amp;L_P&amp;L KFE" xfId="10091"/>
    <cellStyle name="_Row3_Book Budget 2002-2003_Category Template_Actuals NEW_Biscuits Actual Results P12 161210_P&amp;L_Sheet3" xfId="10092"/>
    <cellStyle name="_Row3_Book Budget 2002-2003_Category Template_Actuals NEW_Biscuits Actual Results P12 161210_VRAN YTD" xfId="10093"/>
    <cellStyle name="_Row3_Book Budget 2002-2003_Category Template_Actuals NEW_P&amp;L" xfId="10094"/>
    <cellStyle name="_Row3_Book Budget 2002-2003_Category Template_Actuals NEW_P&amp;L P06 AFH AC US" xfId="10095"/>
    <cellStyle name="_Row3_Book Budget 2002-2003_Category Template_Actuals NEW_P&amp;L_P&amp;L KFE" xfId="10096"/>
    <cellStyle name="_Row3_Book Budget 2002-2003_Category Template_Actuals NEW_P&amp;L_Sheet3" xfId="10097"/>
    <cellStyle name="_Row3_Book Budget 2002-2003_Category Template_Actuals_Biscuits Actual Results P02" xfId="10098"/>
    <cellStyle name="_Row3_Book Budget 2002-2003_Category Template_Actuals_Biscuits Actual Results P02 2" xfId="10099"/>
    <cellStyle name="_Row3_Book Budget 2002-2003_Category Template_Actuals_Biscuits Actual Results P02_Category Template_Actuals" xfId="10100"/>
    <cellStyle name="_Row3_Book Budget 2002-2003_Category Template_Actuals_Biscuits Actual Results P02_Category Template_Actuals_Biscuits Actual Results P04" xfId="10101"/>
    <cellStyle name="_Row3_Book Budget 2002-2003_Category Template_Actuals_Biscuits Actual Results P02_Category Template_Actuals_P&amp;L P06 AFH AC US" xfId="10102"/>
    <cellStyle name="_Row3_Book Budget 2002-2003_Category Template_Actuals_Biscuits Actual Results P02_P&amp;L" xfId="10103"/>
    <cellStyle name="_Row3_Book Budget 2002-2003_Category Template_Actuals_Biscuits Actual Results P02_P&amp;L_P&amp;L KFE" xfId="10104"/>
    <cellStyle name="_Row3_Book Budget 2002-2003_Category Template_Actuals_Biscuits Actual Results P02_P&amp;L_Sheet3" xfId="10105"/>
    <cellStyle name="_Row3_Book Budget 2002-2003_Category Template_Actuals_Biscuits Actual Results P02_VRAN YTD" xfId="10106"/>
    <cellStyle name="_Row3_Book Budget 2002-2003_Category Template_Actuals_Biscuits Actual Results P04" xfId="10107"/>
    <cellStyle name="_Row3_Book Budget 2002-2003_Category Template_Actuals_P&amp;L" xfId="10108"/>
    <cellStyle name="_Row3_Book Budget 2002-2003_Category Template_Actuals_P&amp;L P06 AFH AC US" xfId="10109"/>
    <cellStyle name="_Row3_Book Budget 2002-2003_Category Template_Actuals_P&amp;L_P&amp;L KFE" xfId="10110"/>
    <cellStyle name="_Row3_Book Budget 2002-2003_Category Template_Actuals_P&amp;L_Sheet3" xfId="10111"/>
    <cellStyle name="_Row3_Book Budget 2002-2003_KFE Category PnL template_Combined_P03 (2)" xfId="10112"/>
    <cellStyle name="_Row3_Book Budget 2002-2003_KFE Category PnL template_Combined_P03 (2)_P&amp;L KFE" xfId="10113"/>
    <cellStyle name="_Row3_Book Budget 2002-2003_KFE Category PnL template_Combined_P03 (2)_Sheet3" xfId="10114"/>
    <cellStyle name="_Row3_Book Budget 2002-2003_KFE Category PnL template_Kraft Legacy (2)" xfId="10115"/>
    <cellStyle name="_Row3_Book Budget 2002-2003_KFE Category PnL template_Kraft Legacy (2)_P&amp;L KFE" xfId="10116"/>
    <cellStyle name="_Row3_Book Budget 2002-2003_KFE Category PnL template_Kraft Legacy (2)_Sheet3" xfId="10117"/>
    <cellStyle name="_Row3_Book Budget 2002-2003_KFE Category PnL template_Kraft Legacy (4)" xfId="10118"/>
    <cellStyle name="_Row3_Book Budget 2002-2003_KFE Category PnL template_Kraft Legacy (4)_P&amp;L KFE" xfId="10119"/>
    <cellStyle name="_Row3_Book Budget 2002-2003_KFE Category PnL template_Kraft Legacy (4)_Sheet3" xfId="10120"/>
    <cellStyle name="_Row3_Book Budget 2002-2003_OI Bridge 0" xfId="10121"/>
    <cellStyle name="_Row3_Book Budget 2002-2003_OI Bridge 0_1" xfId="10122"/>
    <cellStyle name="_Row3_Book Budget 2002-2003_OI Bridge 1" xfId="10123"/>
    <cellStyle name="_Row3_Book Budget 2002-2003_P&amp;L" xfId="10124"/>
    <cellStyle name="_Row3_Book Budget 2002-2003_P&amp;L_P&amp;L KFE" xfId="10125"/>
    <cellStyle name="_Row3_Book Budget 2002-2003_P&amp;L_Sheet3" xfId="10126"/>
    <cellStyle name="_Row3_Book Budget 2002-2003_Sheet1" xfId="10127"/>
    <cellStyle name="_Row3_Book Budget 2002-2003_VRAN YTD" xfId="10128"/>
    <cellStyle name="_Row3_Book Budget 2002-2003_VRAN YTD 2" xfId="10129"/>
    <cellStyle name="_Row3_Book Budget 2002-2003_VRAN YTD_Biscuits Actual Results P01" xfId="10130"/>
    <cellStyle name="_Row3_Book Budget 2002-2003_VRAN YTD_Biscuits Actual Results P01 2" xfId="10131"/>
    <cellStyle name="_Row3_Book Budget 2002-2003_VRAN YTD_Biscuits Actual Results P01_Category Template_Actuals" xfId="10132"/>
    <cellStyle name="_Row3_Book Budget 2002-2003_VRAN YTD_Biscuits Actual Results P01_Category Template_Actuals 2" xfId="10133"/>
    <cellStyle name="_Row3_Book Budget 2002-2003_VRAN YTD_Biscuits Actual Results P01_Category Template_Actuals_Biscuits Actual Results P02" xfId="10134"/>
    <cellStyle name="_Row3_Book Budget 2002-2003_VRAN YTD_Biscuits Actual Results P01_Category Template_Actuals_Biscuits Actual Results P02 2" xfId="10135"/>
    <cellStyle name="_Row3_Book Budget 2002-2003_VRAN YTD_Biscuits Actual Results P01_Category Template_Actuals_Biscuits Actual Results P02_Category Template_Actuals" xfId="10136"/>
    <cellStyle name="_Row3_Book Budget 2002-2003_VRAN YTD_Biscuits Actual Results P01_Category Template_Actuals_Biscuits Actual Results P02_Category Template_Actuals_Biscuits Actual Results P04" xfId="10137"/>
    <cellStyle name="_Row3_Book Budget 2002-2003_VRAN YTD_Biscuits Actual Results P01_Category Template_Actuals_Biscuits Actual Results P02_Category Template_Actuals_P&amp;L P06 AFH AC US" xfId="10138"/>
    <cellStyle name="_Row3_Book Budget 2002-2003_VRAN YTD_Biscuits Actual Results P01_Category Template_Actuals_Biscuits Actual Results P02_P&amp;L" xfId="10139"/>
    <cellStyle name="_Row3_Book Budget 2002-2003_VRAN YTD_Biscuits Actual Results P01_Category Template_Actuals_Biscuits Actual Results P02_P&amp;L_P&amp;L KFE" xfId="10140"/>
    <cellStyle name="_Row3_Book Budget 2002-2003_VRAN YTD_Biscuits Actual Results P01_Category Template_Actuals_Biscuits Actual Results P02_P&amp;L_Sheet3" xfId="10141"/>
    <cellStyle name="_Row3_Book Budget 2002-2003_VRAN YTD_Biscuits Actual Results P01_Category Template_Actuals_Biscuits Actual Results P02_VRAN YTD" xfId="10142"/>
    <cellStyle name="_Row3_Book Budget 2002-2003_VRAN YTD_Biscuits Actual Results P01_Category Template_Actuals_Biscuits Actual Results P04" xfId="10143"/>
    <cellStyle name="_Row3_Book Budget 2002-2003_VRAN YTD_Biscuits Actual Results P01_Category Template_Actuals_P&amp;L" xfId="10144"/>
    <cellStyle name="_Row3_Book Budget 2002-2003_VRAN YTD_Biscuits Actual Results P01_Category Template_Actuals_P&amp;L P06 AFH AC US" xfId="10145"/>
    <cellStyle name="_Row3_Book Budget 2002-2003_VRAN YTD_Biscuits Actual Results P01_Category Template_Actuals_P&amp;L_P&amp;L KFE" xfId="10146"/>
    <cellStyle name="_Row3_Book Budget 2002-2003_VRAN YTD_Biscuits Actual Results P01_Category Template_Actuals_P&amp;L_Sheet3" xfId="10147"/>
    <cellStyle name="_Row3_Book Budget 2002-2003_VRAN YTD_Biscuits Actual Results P01_P&amp;L" xfId="10148"/>
    <cellStyle name="_Row3_Book Budget 2002-2003_VRAN YTD_Biscuits Actual Results P01_P&amp;L_P&amp;L KFE" xfId="10149"/>
    <cellStyle name="_Row3_Book Budget 2002-2003_VRAN YTD_Biscuits Actual Results P01_P&amp;L_Sheet3" xfId="10150"/>
    <cellStyle name="_Row3_Book Budget 2002-2003_VRAN YTD_Biscuits Actual Results P01_VRAN YTD" xfId="10151"/>
    <cellStyle name="_Row3_Book Budget 2002-2003_VRAN YTD_Biscuits Actual Results P02" xfId="10152"/>
    <cellStyle name="_Row3_Book Budget 2002-2003_VRAN YTD_Biscuits Actual Results P02 2" xfId="10153"/>
    <cellStyle name="_Row3_Book Budget 2002-2003_VRAN YTD_Biscuits Actual Results P02_Category Template_Actuals" xfId="10154"/>
    <cellStyle name="_Row3_Book Budget 2002-2003_VRAN YTD_Biscuits Actual Results P02_Category Template_Actuals_Biscuits Actual Results P04" xfId="10155"/>
    <cellStyle name="_Row3_Book Budget 2002-2003_VRAN YTD_Biscuits Actual Results P02_Category Template_Actuals_P&amp;L P06 AFH AC US" xfId="10156"/>
    <cellStyle name="_Row3_Book Budget 2002-2003_VRAN YTD_Biscuits Actual Results P02_P&amp;L" xfId="10157"/>
    <cellStyle name="_Row3_Book Budget 2002-2003_VRAN YTD_Biscuits Actual Results P02_P&amp;L_P&amp;L KFE" xfId="10158"/>
    <cellStyle name="_Row3_Book Budget 2002-2003_VRAN YTD_Biscuits Actual Results P02_P&amp;L_Sheet3" xfId="10159"/>
    <cellStyle name="_Row3_Book Budget 2002-2003_VRAN YTD_Biscuits Actual Results P02_VRAN YTD" xfId="10160"/>
    <cellStyle name="_Row3_Book Budget 2002-2003_VRAN YTD_Biscuits Actual Results P04" xfId="10161"/>
    <cellStyle name="_Row3_Book Budget 2002-2003_VRAN YTD_Biscuits Actual Results P1 BIS" xfId="10162"/>
    <cellStyle name="_Row3_Book Budget 2002-2003_VRAN YTD_Biscuits Actual Results P1 BIS 2" xfId="10163"/>
    <cellStyle name="_Row3_Book Budget 2002-2003_VRAN YTD_Biscuits Actual Results P1 BIS_Category Template_Actuals" xfId="10164"/>
    <cellStyle name="_Row3_Book Budget 2002-2003_VRAN YTD_Biscuits Actual Results P1 BIS_Category Template_Actuals_Biscuits Actual Results P04" xfId="10165"/>
    <cellStyle name="_Row3_Book Budget 2002-2003_VRAN YTD_Biscuits Actual Results P1 BIS_Category Template_Actuals_P&amp;L P06 AFH AC US" xfId="10166"/>
    <cellStyle name="_Row3_Book Budget 2002-2003_VRAN YTD_Biscuits Actual Results P1 BIS_P&amp;L" xfId="10167"/>
    <cellStyle name="_Row3_Book Budget 2002-2003_VRAN YTD_Biscuits Actual Results P1 BIS_P&amp;L_P&amp;L KFE" xfId="10168"/>
    <cellStyle name="_Row3_Book Budget 2002-2003_VRAN YTD_Biscuits Actual Results P1 BIS_P&amp;L_Sheet3" xfId="10169"/>
    <cellStyle name="_Row3_Book Budget 2002-2003_VRAN YTD_Biscuits Actual Results P1 BIS_VRAN YTD" xfId="10170"/>
    <cellStyle name="_Row3_Book Budget 2002-2003_VRAN YTD_Biscuits Actual Results P12 161210" xfId="10171"/>
    <cellStyle name="_Row3_Book Budget 2002-2003_VRAN YTD_Biscuits Actual Results P12 161210 2" xfId="10172"/>
    <cellStyle name="_Row3_Book Budget 2002-2003_VRAN YTD_Biscuits Actual Results P12 161210_Category Template_Actuals" xfId="10173"/>
    <cellStyle name="_Row3_Book Budget 2002-2003_VRAN YTD_Biscuits Actual Results P12 161210_Category Template_Actuals 2" xfId="10174"/>
    <cellStyle name="_Row3_Book Budget 2002-2003_VRAN YTD_Biscuits Actual Results P12 161210_Category Template_Actuals_Biscuits Actual Results P02" xfId="10175"/>
    <cellStyle name="_Row3_Book Budget 2002-2003_VRAN YTD_Biscuits Actual Results P12 161210_Category Template_Actuals_Biscuits Actual Results P02 2" xfId="10176"/>
    <cellStyle name="_Row3_Book Budget 2002-2003_VRAN YTD_Biscuits Actual Results P12 161210_Category Template_Actuals_Biscuits Actual Results P02_Category Template_Actuals" xfId="10177"/>
    <cellStyle name="_Row3_Book Budget 2002-2003_VRAN YTD_Biscuits Actual Results P12 161210_Category Template_Actuals_Biscuits Actual Results P02_Category Template_Actuals_Biscuits Actual Results P04" xfId="10178"/>
    <cellStyle name="_Row3_Book Budget 2002-2003_VRAN YTD_Biscuits Actual Results P12 161210_Category Template_Actuals_Biscuits Actual Results P02_Category Template_Actuals_P&amp;L P06 AFH AC US" xfId="10179"/>
    <cellStyle name="_Row3_Book Budget 2002-2003_VRAN YTD_Biscuits Actual Results P12 161210_Category Template_Actuals_Biscuits Actual Results P02_P&amp;L" xfId="10180"/>
    <cellStyle name="_Row3_Book Budget 2002-2003_VRAN YTD_Biscuits Actual Results P12 161210_Category Template_Actuals_Biscuits Actual Results P02_P&amp;L_P&amp;L KFE" xfId="10181"/>
    <cellStyle name="_Row3_Book Budget 2002-2003_VRAN YTD_Biscuits Actual Results P12 161210_Category Template_Actuals_Biscuits Actual Results P02_P&amp;L_Sheet3" xfId="10182"/>
    <cellStyle name="_Row3_Book Budget 2002-2003_VRAN YTD_Biscuits Actual Results P12 161210_Category Template_Actuals_Biscuits Actual Results P02_VRAN YTD" xfId="10183"/>
    <cellStyle name="_Row3_Book Budget 2002-2003_VRAN YTD_Biscuits Actual Results P12 161210_Category Template_Actuals_Biscuits Actual Results P04" xfId="10184"/>
    <cellStyle name="_Row3_Book Budget 2002-2003_VRAN YTD_Biscuits Actual Results P12 161210_Category Template_Actuals_P&amp;L" xfId="10185"/>
    <cellStyle name="_Row3_Book Budget 2002-2003_VRAN YTD_Biscuits Actual Results P12 161210_Category Template_Actuals_P&amp;L P06 AFH AC US" xfId="10186"/>
    <cellStyle name="_Row3_Book Budget 2002-2003_VRAN YTD_Biscuits Actual Results P12 161210_Category Template_Actuals_P&amp;L_P&amp;L KFE" xfId="10187"/>
    <cellStyle name="_Row3_Book Budget 2002-2003_VRAN YTD_Biscuits Actual Results P12 161210_Category Template_Actuals_P&amp;L_Sheet3" xfId="10188"/>
    <cellStyle name="_Row3_Book Budget 2002-2003_VRAN YTD_Biscuits Actual Results P12 161210_P&amp;L" xfId="10189"/>
    <cellStyle name="_Row3_Book Budget 2002-2003_VRAN YTD_Biscuits Actual Results P12 161210_P&amp;L_P&amp;L KFE" xfId="10190"/>
    <cellStyle name="_Row3_Book Budget 2002-2003_VRAN YTD_Biscuits Actual Results P12 161210_P&amp;L_Sheet3" xfId="10191"/>
    <cellStyle name="_Row3_Book Budget 2002-2003_VRAN YTD_Biscuits Actual Results P12 161210_VRAN YTD" xfId="10192"/>
    <cellStyle name="_Row3_Book Budget 2002-2003_VRAN YTD_P&amp;L" xfId="10193"/>
    <cellStyle name="_Row3_Book Budget 2002-2003_VRAN YTD_P&amp;L P06 AFH AC US" xfId="10194"/>
    <cellStyle name="_Row3_Book Budget 2002-2003_VRAN YTD_P&amp;L_P&amp;L KFE" xfId="10195"/>
    <cellStyle name="_Row3_Book Budget 2002-2003_VRAN YTD_P&amp;L_Sheet3" xfId="10196"/>
    <cellStyle name="_Row3_Book Budget 2002-2003_WP_AC11 P&amp;L LFL 27.10.10" xfId="10197"/>
    <cellStyle name="_Row3_Category PnL" xfId="10198"/>
    <cellStyle name="_Row3_Category PnL 2" xfId="10199"/>
    <cellStyle name="_Row3_Category PnL_P&amp;L KFE" xfId="10200"/>
    <cellStyle name="_Row3_Category PnL_Sheet3" xfId="10201"/>
    <cellStyle name="_Row3_Category Targets 2011_1.2" xfId="10202"/>
    <cellStyle name="_Row3_Category Template_Actuals" xfId="10203"/>
    <cellStyle name="_Row3_Category Template_Actuals 2" xfId="10204"/>
    <cellStyle name="_Row3_Category Template_Actuals NEW" xfId="10205"/>
    <cellStyle name="_Row3_Category Template_Actuals NEW 2" xfId="10206"/>
    <cellStyle name="_Row3_Category Template_Actuals NEW_Biscuits Actual Results P01" xfId="10207"/>
    <cellStyle name="_Row3_Category Template_Actuals NEW_Biscuits Actual Results P01 2" xfId="10208"/>
    <cellStyle name="_Row3_Category Template_Actuals NEW_Biscuits Actual Results P01_Category Template_Actuals" xfId="10209"/>
    <cellStyle name="_Row3_Category Template_Actuals NEW_Biscuits Actual Results P01_Category Template_Actuals 2" xfId="10210"/>
    <cellStyle name="_Row3_Category Template_Actuals NEW_Biscuits Actual Results P01_Category Template_Actuals_Biscuits Actual Results P02" xfId="10211"/>
    <cellStyle name="_Row3_Category Template_Actuals NEW_Biscuits Actual Results P01_Category Template_Actuals_Biscuits Actual Results P02 2" xfId="10212"/>
    <cellStyle name="_Row3_Category Template_Actuals NEW_Biscuits Actual Results P01_Category Template_Actuals_Biscuits Actual Results P02_Category Template_Actuals" xfId="10213"/>
    <cellStyle name="_Row3_Category Template_Actuals NEW_Biscuits Actual Results P01_Category Template_Actuals_Biscuits Actual Results P02_Category Template_Actuals_Biscuits Actual Results P04" xfId="10214"/>
    <cellStyle name="_Row3_Category Template_Actuals NEW_Biscuits Actual Results P01_Category Template_Actuals_Biscuits Actual Results P02_Category Template_Actuals_P&amp;L P06 AFH AC US" xfId="10215"/>
    <cellStyle name="_Row3_Category Template_Actuals NEW_Biscuits Actual Results P01_Category Template_Actuals_Biscuits Actual Results P02_P&amp;L" xfId="10216"/>
    <cellStyle name="_Row3_Category Template_Actuals NEW_Biscuits Actual Results P01_Category Template_Actuals_Biscuits Actual Results P02_P&amp;L_P&amp;L KFE" xfId="10217"/>
    <cellStyle name="_Row3_Category Template_Actuals NEW_Biscuits Actual Results P01_Category Template_Actuals_Biscuits Actual Results P02_P&amp;L_Sheet3" xfId="10218"/>
    <cellStyle name="_Row3_Category Template_Actuals NEW_Biscuits Actual Results P01_Category Template_Actuals_Biscuits Actual Results P02_VRAN YTD" xfId="10219"/>
    <cellStyle name="_Row3_Category Template_Actuals NEW_Biscuits Actual Results P01_Category Template_Actuals_Biscuits Actual Results P04" xfId="10220"/>
    <cellStyle name="_Row3_Category Template_Actuals NEW_Biscuits Actual Results P01_Category Template_Actuals_P&amp;L" xfId="10221"/>
    <cellStyle name="_Row3_Category Template_Actuals NEW_Biscuits Actual Results P01_Category Template_Actuals_P&amp;L P06 AFH AC US" xfId="10222"/>
    <cellStyle name="_Row3_Category Template_Actuals NEW_Biscuits Actual Results P01_Category Template_Actuals_P&amp;L_P&amp;L KFE" xfId="10223"/>
    <cellStyle name="_Row3_Category Template_Actuals NEW_Biscuits Actual Results P01_Category Template_Actuals_P&amp;L_Sheet3" xfId="10224"/>
    <cellStyle name="_Row3_Category Template_Actuals NEW_Biscuits Actual Results P01_P&amp;L" xfId="10225"/>
    <cellStyle name="_Row3_Category Template_Actuals NEW_Biscuits Actual Results P01_P&amp;L_P&amp;L KFE" xfId="10226"/>
    <cellStyle name="_Row3_Category Template_Actuals NEW_Biscuits Actual Results P01_P&amp;L_Sheet3" xfId="10227"/>
    <cellStyle name="_Row3_Category Template_Actuals NEW_Biscuits Actual Results P01_VRAN YTD" xfId="10228"/>
    <cellStyle name="_Row3_Category Template_Actuals NEW_Biscuits Actual Results P02" xfId="10229"/>
    <cellStyle name="_Row3_Category Template_Actuals NEW_Biscuits Actual Results P02 2" xfId="10230"/>
    <cellStyle name="_Row3_Category Template_Actuals NEW_Biscuits Actual Results P02_Category Template_Actuals" xfId="10231"/>
    <cellStyle name="_Row3_Category Template_Actuals NEW_Biscuits Actual Results P02_Category Template_Actuals_Biscuits Actual Results P04" xfId="10232"/>
    <cellStyle name="_Row3_Category Template_Actuals NEW_Biscuits Actual Results P02_Category Template_Actuals_P&amp;L P06 AFH AC US" xfId="10233"/>
    <cellStyle name="_Row3_Category Template_Actuals NEW_Biscuits Actual Results P02_P&amp;L" xfId="10234"/>
    <cellStyle name="_Row3_Category Template_Actuals NEW_Biscuits Actual Results P02_P&amp;L_P&amp;L KFE" xfId="10235"/>
    <cellStyle name="_Row3_Category Template_Actuals NEW_Biscuits Actual Results P02_P&amp;L_Sheet3" xfId="10236"/>
    <cellStyle name="_Row3_Category Template_Actuals NEW_Biscuits Actual Results P02_VRAN YTD" xfId="10237"/>
    <cellStyle name="_Row3_Category Template_Actuals NEW_Biscuits Actual Results P04" xfId="10238"/>
    <cellStyle name="_Row3_Category Template_Actuals NEW_Biscuits Actual Results P1 BIS" xfId="10239"/>
    <cellStyle name="_Row3_Category Template_Actuals NEW_Biscuits Actual Results P1 BIS 2" xfId="10240"/>
    <cellStyle name="_Row3_Category Template_Actuals NEW_Biscuits Actual Results P1 BIS_Category Template_Actuals" xfId="10241"/>
    <cellStyle name="_Row3_Category Template_Actuals NEW_Biscuits Actual Results P1 BIS_Category Template_Actuals_Biscuits Actual Results P04" xfId="10242"/>
    <cellStyle name="_Row3_Category Template_Actuals NEW_Biscuits Actual Results P1 BIS_Category Template_Actuals_P&amp;L P06 AFH AC US" xfId="10243"/>
    <cellStyle name="_Row3_Category Template_Actuals NEW_Biscuits Actual Results P1 BIS_P&amp;L" xfId="10244"/>
    <cellStyle name="_Row3_Category Template_Actuals NEW_Biscuits Actual Results P1 BIS_P&amp;L_P&amp;L KFE" xfId="10245"/>
    <cellStyle name="_Row3_Category Template_Actuals NEW_Biscuits Actual Results P1 BIS_P&amp;L_Sheet3" xfId="10246"/>
    <cellStyle name="_Row3_Category Template_Actuals NEW_Biscuits Actual Results P1 BIS_VRAN YTD" xfId="10247"/>
    <cellStyle name="_Row3_Category Template_Actuals NEW_Biscuits Actual Results P12 161210" xfId="10248"/>
    <cellStyle name="_Row3_Category Template_Actuals NEW_Biscuits Actual Results P12 161210 2" xfId="10249"/>
    <cellStyle name="_Row3_Category Template_Actuals NEW_Biscuits Actual Results P12 161210_Category Template_Actuals" xfId="10250"/>
    <cellStyle name="_Row3_Category Template_Actuals NEW_Biscuits Actual Results P12 161210_Category Template_Actuals 2" xfId="10251"/>
    <cellStyle name="_Row3_Category Template_Actuals NEW_Biscuits Actual Results P12 161210_Category Template_Actuals_Biscuits Actual Results P02" xfId="10252"/>
    <cellStyle name="_Row3_Category Template_Actuals NEW_Biscuits Actual Results P12 161210_Category Template_Actuals_Biscuits Actual Results P02 2" xfId="10253"/>
    <cellStyle name="_Row3_Category Template_Actuals NEW_Biscuits Actual Results P12 161210_Category Template_Actuals_Biscuits Actual Results P02_Category Template_Actuals" xfId="10254"/>
    <cellStyle name="_Row3_Category Template_Actuals NEW_Biscuits Actual Results P12 161210_Category Template_Actuals_Biscuits Actual Results P02_Category Template_Actuals_Biscuits Actual Results P04" xfId="10255"/>
    <cellStyle name="_Row3_Category Template_Actuals NEW_Biscuits Actual Results P12 161210_Category Template_Actuals_Biscuits Actual Results P02_Category Template_Actuals_P&amp;L P06 AFH AC US" xfId="10256"/>
    <cellStyle name="_Row3_Category Template_Actuals NEW_Biscuits Actual Results P12 161210_Category Template_Actuals_Biscuits Actual Results P02_P&amp;L" xfId="10257"/>
    <cellStyle name="_Row3_Category Template_Actuals NEW_Biscuits Actual Results P12 161210_Category Template_Actuals_Biscuits Actual Results P02_P&amp;L_P&amp;L KFE" xfId="10258"/>
    <cellStyle name="_Row3_Category Template_Actuals NEW_Biscuits Actual Results P12 161210_Category Template_Actuals_Biscuits Actual Results P02_P&amp;L_Sheet3" xfId="10259"/>
    <cellStyle name="_Row3_Category Template_Actuals NEW_Biscuits Actual Results P12 161210_Category Template_Actuals_Biscuits Actual Results P02_VRAN YTD" xfId="10260"/>
    <cellStyle name="_Row3_Category Template_Actuals NEW_Biscuits Actual Results P12 161210_Category Template_Actuals_Biscuits Actual Results P04" xfId="10261"/>
    <cellStyle name="_Row3_Category Template_Actuals NEW_Biscuits Actual Results P12 161210_Category Template_Actuals_P&amp;L" xfId="10262"/>
    <cellStyle name="_Row3_Category Template_Actuals NEW_Biscuits Actual Results P12 161210_Category Template_Actuals_P&amp;L P06 AFH AC US" xfId="10263"/>
    <cellStyle name="_Row3_Category Template_Actuals NEW_Biscuits Actual Results P12 161210_Category Template_Actuals_P&amp;L_P&amp;L KFE" xfId="10264"/>
    <cellStyle name="_Row3_Category Template_Actuals NEW_Biscuits Actual Results P12 161210_Category Template_Actuals_P&amp;L_Sheet3" xfId="10265"/>
    <cellStyle name="_Row3_Category Template_Actuals NEW_Biscuits Actual Results P12 161210_P&amp;L" xfId="10266"/>
    <cellStyle name="_Row3_Category Template_Actuals NEW_Biscuits Actual Results P12 161210_P&amp;L_P&amp;L KFE" xfId="10267"/>
    <cellStyle name="_Row3_Category Template_Actuals NEW_Biscuits Actual Results P12 161210_P&amp;L_Sheet3" xfId="10268"/>
    <cellStyle name="_Row3_Category Template_Actuals NEW_Biscuits Actual Results P12 161210_VRAN YTD" xfId="10269"/>
    <cellStyle name="_Row3_Category Template_Actuals NEW_P&amp;L" xfId="10270"/>
    <cellStyle name="_Row3_Category Template_Actuals NEW_P&amp;L P06 AFH AC US" xfId="10271"/>
    <cellStyle name="_Row3_Category Template_Actuals NEW_P&amp;L_P&amp;L KFE" xfId="10272"/>
    <cellStyle name="_Row3_Category Template_Actuals NEW_P&amp;L_Sheet3" xfId="10273"/>
    <cellStyle name="_Row3_Category Template_Actuals_Biscuits Actual Results P02" xfId="10274"/>
    <cellStyle name="_Row3_Category Template_Actuals_Biscuits Actual Results P02 2" xfId="10275"/>
    <cellStyle name="_Row3_Category Template_Actuals_Biscuits Actual Results P02_Category Template_Actuals" xfId="10276"/>
    <cellStyle name="_Row3_Category Template_Actuals_Biscuits Actual Results P02_Category Template_Actuals_Biscuits Actual Results P04" xfId="10277"/>
    <cellStyle name="_Row3_Category Template_Actuals_Biscuits Actual Results P02_Category Template_Actuals_P&amp;L P06 AFH AC US" xfId="10278"/>
    <cellStyle name="_Row3_Category Template_Actuals_Biscuits Actual Results P02_P&amp;L" xfId="10279"/>
    <cellStyle name="_Row3_Category Template_Actuals_Biscuits Actual Results P02_P&amp;L_P&amp;L KFE" xfId="10280"/>
    <cellStyle name="_Row3_Category Template_Actuals_Biscuits Actual Results P02_P&amp;L_Sheet3" xfId="10281"/>
    <cellStyle name="_Row3_Category Template_Actuals_Biscuits Actual Results P02_VRAN YTD" xfId="10282"/>
    <cellStyle name="_Row3_Category Template_Actuals_Biscuits Actual Results P04" xfId="10283"/>
    <cellStyle name="_Row3_Category Template_Actuals_P&amp;L" xfId="10284"/>
    <cellStyle name="_Row3_Category Template_Actuals_P&amp;L P06 AFH AC US" xfId="10285"/>
    <cellStyle name="_Row3_Category Template_Actuals_P&amp;L_P&amp;L KFE" xfId="10286"/>
    <cellStyle name="_Row3_Category Template_Actuals_P&amp;L_Sheet3" xfId="10287"/>
    <cellStyle name="_Row3_KFE Category PnL template_Combined_P03 (2)" xfId="10288"/>
    <cellStyle name="_Row3_KFE Category PnL template_Combined_P03 (2)_P&amp;L KFE" xfId="10289"/>
    <cellStyle name="_Row3_KFE Category PnL template_Combined_P03 (2)_Sheet3" xfId="10290"/>
    <cellStyle name="_Row3_KFE Category PnL template_Kraft Legacy (2)" xfId="10291"/>
    <cellStyle name="_Row3_KFE Category PnL template_Kraft Legacy (2)_P&amp;L KFE" xfId="10292"/>
    <cellStyle name="_Row3_KFE Category PnL template_Kraft Legacy (2)_Sheet3" xfId="10293"/>
    <cellStyle name="_Row3_KFE Category PnL template_Kraft Legacy (4)" xfId="10294"/>
    <cellStyle name="_Row3_KFE Category PnL template_Kraft Legacy (4)_P&amp;L KFE" xfId="10295"/>
    <cellStyle name="_Row3_KFE Category PnL template_Kraft Legacy (4)_Sheet3" xfId="10296"/>
    <cellStyle name="_Row3_OI Bridge 0" xfId="10297"/>
    <cellStyle name="_Row3_OI Bridge 0_1" xfId="10298"/>
    <cellStyle name="_Row3_OI Bridge 1" xfId="10299"/>
    <cellStyle name="_Row3_P&amp;L" xfId="10300"/>
    <cellStyle name="_Row3_P&amp;L_P&amp;L KFE" xfId="10301"/>
    <cellStyle name="_Row3_P&amp;L_Sheet3" xfId="10302"/>
    <cellStyle name="_Row3_Sheet1" xfId="10303"/>
    <cellStyle name="_Row3_VRAN YTD" xfId="10304"/>
    <cellStyle name="_Row3_VRAN YTD 2" xfId="10305"/>
    <cellStyle name="_Row3_VRAN YTD_Biscuits Actual Results P01" xfId="10306"/>
    <cellStyle name="_Row3_VRAN YTD_Biscuits Actual Results P01 2" xfId="10307"/>
    <cellStyle name="_Row3_VRAN YTD_Biscuits Actual Results P01_Category Template_Actuals" xfId="10308"/>
    <cellStyle name="_Row3_VRAN YTD_Biscuits Actual Results P01_Category Template_Actuals 2" xfId="10309"/>
    <cellStyle name="_Row3_VRAN YTD_Biscuits Actual Results P01_Category Template_Actuals_Biscuits Actual Results P02" xfId="10310"/>
    <cellStyle name="_Row3_VRAN YTD_Biscuits Actual Results P01_Category Template_Actuals_Biscuits Actual Results P02 2" xfId="10311"/>
    <cellStyle name="_Row3_VRAN YTD_Biscuits Actual Results P01_Category Template_Actuals_Biscuits Actual Results P02_Category Template_Actuals" xfId="10312"/>
    <cellStyle name="_Row3_VRAN YTD_Biscuits Actual Results P01_Category Template_Actuals_Biscuits Actual Results P02_Category Template_Actuals_Biscuits Actual Results P04" xfId="10313"/>
    <cellStyle name="_Row3_VRAN YTD_Biscuits Actual Results P01_Category Template_Actuals_Biscuits Actual Results P02_Category Template_Actuals_P&amp;L P06 AFH AC US" xfId="10314"/>
    <cellStyle name="_Row3_VRAN YTD_Biscuits Actual Results P01_Category Template_Actuals_Biscuits Actual Results P02_P&amp;L" xfId="10315"/>
    <cellStyle name="_Row3_VRAN YTD_Biscuits Actual Results P01_Category Template_Actuals_Biscuits Actual Results P02_P&amp;L_P&amp;L KFE" xfId="10316"/>
    <cellStyle name="_Row3_VRAN YTD_Biscuits Actual Results P01_Category Template_Actuals_Biscuits Actual Results P02_P&amp;L_Sheet3" xfId="10317"/>
    <cellStyle name="_Row3_VRAN YTD_Biscuits Actual Results P01_Category Template_Actuals_Biscuits Actual Results P02_VRAN YTD" xfId="10318"/>
    <cellStyle name="_Row3_VRAN YTD_Biscuits Actual Results P01_Category Template_Actuals_Biscuits Actual Results P04" xfId="10319"/>
    <cellStyle name="_Row3_VRAN YTD_Biscuits Actual Results P01_Category Template_Actuals_P&amp;L" xfId="10320"/>
    <cellStyle name="_Row3_VRAN YTD_Biscuits Actual Results P01_Category Template_Actuals_P&amp;L P06 AFH AC US" xfId="10321"/>
    <cellStyle name="_Row3_VRAN YTD_Biscuits Actual Results P01_Category Template_Actuals_P&amp;L_P&amp;L KFE" xfId="10322"/>
    <cellStyle name="_Row3_VRAN YTD_Biscuits Actual Results P01_Category Template_Actuals_P&amp;L_Sheet3" xfId="10323"/>
    <cellStyle name="_Row3_VRAN YTD_Biscuits Actual Results P01_P&amp;L" xfId="10324"/>
    <cellStyle name="_Row3_VRAN YTD_Biscuits Actual Results P01_P&amp;L_P&amp;L KFE" xfId="10325"/>
    <cellStyle name="_Row3_VRAN YTD_Biscuits Actual Results P01_P&amp;L_Sheet3" xfId="10326"/>
    <cellStyle name="_Row3_VRAN YTD_Biscuits Actual Results P01_VRAN YTD" xfId="10327"/>
    <cellStyle name="_Row3_VRAN YTD_Biscuits Actual Results P02" xfId="10328"/>
    <cellStyle name="_Row3_VRAN YTD_Biscuits Actual Results P02 2" xfId="10329"/>
    <cellStyle name="_Row3_VRAN YTD_Biscuits Actual Results P02_Category Template_Actuals" xfId="10330"/>
    <cellStyle name="_Row3_VRAN YTD_Biscuits Actual Results P02_Category Template_Actuals_Biscuits Actual Results P04" xfId="10331"/>
    <cellStyle name="_Row3_VRAN YTD_Biscuits Actual Results P02_Category Template_Actuals_P&amp;L P06 AFH AC US" xfId="10332"/>
    <cellStyle name="_Row3_VRAN YTD_Biscuits Actual Results P02_P&amp;L" xfId="10333"/>
    <cellStyle name="_Row3_VRAN YTD_Biscuits Actual Results P02_P&amp;L_P&amp;L KFE" xfId="10334"/>
    <cellStyle name="_Row3_VRAN YTD_Biscuits Actual Results P02_P&amp;L_Sheet3" xfId="10335"/>
    <cellStyle name="_Row3_VRAN YTD_Biscuits Actual Results P02_VRAN YTD" xfId="10336"/>
    <cellStyle name="_Row3_VRAN YTD_Biscuits Actual Results P04" xfId="10337"/>
    <cellStyle name="_Row3_VRAN YTD_Biscuits Actual Results P1 BIS" xfId="10338"/>
    <cellStyle name="_Row3_VRAN YTD_Biscuits Actual Results P1 BIS 2" xfId="10339"/>
    <cellStyle name="_Row3_VRAN YTD_Biscuits Actual Results P1 BIS_Category Template_Actuals" xfId="10340"/>
    <cellStyle name="_Row3_VRAN YTD_Biscuits Actual Results P1 BIS_Category Template_Actuals_Biscuits Actual Results P04" xfId="10341"/>
    <cellStyle name="_Row3_VRAN YTD_Biscuits Actual Results P1 BIS_Category Template_Actuals_P&amp;L P06 AFH AC US" xfId="10342"/>
    <cellStyle name="_Row3_VRAN YTD_Biscuits Actual Results P1 BIS_P&amp;L" xfId="10343"/>
    <cellStyle name="_Row3_VRAN YTD_Biscuits Actual Results P1 BIS_P&amp;L_P&amp;L KFE" xfId="10344"/>
    <cellStyle name="_Row3_VRAN YTD_Biscuits Actual Results P1 BIS_P&amp;L_Sheet3" xfId="10345"/>
    <cellStyle name="_Row3_VRAN YTD_Biscuits Actual Results P1 BIS_VRAN YTD" xfId="10346"/>
    <cellStyle name="_Row3_VRAN YTD_Biscuits Actual Results P12 161210" xfId="10347"/>
    <cellStyle name="_Row3_VRAN YTD_Biscuits Actual Results P12 161210 2" xfId="10348"/>
    <cellStyle name="_Row3_VRAN YTD_Biscuits Actual Results P12 161210_Category Template_Actuals" xfId="10349"/>
    <cellStyle name="_Row3_VRAN YTD_Biscuits Actual Results P12 161210_Category Template_Actuals 2" xfId="10350"/>
    <cellStyle name="_Row3_VRAN YTD_Biscuits Actual Results P12 161210_Category Template_Actuals_Biscuits Actual Results P02" xfId="10351"/>
    <cellStyle name="_Row3_VRAN YTD_Biscuits Actual Results P12 161210_Category Template_Actuals_Biscuits Actual Results P02 2" xfId="10352"/>
    <cellStyle name="_Row3_VRAN YTD_Biscuits Actual Results P12 161210_Category Template_Actuals_Biscuits Actual Results P02_Category Template_Actuals" xfId="10353"/>
    <cellStyle name="_Row3_VRAN YTD_Biscuits Actual Results P12 161210_Category Template_Actuals_Biscuits Actual Results P02_Category Template_Actuals_Biscuits Actual Results P04" xfId="10354"/>
    <cellStyle name="_Row3_VRAN YTD_Biscuits Actual Results P12 161210_Category Template_Actuals_Biscuits Actual Results P02_Category Template_Actuals_P&amp;L P06 AFH AC US" xfId="10355"/>
    <cellStyle name="_Row3_VRAN YTD_Biscuits Actual Results P12 161210_Category Template_Actuals_Biscuits Actual Results P02_P&amp;L" xfId="10356"/>
    <cellStyle name="_Row3_VRAN YTD_Biscuits Actual Results P12 161210_Category Template_Actuals_Biscuits Actual Results P02_P&amp;L_P&amp;L KFE" xfId="10357"/>
    <cellStyle name="_Row3_VRAN YTD_Biscuits Actual Results P12 161210_Category Template_Actuals_Biscuits Actual Results P02_P&amp;L_Sheet3" xfId="10358"/>
    <cellStyle name="_Row3_VRAN YTD_Biscuits Actual Results P12 161210_Category Template_Actuals_Biscuits Actual Results P02_VRAN YTD" xfId="10359"/>
    <cellStyle name="_Row3_VRAN YTD_Biscuits Actual Results P12 161210_Category Template_Actuals_Biscuits Actual Results P04" xfId="10360"/>
    <cellStyle name="_Row3_VRAN YTD_Biscuits Actual Results P12 161210_Category Template_Actuals_P&amp;L" xfId="10361"/>
    <cellStyle name="_Row3_VRAN YTD_Biscuits Actual Results P12 161210_Category Template_Actuals_P&amp;L P06 AFH AC US" xfId="10362"/>
    <cellStyle name="_Row3_VRAN YTD_Biscuits Actual Results P12 161210_Category Template_Actuals_P&amp;L_P&amp;L KFE" xfId="10363"/>
    <cellStyle name="_Row3_VRAN YTD_Biscuits Actual Results P12 161210_Category Template_Actuals_P&amp;L_Sheet3" xfId="10364"/>
    <cellStyle name="_Row3_VRAN YTD_Biscuits Actual Results P12 161210_P&amp;L" xfId="10365"/>
    <cellStyle name="_Row3_VRAN YTD_Biscuits Actual Results P12 161210_P&amp;L_P&amp;L KFE" xfId="10366"/>
    <cellStyle name="_Row3_VRAN YTD_Biscuits Actual Results P12 161210_P&amp;L_Sheet3" xfId="10367"/>
    <cellStyle name="_Row3_VRAN YTD_Biscuits Actual Results P12 161210_VRAN YTD" xfId="10368"/>
    <cellStyle name="_Row3_VRAN YTD_P&amp;L" xfId="10369"/>
    <cellStyle name="_Row3_VRAN YTD_P&amp;L P06 AFH AC US" xfId="10370"/>
    <cellStyle name="_Row3_VRAN YTD_P&amp;L_P&amp;L KFE" xfId="10371"/>
    <cellStyle name="_Row3_VRAN YTD_P&amp;L_Sheet3" xfId="10372"/>
    <cellStyle name="_Row3_WP_AC11 P&amp;L LFL 27.10.10" xfId="10373"/>
    <cellStyle name="_Row4" xfId="10374"/>
    <cellStyle name="_Row4 2" xfId="10375"/>
    <cellStyle name="_Row4 2 2" xfId="10376"/>
    <cellStyle name="_Row4 2 2_P&amp;L KFE" xfId="10377"/>
    <cellStyle name="_Row4 2 2_Sheet3" xfId="10378"/>
    <cellStyle name="_Row4 2_P&amp;L KFE" xfId="10379"/>
    <cellStyle name="_Row4 2_Sheet3" xfId="10380"/>
    <cellStyle name="_Row4 3" xfId="10381"/>
    <cellStyle name="_Row4 3_P&amp;L KFE" xfId="10382"/>
    <cellStyle name="_Row4 3_Sheet3" xfId="10383"/>
    <cellStyle name="_Row4 4" xfId="10384"/>
    <cellStyle name="_Row4_2011 Targets by category Aug 25" xfId="10385"/>
    <cellStyle name="_Row4_AC11 conso @Cst Fx" xfId="10386"/>
    <cellStyle name="_Row4_AC11 conso @Cst Fx 2" xfId="10387"/>
    <cellStyle name="_Row4_AC11 conso @Cst Fx after LFL restatement" xfId="10388"/>
    <cellStyle name="_Row4_AC11 conso @Cst Fx after LFL restatement 2" xfId="10389"/>
    <cellStyle name="_Row4_AC11 conso @Cst Fx after LFL restatement_P&amp;L KFE" xfId="10390"/>
    <cellStyle name="_Row4_AC11 conso @Cst Fx after LFL restatement_Sheet3" xfId="10391"/>
    <cellStyle name="_Row4_AC11 conso @Cst Fx_P&amp;L KFE" xfId="10392"/>
    <cellStyle name="_Row4_AC11 conso @Cst Fx_Sheet3" xfId="10393"/>
    <cellStyle name="_Row4_Book Budget 2002-2003" xfId="10394"/>
    <cellStyle name="_Row4_Book Budget 2002-2003 2" xfId="10395"/>
    <cellStyle name="_Row4_Book Budget 2002-2003 2 2" xfId="10396"/>
    <cellStyle name="_Row4_Book Budget 2002-2003 2 2_P&amp;L KFE" xfId="10397"/>
    <cellStyle name="_Row4_Book Budget 2002-2003 2 2_Sheet3" xfId="10398"/>
    <cellStyle name="_Row4_Book Budget 2002-2003 2_P&amp;L KFE" xfId="10399"/>
    <cellStyle name="_Row4_Book Budget 2002-2003 2_Sheet3" xfId="10400"/>
    <cellStyle name="_Row4_Book Budget 2002-2003 3" xfId="10401"/>
    <cellStyle name="_Row4_Book Budget 2002-2003 3_P&amp;L KFE" xfId="10402"/>
    <cellStyle name="_Row4_Book Budget 2002-2003 3_Sheet3" xfId="10403"/>
    <cellStyle name="_Row4_Book Budget 2002-2003 4" xfId="10404"/>
    <cellStyle name="_Row4_Book Budget 2002-2003_2011 Targets by category Aug 25" xfId="10405"/>
    <cellStyle name="_Row4_Book Budget 2002-2003_AC11 conso @Cst Fx" xfId="10406"/>
    <cellStyle name="_Row4_Book Budget 2002-2003_AC11 conso @Cst Fx 2" xfId="10407"/>
    <cellStyle name="_Row4_Book Budget 2002-2003_AC11 conso @Cst Fx after LFL restatement" xfId="10408"/>
    <cellStyle name="_Row4_Book Budget 2002-2003_AC11 conso @Cst Fx after LFL restatement 2" xfId="10409"/>
    <cellStyle name="_Row4_Book Budget 2002-2003_AC11 conso @Cst Fx after LFL restatement_P&amp;L KFE" xfId="10410"/>
    <cellStyle name="_Row4_Book Budget 2002-2003_AC11 conso @Cst Fx after LFL restatement_Sheet3" xfId="10411"/>
    <cellStyle name="_Row4_Book Budget 2002-2003_AC11 conso @Cst Fx_P&amp;L KFE" xfId="10412"/>
    <cellStyle name="_Row4_Book Budget 2002-2003_AC11 conso @Cst Fx_Sheet3" xfId="10413"/>
    <cellStyle name="_Row4_Book Budget 2002-2003_Category PnL" xfId="10414"/>
    <cellStyle name="_Row4_Book Budget 2002-2003_Category PnL 2" xfId="10415"/>
    <cellStyle name="_Row4_Book Budget 2002-2003_Category PnL_P&amp;L KFE" xfId="10416"/>
    <cellStyle name="_Row4_Book Budget 2002-2003_Category PnL_Sheet3" xfId="10417"/>
    <cellStyle name="_Row4_Book Budget 2002-2003_Category Targets 2011_1.2" xfId="10418"/>
    <cellStyle name="_Row4_Book Budget 2002-2003_Category Template_Actuals" xfId="10419"/>
    <cellStyle name="_Row4_Book Budget 2002-2003_Category Template_Actuals 2" xfId="10420"/>
    <cellStyle name="_Row4_Book Budget 2002-2003_Category Template_Actuals NEW" xfId="10421"/>
    <cellStyle name="_Row4_Book Budget 2002-2003_Category Template_Actuals NEW 2" xfId="10422"/>
    <cellStyle name="_Row4_Book Budget 2002-2003_Category Template_Actuals NEW_Biscuits Actual Results P01" xfId="10423"/>
    <cellStyle name="_Row4_Book Budget 2002-2003_Category Template_Actuals NEW_Biscuits Actual Results P01 2" xfId="10424"/>
    <cellStyle name="_Row4_Book Budget 2002-2003_Category Template_Actuals NEW_Biscuits Actual Results P01_Category Template_Actuals" xfId="10425"/>
    <cellStyle name="_Row4_Book Budget 2002-2003_Category Template_Actuals NEW_Biscuits Actual Results P01_Category Template_Actuals 2" xfId="10426"/>
    <cellStyle name="_Row4_Book Budget 2002-2003_Category Template_Actuals NEW_Biscuits Actual Results P01_Category Template_Actuals_Biscuits Actual Results P02" xfId="10427"/>
    <cellStyle name="_Row4_Book Budget 2002-2003_Category Template_Actuals NEW_Biscuits Actual Results P01_Category Template_Actuals_Biscuits Actual Results P02 2" xfId="10428"/>
    <cellStyle name="_Row4_Book Budget 2002-2003_Category Template_Actuals NEW_Biscuits Actual Results P01_Category Template_Actuals_Biscuits Actual Results P02_Category Template_Actuals" xfId="10429"/>
    <cellStyle name="_Row4_Book Budget 2002-2003_Category Template_Actuals NEW_Biscuits Actual Results P01_Category Template_Actuals_Biscuits Actual Results P02_Category Template_Actuals_Biscuits Actual Results P04" xfId="10430"/>
    <cellStyle name="_Row4_Book Budget 2002-2003_Category Template_Actuals NEW_Biscuits Actual Results P01_Category Template_Actuals_Biscuits Actual Results P02_Category Template_Actuals_P&amp;L P06 AFH AC US" xfId="10431"/>
    <cellStyle name="_Row4_Book Budget 2002-2003_Category Template_Actuals NEW_Biscuits Actual Results P01_Category Template_Actuals_Biscuits Actual Results P02_P&amp;L" xfId="10432"/>
    <cellStyle name="_Row4_Book Budget 2002-2003_Category Template_Actuals NEW_Biscuits Actual Results P01_Category Template_Actuals_Biscuits Actual Results P02_P&amp;L_P&amp;L KFE" xfId="10433"/>
    <cellStyle name="_Row4_Book Budget 2002-2003_Category Template_Actuals NEW_Biscuits Actual Results P01_Category Template_Actuals_Biscuits Actual Results P02_P&amp;L_Sheet3" xfId="10434"/>
    <cellStyle name="_Row4_Book Budget 2002-2003_Category Template_Actuals NEW_Biscuits Actual Results P01_Category Template_Actuals_Biscuits Actual Results P02_VRAN YTD" xfId="10435"/>
    <cellStyle name="_Row4_Book Budget 2002-2003_Category Template_Actuals NEW_Biscuits Actual Results P01_Category Template_Actuals_Biscuits Actual Results P04" xfId="10436"/>
    <cellStyle name="_Row4_Book Budget 2002-2003_Category Template_Actuals NEW_Biscuits Actual Results P01_Category Template_Actuals_P&amp;L" xfId="10437"/>
    <cellStyle name="_Row4_Book Budget 2002-2003_Category Template_Actuals NEW_Biscuits Actual Results P01_Category Template_Actuals_P&amp;L P06 AFH AC US" xfId="10438"/>
    <cellStyle name="_Row4_Book Budget 2002-2003_Category Template_Actuals NEW_Biscuits Actual Results P01_Category Template_Actuals_P&amp;L_P&amp;L KFE" xfId="10439"/>
    <cellStyle name="_Row4_Book Budget 2002-2003_Category Template_Actuals NEW_Biscuits Actual Results P01_Category Template_Actuals_P&amp;L_Sheet3" xfId="10440"/>
    <cellStyle name="_Row4_Book Budget 2002-2003_Category Template_Actuals NEW_Biscuits Actual Results P01_P&amp;L" xfId="10441"/>
    <cellStyle name="_Row4_Book Budget 2002-2003_Category Template_Actuals NEW_Biscuits Actual Results P01_P&amp;L_P&amp;L KFE" xfId="10442"/>
    <cellStyle name="_Row4_Book Budget 2002-2003_Category Template_Actuals NEW_Biscuits Actual Results P01_P&amp;L_Sheet3" xfId="10443"/>
    <cellStyle name="_Row4_Book Budget 2002-2003_Category Template_Actuals NEW_Biscuits Actual Results P01_VRAN YTD" xfId="10444"/>
    <cellStyle name="_Row4_Book Budget 2002-2003_Category Template_Actuals NEW_Biscuits Actual Results P02" xfId="10445"/>
    <cellStyle name="_Row4_Book Budget 2002-2003_Category Template_Actuals NEW_Biscuits Actual Results P02 2" xfId="10446"/>
    <cellStyle name="_Row4_Book Budget 2002-2003_Category Template_Actuals NEW_Biscuits Actual Results P02_Category Template_Actuals" xfId="10447"/>
    <cellStyle name="_Row4_Book Budget 2002-2003_Category Template_Actuals NEW_Biscuits Actual Results P02_Category Template_Actuals_Biscuits Actual Results P04" xfId="10448"/>
    <cellStyle name="_Row4_Book Budget 2002-2003_Category Template_Actuals NEW_Biscuits Actual Results P02_Category Template_Actuals_P&amp;L P06 AFH AC US" xfId="10449"/>
    <cellStyle name="_Row4_Book Budget 2002-2003_Category Template_Actuals NEW_Biscuits Actual Results P02_P&amp;L" xfId="10450"/>
    <cellStyle name="_Row4_Book Budget 2002-2003_Category Template_Actuals NEW_Biscuits Actual Results P02_P&amp;L_P&amp;L KFE" xfId="10451"/>
    <cellStyle name="_Row4_Book Budget 2002-2003_Category Template_Actuals NEW_Biscuits Actual Results P02_P&amp;L_Sheet3" xfId="10452"/>
    <cellStyle name="_Row4_Book Budget 2002-2003_Category Template_Actuals NEW_Biscuits Actual Results P02_VRAN YTD" xfId="10453"/>
    <cellStyle name="_Row4_Book Budget 2002-2003_Category Template_Actuals NEW_Biscuits Actual Results P04" xfId="10454"/>
    <cellStyle name="_Row4_Book Budget 2002-2003_Category Template_Actuals NEW_Biscuits Actual Results P1 BIS" xfId="10455"/>
    <cellStyle name="_Row4_Book Budget 2002-2003_Category Template_Actuals NEW_Biscuits Actual Results P1 BIS 2" xfId="10456"/>
    <cellStyle name="_Row4_Book Budget 2002-2003_Category Template_Actuals NEW_Biscuits Actual Results P1 BIS_Category Template_Actuals" xfId="10457"/>
    <cellStyle name="_Row4_Book Budget 2002-2003_Category Template_Actuals NEW_Biscuits Actual Results P1 BIS_Category Template_Actuals_Biscuits Actual Results P04" xfId="10458"/>
    <cellStyle name="_Row4_Book Budget 2002-2003_Category Template_Actuals NEW_Biscuits Actual Results P1 BIS_Category Template_Actuals_P&amp;L P06 AFH AC US" xfId="10459"/>
    <cellStyle name="_Row4_Book Budget 2002-2003_Category Template_Actuals NEW_Biscuits Actual Results P1 BIS_P&amp;L" xfId="10460"/>
    <cellStyle name="_Row4_Book Budget 2002-2003_Category Template_Actuals NEW_Biscuits Actual Results P1 BIS_P&amp;L_P&amp;L KFE" xfId="10461"/>
    <cellStyle name="_Row4_Book Budget 2002-2003_Category Template_Actuals NEW_Biscuits Actual Results P1 BIS_P&amp;L_Sheet3" xfId="10462"/>
    <cellStyle name="_Row4_Book Budget 2002-2003_Category Template_Actuals NEW_Biscuits Actual Results P1 BIS_VRAN YTD" xfId="10463"/>
    <cellStyle name="_Row4_Book Budget 2002-2003_Category Template_Actuals NEW_Biscuits Actual Results P12 161210" xfId="10464"/>
    <cellStyle name="_Row4_Book Budget 2002-2003_Category Template_Actuals NEW_Biscuits Actual Results P12 161210 2" xfId="10465"/>
    <cellStyle name="_Row4_Book Budget 2002-2003_Category Template_Actuals NEW_Biscuits Actual Results P12 161210_Category Template_Actuals" xfId="10466"/>
    <cellStyle name="_Row4_Book Budget 2002-2003_Category Template_Actuals NEW_Biscuits Actual Results P12 161210_Category Template_Actuals 2" xfId="10467"/>
    <cellStyle name="_Row4_Book Budget 2002-2003_Category Template_Actuals NEW_Biscuits Actual Results P12 161210_Category Template_Actuals_Biscuits Actual Results P02" xfId="10468"/>
    <cellStyle name="_Row4_Book Budget 2002-2003_Category Template_Actuals NEW_Biscuits Actual Results P12 161210_Category Template_Actuals_Biscuits Actual Results P02 2" xfId="10469"/>
    <cellStyle name="_Row4_Book Budget 2002-2003_Category Template_Actuals NEW_Biscuits Actual Results P12 161210_Category Template_Actuals_Biscuits Actual Results P02_Category Template_Actuals" xfId="10470"/>
    <cellStyle name="_Row4_Book Budget 2002-2003_Category Template_Actuals NEW_Biscuits Actual Results P12 161210_Category Template_Actuals_Biscuits Actual Results P02_Category Template_Actuals_Biscuits Actual Results P04" xfId="10471"/>
    <cellStyle name="_Row4_Book Budget 2002-2003_Category Template_Actuals NEW_Biscuits Actual Results P12 161210_Category Template_Actuals_Biscuits Actual Results P02_Category Template_Actuals_P&amp;L P06 AFH AC US" xfId="10472"/>
    <cellStyle name="_Row4_Book Budget 2002-2003_Category Template_Actuals NEW_Biscuits Actual Results P12 161210_Category Template_Actuals_Biscuits Actual Results P02_P&amp;L" xfId="10473"/>
    <cellStyle name="_Row4_Book Budget 2002-2003_Category Template_Actuals NEW_Biscuits Actual Results P12 161210_Category Template_Actuals_Biscuits Actual Results P02_P&amp;L_P&amp;L KFE" xfId="10474"/>
    <cellStyle name="_Row4_Book Budget 2002-2003_Category Template_Actuals NEW_Biscuits Actual Results P12 161210_Category Template_Actuals_Biscuits Actual Results P02_P&amp;L_Sheet3" xfId="10475"/>
    <cellStyle name="_Row4_Book Budget 2002-2003_Category Template_Actuals NEW_Biscuits Actual Results P12 161210_Category Template_Actuals_Biscuits Actual Results P02_VRAN YTD" xfId="10476"/>
    <cellStyle name="_Row4_Book Budget 2002-2003_Category Template_Actuals NEW_Biscuits Actual Results P12 161210_Category Template_Actuals_Biscuits Actual Results P04" xfId="10477"/>
    <cellStyle name="_Row4_Book Budget 2002-2003_Category Template_Actuals NEW_Biscuits Actual Results P12 161210_Category Template_Actuals_P&amp;L" xfId="10478"/>
    <cellStyle name="_Row4_Book Budget 2002-2003_Category Template_Actuals NEW_Biscuits Actual Results P12 161210_Category Template_Actuals_P&amp;L P06 AFH AC US" xfId="10479"/>
    <cellStyle name="_Row4_Book Budget 2002-2003_Category Template_Actuals NEW_Biscuits Actual Results P12 161210_Category Template_Actuals_P&amp;L_P&amp;L KFE" xfId="10480"/>
    <cellStyle name="_Row4_Book Budget 2002-2003_Category Template_Actuals NEW_Biscuits Actual Results P12 161210_Category Template_Actuals_P&amp;L_Sheet3" xfId="10481"/>
    <cellStyle name="_Row4_Book Budget 2002-2003_Category Template_Actuals NEW_Biscuits Actual Results P12 161210_P&amp;L" xfId="10482"/>
    <cellStyle name="_Row4_Book Budget 2002-2003_Category Template_Actuals NEW_Biscuits Actual Results P12 161210_P&amp;L_P&amp;L KFE" xfId="10483"/>
    <cellStyle name="_Row4_Book Budget 2002-2003_Category Template_Actuals NEW_Biscuits Actual Results P12 161210_P&amp;L_Sheet3" xfId="10484"/>
    <cellStyle name="_Row4_Book Budget 2002-2003_Category Template_Actuals NEW_Biscuits Actual Results P12 161210_VRAN YTD" xfId="10485"/>
    <cellStyle name="_Row4_Book Budget 2002-2003_Category Template_Actuals NEW_P&amp;L" xfId="10486"/>
    <cellStyle name="_Row4_Book Budget 2002-2003_Category Template_Actuals NEW_P&amp;L P06 AFH AC US" xfId="10487"/>
    <cellStyle name="_Row4_Book Budget 2002-2003_Category Template_Actuals NEW_P&amp;L_P&amp;L KFE" xfId="10488"/>
    <cellStyle name="_Row4_Book Budget 2002-2003_Category Template_Actuals NEW_P&amp;L_Sheet3" xfId="10489"/>
    <cellStyle name="_Row4_Book Budget 2002-2003_Category Template_Actuals_Biscuits Actual Results P02" xfId="10490"/>
    <cellStyle name="_Row4_Book Budget 2002-2003_Category Template_Actuals_Biscuits Actual Results P02 2" xfId="10491"/>
    <cellStyle name="_Row4_Book Budget 2002-2003_Category Template_Actuals_Biscuits Actual Results P02_Category Template_Actuals" xfId="10492"/>
    <cellStyle name="_Row4_Book Budget 2002-2003_Category Template_Actuals_Biscuits Actual Results P02_Category Template_Actuals_Biscuits Actual Results P04" xfId="10493"/>
    <cellStyle name="_Row4_Book Budget 2002-2003_Category Template_Actuals_Biscuits Actual Results P02_Category Template_Actuals_P&amp;L P06 AFH AC US" xfId="10494"/>
    <cellStyle name="_Row4_Book Budget 2002-2003_Category Template_Actuals_Biscuits Actual Results P02_P&amp;L" xfId="10495"/>
    <cellStyle name="_Row4_Book Budget 2002-2003_Category Template_Actuals_Biscuits Actual Results P02_P&amp;L_P&amp;L KFE" xfId="10496"/>
    <cellStyle name="_Row4_Book Budget 2002-2003_Category Template_Actuals_Biscuits Actual Results P02_P&amp;L_Sheet3" xfId="10497"/>
    <cellStyle name="_Row4_Book Budget 2002-2003_Category Template_Actuals_Biscuits Actual Results P02_VRAN YTD" xfId="10498"/>
    <cellStyle name="_Row4_Book Budget 2002-2003_Category Template_Actuals_Biscuits Actual Results P04" xfId="10499"/>
    <cellStyle name="_Row4_Book Budget 2002-2003_Category Template_Actuals_P&amp;L" xfId="10500"/>
    <cellStyle name="_Row4_Book Budget 2002-2003_Category Template_Actuals_P&amp;L P06 AFH AC US" xfId="10501"/>
    <cellStyle name="_Row4_Book Budget 2002-2003_Category Template_Actuals_P&amp;L_P&amp;L KFE" xfId="10502"/>
    <cellStyle name="_Row4_Book Budget 2002-2003_Category Template_Actuals_P&amp;L_Sheet3" xfId="10503"/>
    <cellStyle name="_Row4_Book Budget 2002-2003_KFE Category PnL template_Combined_P03 (2)" xfId="10504"/>
    <cellStyle name="_Row4_Book Budget 2002-2003_KFE Category PnL template_Combined_P03 (2)_P&amp;L KFE" xfId="10505"/>
    <cellStyle name="_Row4_Book Budget 2002-2003_KFE Category PnL template_Combined_P03 (2)_Sheet3" xfId="10506"/>
    <cellStyle name="_Row4_Book Budget 2002-2003_KFE Category PnL template_Kraft Legacy (2)" xfId="10507"/>
    <cellStyle name="_Row4_Book Budget 2002-2003_KFE Category PnL template_Kraft Legacy (2)_P&amp;L KFE" xfId="10508"/>
    <cellStyle name="_Row4_Book Budget 2002-2003_KFE Category PnL template_Kraft Legacy (2)_Sheet3" xfId="10509"/>
    <cellStyle name="_Row4_Book Budget 2002-2003_KFE Category PnL template_Kraft Legacy (4)" xfId="10510"/>
    <cellStyle name="_Row4_Book Budget 2002-2003_KFE Category PnL template_Kraft Legacy (4)_P&amp;L KFE" xfId="10511"/>
    <cellStyle name="_Row4_Book Budget 2002-2003_KFE Category PnL template_Kraft Legacy (4)_Sheet3" xfId="10512"/>
    <cellStyle name="_Row4_Book Budget 2002-2003_OI Bridge 0" xfId="10513"/>
    <cellStyle name="_Row4_Book Budget 2002-2003_OI Bridge 0_1" xfId="10514"/>
    <cellStyle name="_Row4_Book Budget 2002-2003_OI Bridge 1" xfId="10515"/>
    <cellStyle name="_Row4_Book Budget 2002-2003_P&amp;L" xfId="10516"/>
    <cellStyle name="_Row4_Book Budget 2002-2003_P&amp;L_P&amp;L KFE" xfId="10517"/>
    <cellStyle name="_Row4_Book Budget 2002-2003_P&amp;L_Sheet3" xfId="10518"/>
    <cellStyle name="_Row4_Book Budget 2002-2003_Sheet1" xfId="10519"/>
    <cellStyle name="_Row4_Book Budget 2002-2003_VRAN YTD" xfId="10520"/>
    <cellStyle name="_Row4_Book Budget 2002-2003_VRAN YTD 2" xfId="10521"/>
    <cellStyle name="_Row4_Book Budget 2002-2003_VRAN YTD_Biscuits Actual Results P01" xfId="10522"/>
    <cellStyle name="_Row4_Book Budget 2002-2003_VRAN YTD_Biscuits Actual Results P01 2" xfId="10523"/>
    <cellStyle name="_Row4_Book Budget 2002-2003_VRAN YTD_Biscuits Actual Results P01_Category Template_Actuals" xfId="10524"/>
    <cellStyle name="_Row4_Book Budget 2002-2003_VRAN YTD_Biscuits Actual Results P01_Category Template_Actuals 2" xfId="10525"/>
    <cellStyle name="_Row4_Book Budget 2002-2003_VRAN YTD_Biscuits Actual Results P01_Category Template_Actuals_Biscuits Actual Results P02" xfId="10526"/>
    <cellStyle name="_Row4_Book Budget 2002-2003_VRAN YTD_Biscuits Actual Results P01_Category Template_Actuals_Biscuits Actual Results P02 2" xfId="10527"/>
    <cellStyle name="_Row4_Book Budget 2002-2003_VRAN YTD_Biscuits Actual Results P01_Category Template_Actuals_Biscuits Actual Results P02_Category Template_Actuals" xfId="10528"/>
    <cellStyle name="_Row4_Book Budget 2002-2003_VRAN YTD_Biscuits Actual Results P01_Category Template_Actuals_Biscuits Actual Results P02_Category Template_Actuals_Biscuits Actual Results P04" xfId="10529"/>
    <cellStyle name="_Row4_Book Budget 2002-2003_VRAN YTD_Biscuits Actual Results P01_Category Template_Actuals_Biscuits Actual Results P02_Category Template_Actuals_P&amp;L P06 AFH AC US" xfId="10530"/>
    <cellStyle name="_Row4_Book Budget 2002-2003_VRAN YTD_Biscuits Actual Results P01_Category Template_Actuals_Biscuits Actual Results P02_P&amp;L" xfId="10531"/>
    <cellStyle name="_Row4_Book Budget 2002-2003_VRAN YTD_Biscuits Actual Results P01_Category Template_Actuals_Biscuits Actual Results P02_P&amp;L_P&amp;L KFE" xfId="10532"/>
    <cellStyle name="_Row4_Book Budget 2002-2003_VRAN YTD_Biscuits Actual Results P01_Category Template_Actuals_Biscuits Actual Results P02_P&amp;L_Sheet3" xfId="10533"/>
    <cellStyle name="_Row4_Book Budget 2002-2003_VRAN YTD_Biscuits Actual Results P01_Category Template_Actuals_Biscuits Actual Results P02_VRAN YTD" xfId="10534"/>
    <cellStyle name="_Row4_Book Budget 2002-2003_VRAN YTD_Biscuits Actual Results P01_Category Template_Actuals_Biscuits Actual Results P04" xfId="10535"/>
    <cellStyle name="_Row4_Book Budget 2002-2003_VRAN YTD_Biscuits Actual Results P01_Category Template_Actuals_P&amp;L" xfId="10536"/>
    <cellStyle name="_Row4_Book Budget 2002-2003_VRAN YTD_Biscuits Actual Results P01_Category Template_Actuals_P&amp;L P06 AFH AC US" xfId="10537"/>
    <cellStyle name="_Row4_Book Budget 2002-2003_VRAN YTD_Biscuits Actual Results P01_Category Template_Actuals_P&amp;L_P&amp;L KFE" xfId="10538"/>
    <cellStyle name="_Row4_Book Budget 2002-2003_VRAN YTD_Biscuits Actual Results P01_Category Template_Actuals_P&amp;L_Sheet3" xfId="10539"/>
    <cellStyle name="_Row4_Book Budget 2002-2003_VRAN YTD_Biscuits Actual Results P01_P&amp;L" xfId="10540"/>
    <cellStyle name="_Row4_Book Budget 2002-2003_VRAN YTD_Biscuits Actual Results P01_P&amp;L_P&amp;L KFE" xfId="10541"/>
    <cellStyle name="_Row4_Book Budget 2002-2003_VRAN YTD_Biscuits Actual Results P01_P&amp;L_Sheet3" xfId="10542"/>
    <cellStyle name="_Row4_Book Budget 2002-2003_VRAN YTD_Biscuits Actual Results P01_VRAN YTD" xfId="10543"/>
    <cellStyle name="_Row4_Book Budget 2002-2003_VRAN YTD_Biscuits Actual Results P02" xfId="10544"/>
    <cellStyle name="_Row4_Book Budget 2002-2003_VRAN YTD_Biscuits Actual Results P02 2" xfId="10545"/>
    <cellStyle name="_Row4_Book Budget 2002-2003_VRAN YTD_Biscuits Actual Results P02_Category Template_Actuals" xfId="10546"/>
    <cellStyle name="_Row4_Book Budget 2002-2003_VRAN YTD_Biscuits Actual Results P02_Category Template_Actuals_Biscuits Actual Results P04" xfId="10547"/>
    <cellStyle name="_Row4_Book Budget 2002-2003_VRAN YTD_Biscuits Actual Results P02_Category Template_Actuals_P&amp;L P06 AFH AC US" xfId="10548"/>
    <cellStyle name="_Row4_Book Budget 2002-2003_VRAN YTD_Biscuits Actual Results P02_P&amp;L" xfId="10549"/>
    <cellStyle name="_Row4_Book Budget 2002-2003_VRAN YTD_Biscuits Actual Results P02_P&amp;L_P&amp;L KFE" xfId="10550"/>
    <cellStyle name="_Row4_Book Budget 2002-2003_VRAN YTD_Biscuits Actual Results P02_P&amp;L_Sheet3" xfId="10551"/>
    <cellStyle name="_Row4_Book Budget 2002-2003_VRAN YTD_Biscuits Actual Results P02_VRAN YTD" xfId="10552"/>
    <cellStyle name="_Row4_Book Budget 2002-2003_VRAN YTD_Biscuits Actual Results P04" xfId="10553"/>
    <cellStyle name="_Row4_Book Budget 2002-2003_VRAN YTD_Biscuits Actual Results P1 BIS" xfId="10554"/>
    <cellStyle name="_Row4_Book Budget 2002-2003_VRAN YTD_Biscuits Actual Results P1 BIS 2" xfId="10555"/>
    <cellStyle name="_Row4_Book Budget 2002-2003_VRAN YTD_Biscuits Actual Results P1 BIS_Category Template_Actuals" xfId="10556"/>
    <cellStyle name="_Row4_Book Budget 2002-2003_VRAN YTD_Biscuits Actual Results P1 BIS_Category Template_Actuals_Biscuits Actual Results P04" xfId="10557"/>
    <cellStyle name="_Row4_Book Budget 2002-2003_VRAN YTD_Biscuits Actual Results P1 BIS_Category Template_Actuals_P&amp;L P06 AFH AC US" xfId="10558"/>
    <cellStyle name="_Row4_Book Budget 2002-2003_VRAN YTD_Biscuits Actual Results P1 BIS_P&amp;L" xfId="10559"/>
    <cellStyle name="_Row4_Book Budget 2002-2003_VRAN YTD_Biscuits Actual Results P1 BIS_P&amp;L_P&amp;L KFE" xfId="10560"/>
    <cellStyle name="_Row4_Book Budget 2002-2003_VRAN YTD_Biscuits Actual Results P1 BIS_P&amp;L_Sheet3" xfId="10561"/>
    <cellStyle name="_Row4_Book Budget 2002-2003_VRAN YTD_Biscuits Actual Results P1 BIS_VRAN YTD" xfId="10562"/>
    <cellStyle name="_Row4_Book Budget 2002-2003_VRAN YTD_Biscuits Actual Results P12 161210" xfId="10563"/>
    <cellStyle name="_Row4_Book Budget 2002-2003_VRAN YTD_Biscuits Actual Results P12 161210 2" xfId="10564"/>
    <cellStyle name="_Row4_Book Budget 2002-2003_VRAN YTD_Biscuits Actual Results P12 161210_Category Template_Actuals" xfId="10565"/>
    <cellStyle name="_Row4_Book Budget 2002-2003_VRAN YTD_Biscuits Actual Results P12 161210_Category Template_Actuals 2" xfId="10566"/>
    <cellStyle name="_Row4_Book Budget 2002-2003_VRAN YTD_Biscuits Actual Results P12 161210_Category Template_Actuals_Biscuits Actual Results P02" xfId="10567"/>
    <cellStyle name="_Row4_Book Budget 2002-2003_VRAN YTD_Biscuits Actual Results P12 161210_Category Template_Actuals_Biscuits Actual Results P02 2" xfId="10568"/>
    <cellStyle name="_Row4_Book Budget 2002-2003_VRAN YTD_Biscuits Actual Results P12 161210_Category Template_Actuals_Biscuits Actual Results P02_Category Template_Actuals" xfId="10569"/>
    <cellStyle name="_Row4_Book Budget 2002-2003_VRAN YTD_Biscuits Actual Results P12 161210_Category Template_Actuals_Biscuits Actual Results P02_Category Template_Actuals_Biscuits Actual Results P04" xfId="10570"/>
    <cellStyle name="_Row4_Book Budget 2002-2003_VRAN YTD_Biscuits Actual Results P12 161210_Category Template_Actuals_Biscuits Actual Results P02_Category Template_Actuals_P&amp;L P06 AFH AC US" xfId="10571"/>
    <cellStyle name="_Row4_Book Budget 2002-2003_VRAN YTD_Biscuits Actual Results P12 161210_Category Template_Actuals_Biscuits Actual Results P02_P&amp;L" xfId="10572"/>
    <cellStyle name="_Row4_Book Budget 2002-2003_VRAN YTD_Biscuits Actual Results P12 161210_Category Template_Actuals_Biscuits Actual Results P02_P&amp;L_P&amp;L KFE" xfId="10573"/>
    <cellStyle name="_Row4_Book Budget 2002-2003_VRAN YTD_Biscuits Actual Results P12 161210_Category Template_Actuals_Biscuits Actual Results P02_P&amp;L_Sheet3" xfId="10574"/>
    <cellStyle name="_Row4_Book Budget 2002-2003_VRAN YTD_Biscuits Actual Results P12 161210_Category Template_Actuals_Biscuits Actual Results P02_VRAN YTD" xfId="10575"/>
    <cellStyle name="_Row4_Book Budget 2002-2003_VRAN YTD_Biscuits Actual Results P12 161210_Category Template_Actuals_Biscuits Actual Results P04" xfId="10576"/>
    <cellStyle name="_Row4_Book Budget 2002-2003_VRAN YTD_Biscuits Actual Results P12 161210_Category Template_Actuals_P&amp;L" xfId="10577"/>
    <cellStyle name="_Row4_Book Budget 2002-2003_VRAN YTD_Biscuits Actual Results P12 161210_Category Template_Actuals_P&amp;L P06 AFH AC US" xfId="10578"/>
    <cellStyle name="_Row4_Book Budget 2002-2003_VRAN YTD_Biscuits Actual Results P12 161210_Category Template_Actuals_P&amp;L_P&amp;L KFE" xfId="10579"/>
    <cellStyle name="_Row4_Book Budget 2002-2003_VRAN YTD_Biscuits Actual Results P12 161210_Category Template_Actuals_P&amp;L_Sheet3" xfId="10580"/>
    <cellStyle name="_Row4_Book Budget 2002-2003_VRAN YTD_Biscuits Actual Results P12 161210_P&amp;L" xfId="10581"/>
    <cellStyle name="_Row4_Book Budget 2002-2003_VRAN YTD_Biscuits Actual Results P12 161210_P&amp;L_P&amp;L KFE" xfId="10582"/>
    <cellStyle name="_Row4_Book Budget 2002-2003_VRAN YTD_Biscuits Actual Results P12 161210_P&amp;L_Sheet3" xfId="10583"/>
    <cellStyle name="_Row4_Book Budget 2002-2003_VRAN YTD_Biscuits Actual Results P12 161210_VRAN YTD" xfId="10584"/>
    <cellStyle name="_Row4_Book Budget 2002-2003_VRAN YTD_P&amp;L" xfId="10585"/>
    <cellStyle name="_Row4_Book Budget 2002-2003_VRAN YTD_P&amp;L P06 AFH AC US" xfId="10586"/>
    <cellStyle name="_Row4_Book Budget 2002-2003_VRAN YTD_P&amp;L_P&amp;L KFE" xfId="10587"/>
    <cellStyle name="_Row4_Book Budget 2002-2003_VRAN YTD_P&amp;L_Sheet3" xfId="10588"/>
    <cellStyle name="_Row4_Book Budget 2002-2003_WP_AC11 P&amp;L LFL 27.10.10" xfId="10589"/>
    <cellStyle name="_Row4_Category PnL" xfId="10590"/>
    <cellStyle name="_Row4_Category PnL 2" xfId="10591"/>
    <cellStyle name="_Row4_Category PnL_P&amp;L KFE" xfId="10592"/>
    <cellStyle name="_Row4_Category PnL_Sheet3" xfId="10593"/>
    <cellStyle name="_Row4_Category Targets 2011_1.2" xfId="10594"/>
    <cellStyle name="_Row4_Category Template_Actuals" xfId="10595"/>
    <cellStyle name="_Row4_Category Template_Actuals 2" xfId="10596"/>
    <cellStyle name="_Row4_Category Template_Actuals NEW" xfId="10597"/>
    <cellStyle name="_Row4_Category Template_Actuals NEW 2" xfId="10598"/>
    <cellStyle name="_Row4_Category Template_Actuals NEW_Biscuits Actual Results P01" xfId="10599"/>
    <cellStyle name="_Row4_Category Template_Actuals NEW_Biscuits Actual Results P01 2" xfId="10600"/>
    <cellStyle name="_Row4_Category Template_Actuals NEW_Biscuits Actual Results P01_Category Template_Actuals" xfId="10601"/>
    <cellStyle name="_Row4_Category Template_Actuals NEW_Biscuits Actual Results P01_Category Template_Actuals 2" xfId="10602"/>
    <cellStyle name="_Row4_Category Template_Actuals NEW_Biscuits Actual Results P01_Category Template_Actuals_Biscuits Actual Results P02" xfId="10603"/>
    <cellStyle name="_Row4_Category Template_Actuals NEW_Biscuits Actual Results P01_Category Template_Actuals_Biscuits Actual Results P02 2" xfId="10604"/>
    <cellStyle name="_Row4_Category Template_Actuals NEW_Biscuits Actual Results P01_Category Template_Actuals_Biscuits Actual Results P02_Category Template_Actuals" xfId="10605"/>
    <cellStyle name="_Row4_Category Template_Actuals NEW_Biscuits Actual Results P01_Category Template_Actuals_Biscuits Actual Results P02_Category Template_Actuals_Biscuits Actual Results P04" xfId="10606"/>
    <cellStyle name="_Row4_Category Template_Actuals NEW_Biscuits Actual Results P01_Category Template_Actuals_Biscuits Actual Results P02_Category Template_Actuals_P&amp;L P06 AFH AC US" xfId="10607"/>
    <cellStyle name="_Row4_Category Template_Actuals NEW_Biscuits Actual Results P01_Category Template_Actuals_Biscuits Actual Results P02_P&amp;L" xfId="10608"/>
    <cellStyle name="_Row4_Category Template_Actuals NEW_Biscuits Actual Results P01_Category Template_Actuals_Biscuits Actual Results P02_P&amp;L_P&amp;L KFE" xfId="10609"/>
    <cellStyle name="_Row4_Category Template_Actuals NEW_Biscuits Actual Results P01_Category Template_Actuals_Biscuits Actual Results P02_P&amp;L_Sheet3" xfId="10610"/>
    <cellStyle name="_Row4_Category Template_Actuals NEW_Biscuits Actual Results P01_Category Template_Actuals_Biscuits Actual Results P02_VRAN YTD" xfId="10611"/>
    <cellStyle name="_Row4_Category Template_Actuals NEW_Biscuits Actual Results P01_Category Template_Actuals_Biscuits Actual Results P04" xfId="10612"/>
    <cellStyle name="_Row4_Category Template_Actuals NEW_Biscuits Actual Results P01_Category Template_Actuals_P&amp;L" xfId="10613"/>
    <cellStyle name="_Row4_Category Template_Actuals NEW_Biscuits Actual Results P01_Category Template_Actuals_P&amp;L P06 AFH AC US" xfId="10614"/>
    <cellStyle name="_Row4_Category Template_Actuals NEW_Biscuits Actual Results P01_Category Template_Actuals_P&amp;L_P&amp;L KFE" xfId="10615"/>
    <cellStyle name="_Row4_Category Template_Actuals NEW_Biscuits Actual Results P01_Category Template_Actuals_P&amp;L_Sheet3" xfId="10616"/>
    <cellStyle name="_Row4_Category Template_Actuals NEW_Biscuits Actual Results P01_P&amp;L" xfId="10617"/>
    <cellStyle name="_Row4_Category Template_Actuals NEW_Biscuits Actual Results P01_P&amp;L_P&amp;L KFE" xfId="10618"/>
    <cellStyle name="_Row4_Category Template_Actuals NEW_Biscuits Actual Results P01_P&amp;L_Sheet3" xfId="10619"/>
    <cellStyle name="_Row4_Category Template_Actuals NEW_Biscuits Actual Results P01_VRAN YTD" xfId="10620"/>
    <cellStyle name="_Row4_Category Template_Actuals NEW_Biscuits Actual Results P02" xfId="10621"/>
    <cellStyle name="_Row4_Category Template_Actuals NEW_Biscuits Actual Results P02 2" xfId="10622"/>
    <cellStyle name="_Row4_Category Template_Actuals NEW_Biscuits Actual Results P02_Category Template_Actuals" xfId="10623"/>
    <cellStyle name="_Row4_Category Template_Actuals NEW_Biscuits Actual Results P02_Category Template_Actuals_Biscuits Actual Results P04" xfId="10624"/>
    <cellStyle name="_Row4_Category Template_Actuals NEW_Biscuits Actual Results P02_Category Template_Actuals_P&amp;L P06 AFH AC US" xfId="10625"/>
    <cellStyle name="_Row4_Category Template_Actuals NEW_Biscuits Actual Results P02_P&amp;L" xfId="10626"/>
    <cellStyle name="_Row4_Category Template_Actuals NEW_Biscuits Actual Results P02_P&amp;L_P&amp;L KFE" xfId="10627"/>
    <cellStyle name="_Row4_Category Template_Actuals NEW_Biscuits Actual Results P02_P&amp;L_Sheet3" xfId="10628"/>
    <cellStyle name="_Row4_Category Template_Actuals NEW_Biscuits Actual Results P02_VRAN YTD" xfId="10629"/>
    <cellStyle name="_Row4_Category Template_Actuals NEW_Biscuits Actual Results P04" xfId="10630"/>
    <cellStyle name="_Row4_Category Template_Actuals NEW_Biscuits Actual Results P1 BIS" xfId="10631"/>
    <cellStyle name="_Row4_Category Template_Actuals NEW_Biscuits Actual Results P1 BIS 2" xfId="10632"/>
    <cellStyle name="_Row4_Category Template_Actuals NEW_Biscuits Actual Results P1 BIS_Category Template_Actuals" xfId="10633"/>
    <cellStyle name="_Row4_Category Template_Actuals NEW_Biscuits Actual Results P1 BIS_Category Template_Actuals_Biscuits Actual Results P04" xfId="10634"/>
    <cellStyle name="_Row4_Category Template_Actuals NEW_Biscuits Actual Results P1 BIS_Category Template_Actuals_P&amp;L P06 AFH AC US" xfId="10635"/>
    <cellStyle name="_Row4_Category Template_Actuals NEW_Biscuits Actual Results P1 BIS_P&amp;L" xfId="10636"/>
    <cellStyle name="_Row4_Category Template_Actuals NEW_Biscuits Actual Results P1 BIS_P&amp;L_P&amp;L KFE" xfId="10637"/>
    <cellStyle name="_Row4_Category Template_Actuals NEW_Biscuits Actual Results P1 BIS_P&amp;L_Sheet3" xfId="10638"/>
    <cellStyle name="_Row4_Category Template_Actuals NEW_Biscuits Actual Results P1 BIS_VRAN YTD" xfId="10639"/>
    <cellStyle name="_Row4_Category Template_Actuals NEW_Biscuits Actual Results P12 161210" xfId="10640"/>
    <cellStyle name="_Row4_Category Template_Actuals NEW_Biscuits Actual Results P12 161210 2" xfId="10641"/>
    <cellStyle name="_Row4_Category Template_Actuals NEW_Biscuits Actual Results P12 161210_Category Template_Actuals" xfId="10642"/>
    <cellStyle name="_Row4_Category Template_Actuals NEW_Biscuits Actual Results P12 161210_Category Template_Actuals 2" xfId="10643"/>
    <cellStyle name="_Row4_Category Template_Actuals NEW_Biscuits Actual Results P12 161210_Category Template_Actuals_Biscuits Actual Results P02" xfId="10644"/>
    <cellStyle name="_Row4_Category Template_Actuals NEW_Biscuits Actual Results P12 161210_Category Template_Actuals_Biscuits Actual Results P02 2" xfId="10645"/>
    <cellStyle name="_Row4_Category Template_Actuals NEW_Biscuits Actual Results P12 161210_Category Template_Actuals_Biscuits Actual Results P02_Category Template_Actuals" xfId="10646"/>
    <cellStyle name="_Row4_Category Template_Actuals NEW_Biscuits Actual Results P12 161210_Category Template_Actuals_Biscuits Actual Results P02_Category Template_Actuals_Biscuits Actual Results P04" xfId="10647"/>
    <cellStyle name="_Row4_Category Template_Actuals NEW_Biscuits Actual Results P12 161210_Category Template_Actuals_Biscuits Actual Results P02_Category Template_Actuals_P&amp;L P06 AFH AC US" xfId="10648"/>
    <cellStyle name="_Row4_Category Template_Actuals NEW_Biscuits Actual Results P12 161210_Category Template_Actuals_Biscuits Actual Results P02_P&amp;L" xfId="10649"/>
    <cellStyle name="_Row4_Category Template_Actuals NEW_Biscuits Actual Results P12 161210_Category Template_Actuals_Biscuits Actual Results P02_P&amp;L_P&amp;L KFE" xfId="10650"/>
    <cellStyle name="_Row4_Category Template_Actuals NEW_Biscuits Actual Results P12 161210_Category Template_Actuals_Biscuits Actual Results P02_P&amp;L_Sheet3" xfId="10651"/>
    <cellStyle name="_Row4_Category Template_Actuals NEW_Biscuits Actual Results P12 161210_Category Template_Actuals_Biscuits Actual Results P02_VRAN YTD" xfId="10652"/>
    <cellStyle name="_Row4_Category Template_Actuals NEW_Biscuits Actual Results P12 161210_Category Template_Actuals_Biscuits Actual Results P04" xfId="10653"/>
    <cellStyle name="_Row4_Category Template_Actuals NEW_Biscuits Actual Results P12 161210_Category Template_Actuals_P&amp;L" xfId="10654"/>
    <cellStyle name="_Row4_Category Template_Actuals NEW_Biscuits Actual Results P12 161210_Category Template_Actuals_P&amp;L P06 AFH AC US" xfId="10655"/>
    <cellStyle name="_Row4_Category Template_Actuals NEW_Biscuits Actual Results P12 161210_Category Template_Actuals_P&amp;L_P&amp;L KFE" xfId="10656"/>
    <cellStyle name="_Row4_Category Template_Actuals NEW_Biscuits Actual Results P12 161210_Category Template_Actuals_P&amp;L_Sheet3" xfId="10657"/>
    <cellStyle name="_Row4_Category Template_Actuals NEW_Biscuits Actual Results P12 161210_P&amp;L" xfId="10658"/>
    <cellStyle name="_Row4_Category Template_Actuals NEW_Biscuits Actual Results P12 161210_P&amp;L_P&amp;L KFE" xfId="10659"/>
    <cellStyle name="_Row4_Category Template_Actuals NEW_Biscuits Actual Results P12 161210_P&amp;L_Sheet3" xfId="10660"/>
    <cellStyle name="_Row4_Category Template_Actuals NEW_Biscuits Actual Results P12 161210_VRAN YTD" xfId="10661"/>
    <cellStyle name="_Row4_Category Template_Actuals NEW_P&amp;L" xfId="10662"/>
    <cellStyle name="_Row4_Category Template_Actuals NEW_P&amp;L P06 AFH AC US" xfId="10663"/>
    <cellStyle name="_Row4_Category Template_Actuals NEW_P&amp;L_P&amp;L KFE" xfId="10664"/>
    <cellStyle name="_Row4_Category Template_Actuals NEW_P&amp;L_Sheet3" xfId="10665"/>
    <cellStyle name="_Row4_Category Template_Actuals_Biscuits Actual Results P02" xfId="10666"/>
    <cellStyle name="_Row4_Category Template_Actuals_Biscuits Actual Results P02 2" xfId="10667"/>
    <cellStyle name="_Row4_Category Template_Actuals_Biscuits Actual Results P02_Category Template_Actuals" xfId="10668"/>
    <cellStyle name="_Row4_Category Template_Actuals_Biscuits Actual Results P02_Category Template_Actuals_Biscuits Actual Results P04" xfId="10669"/>
    <cellStyle name="_Row4_Category Template_Actuals_Biscuits Actual Results P02_Category Template_Actuals_P&amp;L P06 AFH AC US" xfId="10670"/>
    <cellStyle name="_Row4_Category Template_Actuals_Biscuits Actual Results P02_P&amp;L" xfId="10671"/>
    <cellStyle name="_Row4_Category Template_Actuals_Biscuits Actual Results P02_P&amp;L_P&amp;L KFE" xfId="10672"/>
    <cellStyle name="_Row4_Category Template_Actuals_Biscuits Actual Results P02_P&amp;L_Sheet3" xfId="10673"/>
    <cellStyle name="_Row4_Category Template_Actuals_Biscuits Actual Results P02_VRAN YTD" xfId="10674"/>
    <cellStyle name="_Row4_Category Template_Actuals_Biscuits Actual Results P04" xfId="10675"/>
    <cellStyle name="_Row4_Category Template_Actuals_P&amp;L" xfId="10676"/>
    <cellStyle name="_Row4_Category Template_Actuals_P&amp;L P06 AFH AC US" xfId="10677"/>
    <cellStyle name="_Row4_Category Template_Actuals_P&amp;L_P&amp;L KFE" xfId="10678"/>
    <cellStyle name="_Row4_Category Template_Actuals_P&amp;L_Sheet3" xfId="10679"/>
    <cellStyle name="_Row4_KFE Category PnL template_Combined_P03 (2)" xfId="10680"/>
    <cellStyle name="_Row4_KFE Category PnL template_Combined_P03 (2)_P&amp;L KFE" xfId="10681"/>
    <cellStyle name="_Row4_KFE Category PnL template_Combined_P03 (2)_Sheet3" xfId="10682"/>
    <cellStyle name="_Row4_KFE Category PnL template_Kraft Legacy (2)" xfId="10683"/>
    <cellStyle name="_Row4_KFE Category PnL template_Kraft Legacy (2)_P&amp;L KFE" xfId="10684"/>
    <cellStyle name="_Row4_KFE Category PnL template_Kraft Legacy (2)_Sheet3" xfId="10685"/>
    <cellStyle name="_Row4_KFE Category PnL template_Kraft Legacy (4)" xfId="10686"/>
    <cellStyle name="_Row4_KFE Category PnL template_Kraft Legacy (4)_P&amp;L KFE" xfId="10687"/>
    <cellStyle name="_Row4_KFE Category PnL template_Kraft Legacy (4)_Sheet3" xfId="10688"/>
    <cellStyle name="_Row4_OI Bridge 0" xfId="10689"/>
    <cellStyle name="_Row4_OI Bridge 0_1" xfId="10690"/>
    <cellStyle name="_Row4_OI Bridge 1" xfId="10691"/>
    <cellStyle name="_Row4_P&amp;L" xfId="10692"/>
    <cellStyle name="_Row4_P&amp;L_P&amp;L KFE" xfId="10693"/>
    <cellStyle name="_Row4_P&amp;L_Sheet3" xfId="10694"/>
    <cellStyle name="_Row4_Sheet1" xfId="10695"/>
    <cellStyle name="_Row4_VRAN YTD" xfId="10696"/>
    <cellStyle name="_Row4_VRAN YTD 2" xfId="10697"/>
    <cellStyle name="_Row4_VRAN YTD_Biscuits Actual Results P01" xfId="10698"/>
    <cellStyle name="_Row4_VRAN YTD_Biscuits Actual Results P01 2" xfId="10699"/>
    <cellStyle name="_Row4_VRAN YTD_Biscuits Actual Results P01_Category Template_Actuals" xfId="10700"/>
    <cellStyle name="_Row4_VRAN YTD_Biscuits Actual Results P01_Category Template_Actuals 2" xfId="10701"/>
    <cellStyle name="_Row4_VRAN YTD_Biscuits Actual Results P01_Category Template_Actuals_Biscuits Actual Results P02" xfId="10702"/>
    <cellStyle name="_Row4_VRAN YTD_Biscuits Actual Results P01_Category Template_Actuals_Biscuits Actual Results P02 2" xfId="10703"/>
    <cellStyle name="_Row4_VRAN YTD_Biscuits Actual Results P01_Category Template_Actuals_Biscuits Actual Results P02_Category Template_Actuals" xfId="10704"/>
    <cellStyle name="_Row4_VRAN YTD_Biscuits Actual Results P01_Category Template_Actuals_Biscuits Actual Results P02_Category Template_Actuals_Biscuits Actual Results P04" xfId="10705"/>
    <cellStyle name="_Row4_VRAN YTD_Biscuits Actual Results P01_Category Template_Actuals_Biscuits Actual Results P02_Category Template_Actuals_P&amp;L P06 AFH AC US" xfId="10706"/>
    <cellStyle name="_Row4_VRAN YTD_Biscuits Actual Results P01_Category Template_Actuals_Biscuits Actual Results P02_P&amp;L" xfId="10707"/>
    <cellStyle name="_Row4_VRAN YTD_Biscuits Actual Results P01_Category Template_Actuals_Biscuits Actual Results P02_P&amp;L_P&amp;L KFE" xfId="10708"/>
    <cellStyle name="_Row4_VRAN YTD_Biscuits Actual Results P01_Category Template_Actuals_Biscuits Actual Results P02_P&amp;L_Sheet3" xfId="10709"/>
    <cellStyle name="_Row4_VRAN YTD_Biscuits Actual Results P01_Category Template_Actuals_Biscuits Actual Results P02_VRAN YTD" xfId="10710"/>
    <cellStyle name="_Row4_VRAN YTD_Biscuits Actual Results P01_Category Template_Actuals_Biscuits Actual Results P04" xfId="10711"/>
    <cellStyle name="_Row4_VRAN YTD_Biscuits Actual Results P01_Category Template_Actuals_P&amp;L" xfId="10712"/>
    <cellStyle name="_Row4_VRAN YTD_Biscuits Actual Results P01_Category Template_Actuals_P&amp;L P06 AFH AC US" xfId="10713"/>
    <cellStyle name="_Row4_VRAN YTD_Biscuits Actual Results P01_Category Template_Actuals_P&amp;L_P&amp;L KFE" xfId="10714"/>
    <cellStyle name="_Row4_VRAN YTD_Biscuits Actual Results P01_Category Template_Actuals_P&amp;L_Sheet3" xfId="10715"/>
    <cellStyle name="_Row4_VRAN YTD_Biscuits Actual Results P01_P&amp;L" xfId="10716"/>
    <cellStyle name="_Row4_VRAN YTD_Biscuits Actual Results P01_P&amp;L_P&amp;L KFE" xfId="10717"/>
    <cellStyle name="_Row4_VRAN YTD_Biscuits Actual Results P01_P&amp;L_Sheet3" xfId="10718"/>
    <cellStyle name="_Row4_VRAN YTD_Biscuits Actual Results P01_VRAN YTD" xfId="10719"/>
    <cellStyle name="_Row4_VRAN YTD_Biscuits Actual Results P02" xfId="10720"/>
    <cellStyle name="_Row4_VRAN YTD_Biscuits Actual Results P02 2" xfId="10721"/>
    <cellStyle name="_Row4_VRAN YTD_Biscuits Actual Results P02_Category Template_Actuals" xfId="10722"/>
    <cellStyle name="_Row4_VRAN YTD_Biscuits Actual Results P02_Category Template_Actuals_Biscuits Actual Results P04" xfId="10723"/>
    <cellStyle name="_Row4_VRAN YTD_Biscuits Actual Results P02_Category Template_Actuals_P&amp;L P06 AFH AC US" xfId="10724"/>
    <cellStyle name="_Row4_VRAN YTD_Biscuits Actual Results P02_P&amp;L" xfId="10725"/>
    <cellStyle name="_Row4_VRAN YTD_Biscuits Actual Results P02_P&amp;L_P&amp;L KFE" xfId="10726"/>
    <cellStyle name="_Row4_VRAN YTD_Biscuits Actual Results P02_P&amp;L_Sheet3" xfId="10727"/>
    <cellStyle name="_Row4_VRAN YTD_Biscuits Actual Results P02_VRAN YTD" xfId="10728"/>
    <cellStyle name="_Row4_VRAN YTD_Biscuits Actual Results P04" xfId="10729"/>
    <cellStyle name="_Row4_VRAN YTD_Biscuits Actual Results P1 BIS" xfId="10730"/>
    <cellStyle name="_Row4_VRAN YTD_Biscuits Actual Results P1 BIS 2" xfId="10731"/>
    <cellStyle name="_Row4_VRAN YTD_Biscuits Actual Results P1 BIS_Category Template_Actuals" xfId="10732"/>
    <cellStyle name="_Row4_VRAN YTD_Biscuits Actual Results P1 BIS_Category Template_Actuals_Biscuits Actual Results P04" xfId="10733"/>
    <cellStyle name="_Row4_VRAN YTD_Biscuits Actual Results P1 BIS_Category Template_Actuals_P&amp;L P06 AFH AC US" xfId="10734"/>
    <cellStyle name="_Row4_VRAN YTD_Biscuits Actual Results P1 BIS_P&amp;L" xfId="10735"/>
    <cellStyle name="_Row4_VRAN YTD_Biscuits Actual Results P1 BIS_P&amp;L_P&amp;L KFE" xfId="10736"/>
    <cellStyle name="_Row4_VRAN YTD_Biscuits Actual Results P1 BIS_P&amp;L_Sheet3" xfId="10737"/>
    <cellStyle name="_Row4_VRAN YTD_Biscuits Actual Results P1 BIS_VRAN YTD" xfId="10738"/>
    <cellStyle name="_Row4_VRAN YTD_Biscuits Actual Results P12 161210" xfId="10739"/>
    <cellStyle name="_Row4_VRAN YTD_Biscuits Actual Results P12 161210 2" xfId="10740"/>
    <cellStyle name="_Row4_VRAN YTD_Biscuits Actual Results P12 161210_Category Template_Actuals" xfId="10741"/>
    <cellStyle name="_Row4_VRAN YTD_Biscuits Actual Results P12 161210_Category Template_Actuals 2" xfId="10742"/>
    <cellStyle name="_Row4_VRAN YTD_Biscuits Actual Results P12 161210_Category Template_Actuals_Biscuits Actual Results P02" xfId="10743"/>
    <cellStyle name="_Row4_VRAN YTD_Biscuits Actual Results P12 161210_Category Template_Actuals_Biscuits Actual Results P02 2" xfId="10744"/>
    <cellStyle name="_Row4_VRAN YTD_Biscuits Actual Results P12 161210_Category Template_Actuals_Biscuits Actual Results P02_Category Template_Actuals" xfId="10745"/>
    <cellStyle name="_Row4_VRAN YTD_Biscuits Actual Results P12 161210_Category Template_Actuals_Biscuits Actual Results P02_Category Template_Actuals_Biscuits Actual Results P04" xfId="10746"/>
    <cellStyle name="_Row4_VRAN YTD_Biscuits Actual Results P12 161210_Category Template_Actuals_Biscuits Actual Results P02_Category Template_Actuals_P&amp;L P06 AFH AC US" xfId="10747"/>
    <cellStyle name="_Row4_VRAN YTD_Biscuits Actual Results P12 161210_Category Template_Actuals_Biscuits Actual Results P02_P&amp;L" xfId="10748"/>
    <cellStyle name="_Row4_VRAN YTD_Biscuits Actual Results P12 161210_Category Template_Actuals_Biscuits Actual Results P02_P&amp;L_P&amp;L KFE" xfId="10749"/>
    <cellStyle name="_Row4_VRAN YTD_Biscuits Actual Results P12 161210_Category Template_Actuals_Biscuits Actual Results P02_P&amp;L_Sheet3" xfId="10750"/>
    <cellStyle name="_Row4_VRAN YTD_Biscuits Actual Results P12 161210_Category Template_Actuals_Biscuits Actual Results P02_VRAN YTD" xfId="10751"/>
    <cellStyle name="_Row4_VRAN YTD_Biscuits Actual Results P12 161210_Category Template_Actuals_Biscuits Actual Results P04" xfId="10752"/>
    <cellStyle name="_Row4_VRAN YTD_Biscuits Actual Results P12 161210_Category Template_Actuals_P&amp;L" xfId="10753"/>
    <cellStyle name="_Row4_VRAN YTD_Biscuits Actual Results P12 161210_Category Template_Actuals_P&amp;L P06 AFH AC US" xfId="10754"/>
    <cellStyle name="_Row4_VRAN YTD_Biscuits Actual Results P12 161210_Category Template_Actuals_P&amp;L_P&amp;L KFE" xfId="10755"/>
    <cellStyle name="_Row4_VRAN YTD_Biscuits Actual Results P12 161210_Category Template_Actuals_P&amp;L_Sheet3" xfId="10756"/>
    <cellStyle name="_Row4_VRAN YTD_Biscuits Actual Results P12 161210_P&amp;L" xfId="10757"/>
    <cellStyle name="_Row4_VRAN YTD_Biscuits Actual Results P12 161210_P&amp;L_P&amp;L KFE" xfId="10758"/>
    <cellStyle name="_Row4_VRAN YTD_Biscuits Actual Results P12 161210_P&amp;L_Sheet3" xfId="10759"/>
    <cellStyle name="_Row4_VRAN YTD_Biscuits Actual Results P12 161210_VRAN YTD" xfId="10760"/>
    <cellStyle name="_Row4_VRAN YTD_P&amp;L" xfId="10761"/>
    <cellStyle name="_Row4_VRAN YTD_P&amp;L P06 AFH AC US" xfId="10762"/>
    <cellStyle name="_Row4_VRAN YTD_P&amp;L_P&amp;L KFE" xfId="10763"/>
    <cellStyle name="_Row4_VRAN YTD_P&amp;L_Sheet3" xfId="10764"/>
    <cellStyle name="_Row4_WP_AC11 P&amp;L LFL 27.10.10" xfId="10765"/>
    <cellStyle name="_Row5" xfId="10766"/>
    <cellStyle name="_Row5 2" xfId="10767"/>
    <cellStyle name="_Row5 3" xfId="10768"/>
    <cellStyle name="_Row5 3_P&amp;L KFE" xfId="10769"/>
    <cellStyle name="_Row5 3_Sheet3" xfId="10770"/>
    <cellStyle name="_Row5 4" xfId="10771"/>
    <cellStyle name="_Row5__P09 - Key Drivers KBE" xfId="10772"/>
    <cellStyle name="_Row5__P09 - Key Drivers KBE 2" xfId="10773"/>
    <cellStyle name="_Row5__P10 - Key Drivers KBE" xfId="10774"/>
    <cellStyle name="_Row5__P10 - Key Drivers KBE 2" xfId="10775"/>
    <cellStyle name="_Row5_2011 Targets by category Aug 25" xfId="10776"/>
    <cellStyle name="_Row5_AC11 conso @Cst Fx" xfId="10777"/>
    <cellStyle name="_Row5_AC11 conso @Cst Fx 2" xfId="10778"/>
    <cellStyle name="_Row5_AC11 conso @Cst Fx after LFL restatement" xfId="10779"/>
    <cellStyle name="_Row5_AC11 conso @Cst Fx after LFL restatement 2" xfId="10780"/>
    <cellStyle name="_Row5_AC11 conso @Cst Fx after LFL restatement_P&amp;L KFE" xfId="10781"/>
    <cellStyle name="_Row5_AC11 conso @Cst Fx after LFL restatement_Sheet3" xfId="10782"/>
    <cellStyle name="_Row5_AC11 conso @Cst Fx_P&amp;L KFE" xfId="10783"/>
    <cellStyle name="_Row5_AC11 conso @Cst Fx_Sheet3" xfId="10784"/>
    <cellStyle name="_Row5_Category PnL" xfId="10785"/>
    <cellStyle name="_Row5_Category PnL 2" xfId="10786"/>
    <cellStyle name="_Row5_Category PnL_P&amp;L KFE" xfId="10787"/>
    <cellStyle name="_Row5_Category PnL_Sheet3" xfId="10788"/>
    <cellStyle name="_Row5_Category Targets 2011_1.2" xfId="10789"/>
    <cellStyle name="_Row5_Category Template_Actuals" xfId="10790"/>
    <cellStyle name="_Row5_Category Template_Actuals 2" xfId="10791"/>
    <cellStyle name="_Row5_Category Template_Actuals NEW" xfId="10792"/>
    <cellStyle name="_Row5_Category Template_Actuals NEW 2" xfId="10793"/>
    <cellStyle name="_Row5_Category Template_Actuals NEW_Biscuits Actual Results P01" xfId="10794"/>
    <cellStyle name="_Row5_Category Template_Actuals NEW_Biscuits Actual Results P01 2" xfId="10795"/>
    <cellStyle name="_Row5_Category Template_Actuals NEW_Biscuits Actual Results P01_Category Template_Actuals" xfId="10796"/>
    <cellStyle name="_Row5_Category Template_Actuals NEW_Biscuits Actual Results P01_Category Template_Actuals 2" xfId="10797"/>
    <cellStyle name="_Row5_Category Template_Actuals NEW_Biscuits Actual Results P01_Category Template_Actuals_Biscuits Actual Results P02" xfId="10798"/>
    <cellStyle name="_Row5_Category Template_Actuals NEW_Biscuits Actual Results P01_Category Template_Actuals_Biscuits Actual Results P02 2" xfId="10799"/>
    <cellStyle name="_Row5_Category Template_Actuals NEW_Biscuits Actual Results P01_Category Template_Actuals_Biscuits Actual Results P02_Category Template_Actuals" xfId="10800"/>
    <cellStyle name="_Row5_Category Template_Actuals NEW_Biscuits Actual Results P01_Category Template_Actuals_Biscuits Actual Results P02_Category Template_Actuals_Biscuits Actual Results P04" xfId="10801"/>
    <cellStyle name="_Row5_Category Template_Actuals NEW_Biscuits Actual Results P01_Category Template_Actuals_Biscuits Actual Results P02_Category Template_Actuals_P&amp;L P06 AFH AC US" xfId="10802"/>
    <cellStyle name="_Row5_Category Template_Actuals NEW_Biscuits Actual Results P01_Category Template_Actuals_Biscuits Actual Results P02_P&amp;L" xfId="10803"/>
    <cellStyle name="_Row5_Category Template_Actuals NEW_Biscuits Actual Results P01_Category Template_Actuals_Biscuits Actual Results P02_P&amp;L_P&amp;L KFE" xfId="10804"/>
    <cellStyle name="_Row5_Category Template_Actuals NEW_Biscuits Actual Results P01_Category Template_Actuals_Biscuits Actual Results P02_P&amp;L_Sheet3" xfId="10805"/>
    <cellStyle name="_Row5_Category Template_Actuals NEW_Biscuits Actual Results P01_Category Template_Actuals_Biscuits Actual Results P02_VRAN YTD" xfId="10806"/>
    <cellStyle name="_Row5_Category Template_Actuals NEW_Biscuits Actual Results P01_Category Template_Actuals_Biscuits Actual Results P04" xfId="10807"/>
    <cellStyle name="_Row5_Category Template_Actuals NEW_Biscuits Actual Results P01_Category Template_Actuals_P&amp;L" xfId="10808"/>
    <cellStyle name="_Row5_Category Template_Actuals NEW_Biscuits Actual Results P01_Category Template_Actuals_P&amp;L P06 AFH AC US" xfId="10809"/>
    <cellStyle name="_Row5_Category Template_Actuals NEW_Biscuits Actual Results P01_Category Template_Actuals_P&amp;L_P&amp;L KFE" xfId="10810"/>
    <cellStyle name="_Row5_Category Template_Actuals NEW_Biscuits Actual Results P01_Category Template_Actuals_P&amp;L_Sheet3" xfId="10811"/>
    <cellStyle name="_Row5_Category Template_Actuals NEW_Biscuits Actual Results P01_P&amp;L" xfId="10812"/>
    <cellStyle name="_Row5_Category Template_Actuals NEW_Biscuits Actual Results P01_P&amp;L_P&amp;L KFE" xfId="10813"/>
    <cellStyle name="_Row5_Category Template_Actuals NEW_Biscuits Actual Results P01_P&amp;L_Sheet3" xfId="10814"/>
    <cellStyle name="_Row5_Category Template_Actuals NEW_Biscuits Actual Results P01_VRAN YTD" xfId="10815"/>
    <cellStyle name="_Row5_Category Template_Actuals NEW_Biscuits Actual Results P02" xfId="10816"/>
    <cellStyle name="_Row5_Category Template_Actuals NEW_Biscuits Actual Results P02 2" xfId="10817"/>
    <cellStyle name="_Row5_Category Template_Actuals NEW_Biscuits Actual Results P02_Category Template_Actuals" xfId="10818"/>
    <cellStyle name="_Row5_Category Template_Actuals NEW_Biscuits Actual Results P02_Category Template_Actuals_Biscuits Actual Results P04" xfId="10819"/>
    <cellStyle name="_Row5_Category Template_Actuals NEW_Biscuits Actual Results P02_Category Template_Actuals_P&amp;L P06 AFH AC US" xfId="10820"/>
    <cellStyle name="_Row5_Category Template_Actuals NEW_Biscuits Actual Results P02_P&amp;L" xfId="10821"/>
    <cellStyle name="_Row5_Category Template_Actuals NEW_Biscuits Actual Results P02_P&amp;L_P&amp;L KFE" xfId="10822"/>
    <cellStyle name="_Row5_Category Template_Actuals NEW_Biscuits Actual Results P02_P&amp;L_Sheet3" xfId="10823"/>
    <cellStyle name="_Row5_Category Template_Actuals NEW_Biscuits Actual Results P02_VRAN YTD" xfId="10824"/>
    <cellStyle name="_Row5_Category Template_Actuals NEW_Biscuits Actual Results P04" xfId="10825"/>
    <cellStyle name="_Row5_Category Template_Actuals NEW_Biscuits Actual Results P1 BIS" xfId="10826"/>
    <cellStyle name="_Row5_Category Template_Actuals NEW_Biscuits Actual Results P1 BIS 2" xfId="10827"/>
    <cellStyle name="_Row5_Category Template_Actuals NEW_Biscuits Actual Results P1 BIS_Category Template_Actuals" xfId="10828"/>
    <cellStyle name="_Row5_Category Template_Actuals NEW_Biscuits Actual Results P1 BIS_Category Template_Actuals_Biscuits Actual Results P04" xfId="10829"/>
    <cellStyle name="_Row5_Category Template_Actuals NEW_Biscuits Actual Results P1 BIS_Category Template_Actuals_P&amp;L P06 AFH AC US" xfId="10830"/>
    <cellStyle name="_Row5_Category Template_Actuals NEW_Biscuits Actual Results P1 BIS_P&amp;L" xfId="10831"/>
    <cellStyle name="_Row5_Category Template_Actuals NEW_Biscuits Actual Results P1 BIS_P&amp;L_P&amp;L KFE" xfId="10832"/>
    <cellStyle name="_Row5_Category Template_Actuals NEW_Biscuits Actual Results P1 BIS_P&amp;L_Sheet3" xfId="10833"/>
    <cellStyle name="_Row5_Category Template_Actuals NEW_Biscuits Actual Results P1 BIS_VRAN YTD" xfId="10834"/>
    <cellStyle name="_Row5_Category Template_Actuals NEW_Biscuits Actual Results P12 161210" xfId="10835"/>
    <cellStyle name="_Row5_Category Template_Actuals NEW_Biscuits Actual Results P12 161210 2" xfId="10836"/>
    <cellStyle name="_Row5_Category Template_Actuals NEW_Biscuits Actual Results P12 161210_Category Template_Actuals" xfId="10837"/>
    <cellStyle name="_Row5_Category Template_Actuals NEW_Biscuits Actual Results P12 161210_Category Template_Actuals 2" xfId="10838"/>
    <cellStyle name="_Row5_Category Template_Actuals NEW_Biscuits Actual Results P12 161210_Category Template_Actuals_Biscuits Actual Results P02" xfId="10839"/>
    <cellStyle name="_Row5_Category Template_Actuals NEW_Biscuits Actual Results P12 161210_Category Template_Actuals_Biscuits Actual Results P02 2" xfId="10840"/>
    <cellStyle name="_Row5_Category Template_Actuals NEW_Biscuits Actual Results P12 161210_Category Template_Actuals_Biscuits Actual Results P02_Category Template_Actuals" xfId="10841"/>
    <cellStyle name="_Row5_Category Template_Actuals NEW_Biscuits Actual Results P12 161210_Category Template_Actuals_Biscuits Actual Results P02_Category Template_Actuals_Biscuits Actual Results P04" xfId="10842"/>
    <cellStyle name="_Row5_Category Template_Actuals NEW_Biscuits Actual Results P12 161210_Category Template_Actuals_Biscuits Actual Results P02_Category Template_Actuals_P&amp;L P06 AFH AC US" xfId="10843"/>
    <cellStyle name="_Row5_Category Template_Actuals NEW_Biscuits Actual Results P12 161210_Category Template_Actuals_Biscuits Actual Results P02_P&amp;L" xfId="10844"/>
    <cellStyle name="_Row5_Category Template_Actuals NEW_Biscuits Actual Results P12 161210_Category Template_Actuals_Biscuits Actual Results P02_P&amp;L_P&amp;L KFE" xfId="10845"/>
    <cellStyle name="_Row5_Category Template_Actuals NEW_Biscuits Actual Results P12 161210_Category Template_Actuals_Biscuits Actual Results P02_P&amp;L_Sheet3" xfId="10846"/>
    <cellStyle name="_Row5_Category Template_Actuals NEW_Biscuits Actual Results P12 161210_Category Template_Actuals_Biscuits Actual Results P02_VRAN YTD" xfId="10847"/>
    <cellStyle name="_Row5_Category Template_Actuals NEW_Biscuits Actual Results P12 161210_Category Template_Actuals_Biscuits Actual Results P04" xfId="10848"/>
    <cellStyle name="_Row5_Category Template_Actuals NEW_Biscuits Actual Results P12 161210_Category Template_Actuals_P&amp;L" xfId="10849"/>
    <cellStyle name="_Row5_Category Template_Actuals NEW_Biscuits Actual Results P12 161210_Category Template_Actuals_P&amp;L P06 AFH AC US" xfId="10850"/>
    <cellStyle name="_Row5_Category Template_Actuals NEW_Biscuits Actual Results P12 161210_Category Template_Actuals_P&amp;L_P&amp;L KFE" xfId="10851"/>
    <cellStyle name="_Row5_Category Template_Actuals NEW_Biscuits Actual Results P12 161210_Category Template_Actuals_P&amp;L_Sheet3" xfId="10852"/>
    <cellStyle name="_Row5_Category Template_Actuals NEW_Biscuits Actual Results P12 161210_P&amp;L" xfId="10853"/>
    <cellStyle name="_Row5_Category Template_Actuals NEW_Biscuits Actual Results P12 161210_P&amp;L_P&amp;L KFE" xfId="10854"/>
    <cellStyle name="_Row5_Category Template_Actuals NEW_Biscuits Actual Results P12 161210_P&amp;L_Sheet3" xfId="10855"/>
    <cellStyle name="_Row5_Category Template_Actuals NEW_Biscuits Actual Results P12 161210_VRAN YTD" xfId="10856"/>
    <cellStyle name="_Row5_Category Template_Actuals NEW_P&amp;L" xfId="10857"/>
    <cellStyle name="_Row5_Category Template_Actuals NEW_P&amp;L P06 AFH AC US" xfId="10858"/>
    <cellStyle name="_Row5_Category Template_Actuals NEW_P&amp;L_P&amp;L KFE" xfId="10859"/>
    <cellStyle name="_Row5_Category Template_Actuals NEW_P&amp;L_Sheet3" xfId="10860"/>
    <cellStyle name="_Row5_Category Template_Actuals_Biscuits Actual Results P02" xfId="10861"/>
    <cellStyle name="_Row5_Category Template_Actuals_Biscuits Actual Results P02 2" xfId="10862"/>
    <cellStyle name="_Row5_Category Template_Actuals_Biscuits Actual Results P02_Category Template_Actuals" xfId="10863"/>
    <cellStyle name="_Row5_Category Template_Actuals_Biscuits Actual Results P02_Category Template_Actuals_Biscuits Actual Results P04" xfId="10864"/>
    <cellStyle name="_Row5_Category Template_Actuals_Biscuits Actual Results P02_Category Template_Actuals_P&amp;L P06 AFH AC US" xfId="10865"/>
    <cellStyle name="_Row5_Category Template_Actuals_Biscuits Actual Results P02_P&amp;L" xfId="10866"/>
    <cellStyle name="_Row5_Category Template_Actuals_Biscuits Actual Results P02_P&amp;L_P&amp;L KFE" xfId="10867"/>
    <cellStyle name="_Row5_Category Template_Actuals_Biscuits Actual Results P02_P&amp;L_Sheet3" xfId="10868"/>
    <cellStyle name="_Row5_Category Template_Actuals_Biscuits Actual Results P02_VRAN YTD" xfId="10869"/>
    <cellStyle name="_Row5_Category Template_Actuals_Biscuits Actual Results P04" xfId="10870"/>
    <cellStyle name="_Row5_Category Template_Actuals_P&amp;L" xfId="10871"/>
    <cellStyle name="_Row5_Category Template_Actuals_P&amp;L P06 AFH AC US" xfId="10872"/>
    <cellStyle name="_Row5_Category Template_Actuals_P&amp;L_P&amp;L KFE" xfId="10873"/>
    <cellStyle name="_Row5_Category Template_Actuals_P&amp;L_Sheet3" xfId="10874"/>
    <cellStyle name="_Row5_EVA COGS AC11 vs AugFc_24-09" xfId="10875"/>
    <cellStyle name="_Row5_Finance review Lu France 2007" xfId="10876"/>
    <cellStyle name="_Row5_Finance review Lu France 2007 2" xfId="10877"/>
    <cellStyle name="_Row5_Finance review Lu France 2007 2_P&amp;L KFE" xfId="10878"/>
    <cellStyle name="_Row5_Finance review Lu France 2007 2_Sheet3" xfId="10879"/>
    <cellStyle name="_Row5_Finance review Lu France 2007 3" xfId="10880"/>
    <cellStyle name="_Row5_Finance review Lu France 2007_2011 Targets by category Aug 25" xfId="10881"/>
    <cellStyle name="_Row5_Finance review Lu France 2007_AC11 conso @Cst Fx" xfId="10882"/>
    <cellStyle name="_Row5_Finance review Lu France 2007_AC11 conso @Cst Fx 2" xfId="10883"/>
    <cellStyle name="_Row5_Finance review Lu France 2007_AC11 conso @Cst Fx after LFL restatement" xfId="10884"/>
    <cellStyle name="_Row5_Finance review Lu France 2007_AC11 conso @Cst Fx after LFL restatement 2" xfId="10885"/>
    <cellStyle name="_Row5_Finance review Lu France 2007_AC11 conso @Cst Fx after LFL restatement_P&amp;L KFE" xfId="10886"/>
    <cellStyle name="_Row5_Finance review Lu France 2007_AC11 conso @Cst Fx after LFL restatement_Sheet3" xfId="10887"/>
    <cellStyle name="_Row5_Finance review Lu France 2007_AC11 conso @Cst Fx_P&amp;L KFE" xfId="10888"/>
    <cellStyle name="_Row5_Finance review Lu France 2007_AC11 conso @Cst Fx_Sheet3" xfId="10889"/>
    <cellStyle name="_Row5_Finance review Lu France 2007_Category PnL" xfId="10890"/>
    <cellStyle name="_Row5_Finance review Lu France 2007_Category PnL 2" xfId="10891"/>
    <cellStyle name="_Row5_Finance review Lu France 2007_Category PnL_P&amp;L KFE" xfId="10892"/>
    <cellStyle name="_Row5_Finance review Lu France 2007_Category PnL_Sheet3" xfId="10893"/>
    <cellStyle name="_Row5_Finance review Lu France 2007_Category Targets 2011_1.2" xfId="10894"/>
    <cellStyle name="_Row5_Finance review Lu France 2007_Category Template_Actuals" xfId="10895"/>
    <cellStyle name="_Row5_Finance review Lu France 2007_Category Template_Actuals 2" xfId="10896"/>
    <cellStyle name="_Row5_Finance review Lu France 2007_Category Template_Actuals NEW" xfId="10897"/>
    <cellStyle name="_Row5_Finance review Lu France 2007_Category Template_Actuals NEW 2" xfId="10898"/>
    <cellStyle name="_Row5_Finance review Lu France 2007_Category Template_Actuals NEW_Biscuits Actual Results P01" xfId="10899"/>
    <cellStyle name="_Row5_Finance review Lu France 2007_Category Template_Actuals NEW_Biscuits Actual Results P01 2" xfId="10900"/>
    <cellStyle name="_Row5_Finance review Lu France 2007_Category Template_Actuals NEW_Biscuits Actual Results P01_Category Template_Actuals" xfId="10901"/>
    <cellStyle name="_Row5_Finance review Lu France 2007_Category Template_Actuals NEW_Biscuits Actual Results P01_Category Template_Actuals 2" xfId="10902"/>
    <cellStyle name="_Row5_Finance review Lu France 2007_Category Template_Actuals NEW_Biscuits Actual Results P01_Category Template_Actuals_Biscuits Actual Results P02" xfId="10903"/>
    <cellStyle name="_Row5_Finance review Lu France 2007_Category Template_Actuals NEW_Biscuits Actual Results P01_Category Template_Actuals_Biscuits Actual Results P02 2" xfId="10904"/>
    <cellStyle name="_Row5_Finance review Lu France 2007_Category Template_Actuals NEW_Biscuits Actual Results P01_Category Template_Actuals_Biscuits Actual Results P02_Category Template_Actuals" xfId="10905"/>
    <cellStyle name="_Row5_Finance review Lu France 2007_Category Template_Actuals NEW_Biscuits Actual Results P01_Category Template_Actuals_Biscuits Actual Results P02_Category Template_Actuals_Biscuits Actual Results P04" xfId="10906"/>
    <cellStyle name="_Row5_Finance review Lu France 2007_Category Template_Actuals NEW_Biscuits Actual Results P01_Category Template_Actuals_Biscuits Actual Results P02_Category Template_Actuals_P&amp;L P06 AFH AC US" xfId="10907"/>
    <cellStyle name="_Row5_Finance review Lu France 2007_Category Template_Actuals NEW_Biscuits Actual Results P01_Category Template_Actuals_Biscuits Actual Results P02_P&amp;L" xfId="10908"/>
    <cellStyle name="_Row5_Finance review Lu France 2007_Category Template_Actuals NEW_Biscuits Actual Results P01_Category Template_Actuals_Biscuits Actual Results P02_P&amp;L_P&amp;L KFE" xfId="10909"/>
    <cellStyle name="_Row5_Finance review Lu France 2007_Category Template_Actuals NEW_Biscuits Actual Results P01_Category Template_Actuals_Biscuits Actual Results P02_P&amp;L_Sheet3" xfId="10910"/>
    <cellStyle name="_Row5_Finance review Lu France 2007_Category Template_Actuals NEW_Biscuits Actual Results P01_Category Template_Actuals_Biscuits Actual Results P02_VRAN YTD" xfId="10911"/>
    <cellStyle name="_Row5_Finance review Lu France 2007_Category Template_Actuals NEW_Biscuits Actual Results P01_Category Template_Actuals_Biscuits Actual Results P04" xfId="10912"/>
    <cellStyle name="_Row5_Finance review Lu France 2007_Category Template_Actuals NEW_Biscuits Actual Results P01_Category Template_Actuals_P&amp;L" xfId="10913"/>
    <cellStyle name="_Row5_Finance review Lu France 2007_Category Template_Actuals NEW_Biscuits Actual Results P01_Category Template_Actuals_P&amp;L P06 AFH AC US" xfId="10914"/>
    <cellStyle name="_Row5_Finance review Lu France 2007_Category Template_Actuals NEW_Biscuits Actual Results P01_Category Template_Actuals_P&amp;L_P&amp;L KFE" xfId="10915"/>
    <cellStyle name="_Row5_Finance review Lu France 2007_Category Template_Actuals NEW_Biscuits Actual Results P01_Category Template_Actuals_P&amp;L_Sheet3" xfId="10916"/>
    <cellStyle name="_Row5_Finance review Lu France 2007_Category Template_Actuals NEW_Biscuits Actual Results P01_P&amp;L" xfId="10917"/>
    <cellStyle name="_Row5_Finance review Lu France 2007_Category Template_Actuals NEW_Biscuits Actual Results P01_P&amp;L_P&amp;L KFE" xfId="10918"/>
    <cellStyle name="_Row5_Finance review Lu France 2007_Category Template_Actuals NEW_Biscuits Actual Results P01_P&amp;L_Sheet3" xfId="10919"/>
    <cellStyle name="_Row5_Finance review Lu France 2007_Category Template_Actuals NEW_Biscuits Actual Results P01_VRAN YTD" xfId="10920"/>
    <cellStyle name="_Row5_Finance review Lu France 2007_Category Template_Actuals NEW_Biscuits Actual Results P02" xfId="10921"/>
    <cellStyle name="_Row5_Finance review Lu France 2007_Category Template_Actuals NEW_Biscuits Actual Results P02 2" xfId="10922"/>
    <cellStyle name="_Row5_Finance review Lu France 2007_Category Template_Actuals NEW_Biscuits Actual Results P02_Category Template_Actuals" xfId="10923"/>
    <cellStyle name="_Row5_Finance review Lu France 2007_Category Template_Actuals NEW_Biscuits Actual Results P02_Category Template_Actuals_Biscuits Actual Results P04" xfId="10924"/>
    <cellStyle name="_Row5_Finance review Lu France 2007_Category Template_Actuals NEW_Biscuits Actual Results P02_Category Template_Actuals_P&amp;L P06 AFH AC US" xfId="10925"/>
    <cellStyle name="_Row5_Finance review Lu France 2007_Category Template_Actuals NEW_Biscuits Actual Results P02_P&amp;L" xfId="10926"/>
    <cellStyle name="_Row5_Finance review Lu France 2007_Category Template_Actuals NEW_Biscuits Actual Results P02_P&amp;L_P&amp;L KFE" xfId="10927"/>
    <cellStyle name="_Row5_Finance review Lu France 2007_Category Template_Actuals NEW_Biscuits Actual Results P02_P&amp;L_Sheet3" xfId="10928"/>
    <cellStyle name="_Row5_Finance review Lu France 2007_Category Template_Actuals NEW_Biscuits Actual Results P02_VRAN YTD" xfId="10929"/>
    <cellStyle name="_Row5_Finance review Lu France 2007_Category Template_Actuals NEW_Biscuits Actual Results P04" xfId="10930"/>
    <cellStyle name="_Row5_Finance review Lu France 2007_Category Template_Actuals NEW_Biscuits Actual Results P1 BIS" xfId="10931"/>
    <cellStyle name="_Row5_Finance review Lu France 2007_Category Template_Actuals NEW_Biscuits Actual Results P1 BIS 2" xfId="10932"/>
    <cellStyle name="_Row5_Finance review Lu France 2007_Category Template_Actuals NEW_Biscuits Actual Results P1 BIS_Category Template_Actuals" xfId="10933"/>
    <cellStyle name="_Row5_Finance review Lu France 2007_Category Template_Actuals NEW_Biscuits Actual Results P1 BIS_Category Template_Actuals_Biscuits Actual Results P04" xfId="10934"/>
    <cellStyle name="_Row5_Finance review Lu France 2007_Category Template_Actuals NEW_Biscuits Actual Results P1 BIS_Category Template_Actuals_P&amp;L P06 AFH AC US" xfId="10935"/>
    <cellStyle name="_Row5_Finance review Lu France 2007_Category Template_Actuals NEW_Biscuits Actual Results P1 BIS_P&amp;L" xfId="10936"/>
    <cellStyle name="_Row5_Finance review Lu France 2007_Category Template_Actuals NEW_Biscuits Actual Results P1 BIS_P&amp;L_P&amp;L KFE" xfId="10937"/>
    <cellStyle name="_Row5_Finance review Lu France 2007_Category Template_Actuals NEW_Biscuits Actual Results P1 BIS_P&amp;L_Sheet3" xfId="10938"/>
    <cellStyle name="_Row5_Finance review Lu France 2007_Category Template_Actuals NEW_Biscuits Actual Results P1 BIS_VRAN YTD" xfId="10939"/>
    <cellStyle name="_Row5_Finance review Lu France 2007_Category Template_Actuals NEW_Biscuits Actual Results P12 161210" xfId="10940"/>
    <cellStyle name="_Row5_Finance review Lu France 2007_Category Template_Actuals NEW_Biscuits Actual Results P12 161210 2" xfId="10941"/>
    <cellStyle name="_Row5_Finance review Lu France 2007_Category Template_Actuals NEW_Biscuits Actual Results P12 161210_Category Template_Actuals" xfId="10942"/>
    <cellStyle name="_Row5_Finance review Lu France 2007_Category Template_Actuals NEW_Biscuits Actual Results P12 161210_Category Template_Actuals 2" xfId="10943"/>
    <cellStyle name="_Row5_Finance review Lu France 2007_Category Template_Actuals NEW_Biscuits Actual Results P12 161210_Category Template_Actuals_Biscuits Actual Results P02" xfId="10944"/>
    <cellStyle name="_Row5_Finance review Lu France 2007_Category Template_Actuals NEW_Biscuits Actual Results P12 161210_Category Template_Actuals_Biscuits Actual Results P02 2" xfId="10945"/>
    <cellStyle name="_Row5_Finance review Lu France 2007_Category Template_Actuals NEW_Biscuits Actual Results P12 161210_Category Template_Actuals_Biscuits Actual Results P02_Category Template_Actuals" xfId="10946"/>
    <cellStyle name="_Row5_Finance review Lu France 2007_Category Template_Actuals NEW_Biscuits Actual Results P12 161210_Category Template_Actuals_Biscuits Actual Results P02_Category Template_Actuals_Biscuits Actual Results P04" xfId="10947"/>
    <cellStyle name="_Row5_Finance review Lu France 2007_Category Template_Actuals NEW_Biscuits Actual Results P12 161210_Category Template_Actuals_Biscuits Actual Results P02_Category Template_Actuals_P&amp;L P06 AFH AC US" xfId="10948"/>
    <cellStyle name="_Row5_Finance review Lu France 2007_Category Template_Actuals NEW_Biscuits Actual Results P12 161210_Category Template_Actuals_Biscuits Actual Results P02_P&amp;L" xfId="10949"/>
    <cellStyle name="_Row5_Finance review Lu France 2007_Category Template_Actuals NEW_Biscuits Actual Results P12 161210_Category Template_Actuals_Biscuits Actual Results P02_P&amp;L_P&amp;L KFE" xfId="10950"/>
    <cellStyle name="_Row5_Finance review Lu France 2007_Category Template_Actuals NEW_Biscuits Actual Results P12 161210_Category Template_Actuals_Biscuits Actual Results P02_P&amp;L_Sheet3" xfId="10951"/>
    <cellStyle name="_Row5_Finance review Lu France 2007_Category Template_Actuals NEW_Biscuits Actual Results P12 161210_Category Template_Actuals_Biscuits Actual Results P02_VRAN YTD" xfId="10952"/>
    <cellStyle name="_Row5_Finance review Lu France 2007_Category Template_Actuals NEW_Biscuits Actual Results P12 161210_Category Template_Actuals_Biscuits Actual Results P04" xfId="10953"/>
    <cellStyle name="_Row5_Finance review Lu France 2007_Category Template_Actuals NEW_Biscuits Actual Results P12 161210_Category Template_Actuals_P&amp;L" xfId="10954"/>
    <cellStyle name="_Row5_Finance review Lu France 2007_Category Template_Actuals NEW_Biscuits Actual Results P12 161210_Category Template_Actuals_P&amp;L P06 AFH AC US" xfId="10955"/>
    <cellStyle name="_Row5_Finance review Lu France 2007_Category Template_Actuals NEW_Biscuits Actual Results P12 161210_Category Template_Actuals_P&amp;L_P&amp;L KFE" xfId="10956"/>
    <cellStyle name="_Row5_Finance review Lu France 2007_Category Template_Actuals NEW_Biscuits Actual Results P12 161210_Category Template_Actuals_P&amp;L_Sheet3" xfId="10957"/>
    <cellStyle name="_Row5_Finance review Lu France 2007_Category Template_Actuals NEW_Biscuits Actual Results P12 161210_P&amp;L" xfId="10958"/>
    <cellStyle name="_Row5_Finance review Lu France 2007_Category Template_Actuals NEW_Biscuits Actual Results P12 161210_P&amp;L_P&amp;L KFE" xfId="10959"/>
    <cellStyle name="_Row5_Finance review Lu France 2007_Category Template_Actuals NEW_Biscuits Actual Results P12 161210_P&amp;L_Sheet3" xfId="10960"/>
    <cellStyle name="_Row5_Finance review Lu France 2007_Category Template_Actuals NEW_Biscuits Actual Results P12 161210_VRAN YTD" xfId="10961"/>
    <cellStyle name="_Row5_Finance review Lu France 2007_Category Template_Actuals NEW_P&amp;L" xfId="10962"/>
    <cellStyle name="_Row5_Finance review Lu France 2007_Category Template_Actuals NEW_P&amp;L P06 AFH AC US" xfId="10963"/>
    <cellStyle name="_Row5_Finance review Lu France 2007_Category Template_Actuals NEW_P&amp;L_P&amp;L KFE" xfId="10964"/>
    <cellStyle name="_Row5_Finance review Lu France 2007_Category Template_Actuals NEW_P&amp;L_Sheet3" xfId="10965"/>
    <cellStyle name="_Row5_Finance review Lu France 2007_Category Template_Actuals_Biscuits Actual Results P02" xfId="10966"/>
    <cellStyle name="_Row5_Finance review Lu France 2007_Category Template_Actuals_Biscuits Actual Results P02 2" xfId="10967"/>
    <cellStyle name="_Row5_Finance review Lu France 2007_Category Template_Actuals_Biscuits Actual Results P02_Category Template_Actuals" xfId="10968"/>
    <cellStyle name="_Row5_Finance review Lu France 2007_Category Template_Actuals_Biscuits Actual Results P02_Category Template_Actuals_Biscuits Actual Results P04" xfId="10969"/>
    <cellStyle name="_Row5_Finance review Lu France 2007_Category Template_Actuals_Biscuits Actual Results P02_Category Template_Actuals_P&amp;L P06 AFH AC US" xfId="10970"/>
    <cellStyle name="_Row5_Finance review Lu France 2007_Category Template_Actuals_Biscuits Actual Results P02_P&amp;L" xfId="10971"/>
    <cellStyle name="_Row5_Finance review Lu France 2007_Category Template_Actuals_Biscuits Actual Results P02_P&amp;L_P&amp;L KFE" xfId="10972"/>
    <cellStyle name="_Row5_Finance review Lu France 2007_Category Template_Actuals_Biscuits Actual Results P02_P&amp;L_Sheet3" xfId="10973"/>
    <cellStyle name="_Row5_Finance review Lu France 2007_Category Template_Actuals_Biscuits Actual Results P02_VRAN YTD" xfId="10974"/>
    <cellStyle name="_Row5_Finance review Lu France 2007_Category Template_Actuals_Biscuits Actual Results P04" xfId="10975"/>
    <cellStyle name="_Row5_Finance review Lu France 2007_Category Template_Actuals_P&amp;L" xfId="10976"/>
    <cellStyle name="_Row5_Finance review Lu France 2007_Category Template_Actuals_P&amp;L P06 AFH AC US" xfId="10977"/>
    <cellStyle name="_Row5_Finance review Lu France 2007_Category Template_Actuals_P&amp;L_P&amp;L KFE" xfId="10978"/>
    <cellStyle name="_Row5_Finance review Lu France 2007_Category Template_Actuals_P&amp;L_Sheet3" xfId="10979"/>
    <cellStyle name="_Row5_Finance review Lu France 2007_KFE Category PnL template_Combined_P03 (2)" xfId="10980"/>
    <cellStyle name="_Row5_Finance review Lu France 2007_KFE Category PnL template_Combined_P03 (2)_P&amp;L KFE" xfId="10981"/>
    <cellStyle name="_Row5_Finance review Lu France 2007_KFE Category PnL template_Combined_P03 (2)_Sheet3" xfId="10982"/>
    <cellStyle name="_Row5_Finance review Lu France 2007_KFE Category PnL template_Kraft Legacy (2)" xfId="10983"/>
    <cellStyle name="_Row5_Finance review Lu France 2007_KFE Category PnL template_Kraft Legacy (2)_P&amp;L KFE" xfId="10984"/>
    <cellStyle name="_Row5_Finance review Lu France 2007_KFE Category PnL template_Kraft Legacy (2)_Sheet3" xfId="10985"/>
    <cellStyle name="_Row5_Finance review Lu France 2007_KFE Category PnL template_Kraft Legacy (4)" xfId="10986"/>
    <cellStyle name="_Row5_Finance review Lu France 2007_KFE Category PnL template_Kraft Legacy (4)_P&amp;L KFE" xfId="10987"/>
    <cellStyle name="_Row5_Finance review Lu France 2007_KFE Category PnL template_Kraft Legacy (4)_Sheet3" xfId="10988"/>
    <cellStyle name="_Row5_Finance review Lu France 2007_OI Bridge 0" xfId="10989"/>
    <cellStyle name="_Row5_Finance review Lu France 2007_OI Bridge 0_1" xfId="10990"/>
    <cellStyle name="_Row5_Finance review Lu France 2007_OI Bridge 1" xfId="10991"/>
    <cellStyle name="_Row5_Finance review Lu France 2007_P&amp;L" xfId="10992"/>
    <cellStyle name="_Row5_Finance review Lu France 2007_P&amp;L_P&amp;L KFE" xfId="10993"/>
    <cellStyle name="_Row5_Finance review Lu France 2007_P&amp;L_Sheet3" xfId="10994"/>
    <cellStyle name="_Row5_Finance review Lu France 2007_Sheet1" xfId="10995"/>
    <cellStyle name="_Row5_Finance review Lu France 2007_VRAN YTD" xfId="10996"/>
    <cellStyle name="_Row5_Finance review Lu France 2007_VRAN YTD 2" xfId="10997"/>
    <cellStyle name="_Row5_Finance review Lu France 2007_VRAN YTD_Biscuits Actual Results P01" xfId="10998"/>
    <cellStyle name="_Row5_Finance review Lu France 2007_VRAN YTD_Biscuits Actual Results P01 2" xfId="10999"/>
    <cellStyle name="_Row5_Finance review Lu France 2007_VRAN YTD_Biscuits Actual Results P01_Category Template_Actuals" xfId="11000"/>
    <cellStyle name="_Row5_Finance review Lu France 2007_VRAN YTD_Biscuits Actual Results P01_Category Template_Actuals 2" xfId="11001"/>
    <cellStyle name="_Row5_Finance review Lu France 2007_VRAN YTD_Biscuits Actual Results P01_Category Template_Actuals_Biscuits Actual Results P02" xfId="11002"/>
    <cellStyle name="_Row5_Finance review Lu France 2007_VRAN YTD_Biscuits Actual Results P01_Category Template_Actuals_Biscuits Actual Results P02 2" xfId="11003"/>
    <cellStyle name="_Row5_Finance review Lu France 2007_VRAN YTD_Biscuits Actual Results P01_Category Template_Actuals_Biscuits Actual Results P02_Category Template_Actuals" xfId="11004"/>
    <cellStyle name="_Row5_Finance review Lu France 2007_VRAN YTD_Biscuits Actual Results P01_Category Template_Actuals_Biscuits Actual Results P02_Category Template_Actuals_Biscuits Actual Results P04" xfId="11005"/>
    <cellStyle name="_Row5_Finance review Lu France 2007_VRAN YTD_Biscuits Actual Results P01_Category Template_Actuals_Biscuits Actual Results P02_Category Template_Actuals_P&amp;L P06 AFH AC US" xfId="11006"/>
    <cellStyle name="_Row5_Finance review Lu France 2007_VRAN YTD_Biscuits Actual Results P01_Category Template_Actuals_Biscuits Actual Results P02_P&amp;L" xfId="11007"/>
    <cellStyle name="_Row5_Finance review Lu France 2007_VRAN YTD_Biscuits Actual Results P01_Category Template_Actuals_Biscuits Actual Results P02_P&amp;L_P&amp;L KFE" xfId="11008"/>
    <cellStyle name="_Row5_Finance review Lu France 2007_VRAN YTD_Biscuits Actual Results P01_Category Template_Actuals_Biscuits Actual Results P02_P&amp;L_Sheet3" xfId="11009"/>
    <cellStyle name="_Row5_Finance review Lu France 2007_VRAN YTD_Biscuits Actual Results P01_Category Template_Actuals_Biscuits Actual Results P02_VRAN YTD" xfId="11010"/>
    <cellStyle name="_Row5_Finance review Lu France 2007_VRAN YTD_Biscuits Actual Results P01_Category Template_Actuals_Biscuits Actual Results P04" xfId="11011"/>
    <cellStyle name="_Row5_Finance review Lu France 2007_VRAN YTD_Biscuits Actual Results P01_Category Template_Actuals_P&amp;L" xfId="11012"/>
    <cellStyle name="_Row5_Finance review Lu France 2007_VRAN YTD_Biscuits Actual Results P01_Category Template_Actuals_P&amp;L P06 AFH AC US" xfId="11013"/>
    <cellStyle name="_Row5_Finance review Lu France 2007_VRAN YTD_Biscuits Actual Results P01_Category Template_Actuals_P&amp;L_P&amp;L KFE" xfId="11014"/>
    <cellStyle name="_Row5_Finance review Lu France 2007_VRAN YTD_Biscuits Actual Results P01_Category Template_Actuals_P&amp;L_Sheet3" xfId="11015"/>
    <cellStyle name="_Row5_Finance review Lu France 2007_VRAN YTD_Biscuits Actual Results P01_P&amp;L" xfId="11016"/>
    <cellStyle name="_Row5_Finance review Lu France 2007_VRAN YTD_Biscuits Actual Results P01_P&amp;L_P&amp;L KFE" xfId="11017"/>
    <cellStyle name="_Row5_Finance review Lu France 2007_VRAN YTD_Biscuits Actual Results P01_P&amp;L_Sheet3" xfId="11018"/>
    <cellStyle name="_Row5_Finance review Lu France 2007_VRAN YTD_Biscuits Actual Results P01_VRAN YTD" xfId="11019"/>
    <cellStyle name="_Row5_Finance review Lu France 2007_VRAN YTD_Biscuits Actual Results P02" xfId="11020"/>
    <cellStyle name="_Row5_Finance review Lu France 2007_VRAN YTD_Biscuits Actual Results P02 2" xfId="11021"/>
    <cellStyle name="_Row5_Finance review Lu France 2007_VRAN YTD_Biscuits Actual Results P02_Category Template_Actuals" xfId="11022"/>
    <cellStyle name="_Row5_Finance review Lu France 2007_VRAN YTD_Biscuits Actual Results P02_Category Template_Actuals_Biscuits Actual Results P04" xfId="11023"/>
    <cellStyle name="_Row5_Finance review Lu France 2007_VRAN YTD_Biscuits Actual Results P02_Category Template_Actuals_P&amp;L P06 AFH AC US" xfId="11024"/>
    <cellStyle name="_Row5_Finance review Lu France 2007_VRAN YTD_Biscuits Actual Results P02_P&amp;L" xfId="11025"/>
    <cellStyle name="_Row5_Finance review Lu France 2007_VRAN YTD_Biscuits Actual Results P02_P&amp;L_P&amp;L KFE" xfId="11026"/>
    <cellStyle name="_Row5_Finance review Lu France 2007_VRAN YTD_Biscuits Actual Results P02_P&amp;L_Sheet3" xfId="11027"/>
    <cellStyle name="_Row5_Finance review Lu France 2007_VRAN YTD_Biscuits Actual Results P02_VRAN YTD" xfId="11028"/>
    <cellStyle name="_Row5_Finance review Lu France 2007_VRAN YTD_Biscuits Actual Results P04" xfId="11029"/>
    <cellStyle name="_Row5_Finance review Lu France 2007_VRAN YTD_Biscuits Actual Results P1 BIS" xfId="11030"/>
    <cellStyle name="_Row5_Finance review Lu France 2007_VRAN YTD_Biscuits Actual Results P1 BIS 2" xfId="11031"/>
    <cellStyle name="_Row5_Finance review Lu France 2007_VRAN YTD_Biscuits Actual Results P1 BIS_Category Template_Actuals" xfId="11032"/>
    <cellStyle name="_Row5_Finance review Lu France 2007_VRAN YTD_Biscuits Actual Results P1 BIS_Category Template_Actuals_Biscuits Actual Results P04" xfId="11033"/>
    <cellStyle name="_Row5_Finance review Lu France 2007_VRAN YTD_Biscuits Actual Results P1 BIS_Category Template_Actuals_P&amp;L P06 AFH AC US" xfId="11034"/>
    <cellStyle name="_Row5_Finance review Lu France 2007_VRAN YTD_Biscuits Actual Results P1 BIS_P&amp;L" xfId="11035"/>
    <cellStyle name="_Row5_Finance review Lu France 2007_VRAN YTD_Biscuits Actual Results P1 BIS_P&amp;L_P&amp;L KFE" xfId="11036"/>
    <cellStyle name="_Row5_Finance review Lu France 2007_VRAN YTD_Biscuits Actual Results P1 BIS_P&amp;L_Sheet3" xfId="11037"/>
    <cellStyle name="_Row5_Finance review Lu France 2007_VRAN YTD_Biscuits Actual Results P1 BIS_VRAN YTD" xfId="11038"/>
    <cellStyle name="_Row5_Finance review Lu France 2007_VRAN YTD_Biscuits Actual Results P12 161210" xfId="11039"/>
    <cellStyle name="_Row5_Finance review Lu France 2007_VRAN YTD_Biscuits Actual Results P12 161210 2" xfId="11040"/>
    <cellStyle name="_Row5_Finance review Lu France 2007_VRAN YTD_Biscuits Actual Results P12 161210_Category Template_Actuals" xfId="11041"/>
    <cellStyle name="_Row5_Finance review Lu France 2007_VRAN YTD_Biscuits Actual Results P12 161210_Category Template_Actuals 2" xfId="11042"/>
    <cellStyle name="_Row5_Finance review Lu France 2007_VRAN YTD_Biscuits Actual Results P12 161210_Category Template_Actuals_Biscuits Actual Results P02" xfId="11043"/>
    <cellStyle name="_Row5_Finance review Lu France 2007_VRAN YTD_Biscuits Actual Results P12 161210_Category Template_Actuals_Biscuits Actual Results P02 2" xfId="11044"/>
    <cellStyle name="_Row5_Finance review Lu France 2007_VRAN YTD_Biscuits Actual Results P12 161210_Category Template_Actuals_Biscuits Actual Results P02_Category Template_Actuals" xfId="11045"/>
    <cellStyle name="_Row5_Finance review Lu France 2007_VRAN YTD_Biscuits Actual Results P12 161210_Category Template_Actuals_Biscuits Actual Results P02_Category Template_Actuals_Biscuits Actual Results P04" xfId="11046"/>
    <cellStyle name="_Row5_Finance review Lu France 2007_VRAN YTD_Biscuits Actual Results P12 161210_Category Template_Actuals_Biscuits Actual Results P02_Category Template_Actuals_P&amp;L P06 AFH AC US" xfId="11047"/>
    <cellStyle name="_Row5_Finance review Lu France 2007_VRAN YTD_Biscuits Actual Results P12 161210_Category Template_Actuals_Biscuits Actual Results P02_P&amp;L" xfId="11048"/>
    <cellStyle name="_Row5_Finance review Lu France 2007_VRAN YTD_Biscuits Actual Results P12 161210_Category Template_Actuals_Biscuits Actual Results P02_P&amp;L_P&amp;L KFE" xfId="11049"/>
    <cellStyle name="_Row5_Finance review Lu France 2007_VRAN YTD_Biscuits Actual Results P12 161210_Category Template_Actuals_Biscuits Actual Results P02_P&amp;L_Sheet3" xfId="11050"/>
    <cellStyle name="_Row5_Finance review Lu France 2007_VRAN YTD_Biscuits Actual Results P12 161210_Category Template_Actuals_Biscuits Actual Results P02_VRAN YTD" xfId="11051"/>
    <cellStyle name="_Row5_Finance review Lu France 2007_VRAN YTD_Biscuits Actual Results P12 161210_Category Template_Actuals_Biscuits Actual Results P04" xfId="11052"/>
    <cellStyle name="_Row5_Finance review Lu France 2007_VRAN YTD_Biscuits Actual Results P12 161210_Category Template_Actuals_P&amp;L" xfId="11053"/>
    <cellStyle name="_Row5_Finance review Lu France 2007_VRAN YTD_Biscuits Actual Results P12 161210_Category Template_Actuals_P&amp;L P06 AFH AC US" xfId="11054"/>
    <cellStyle name="_Row5_Finance review Lu France 2007_VRAN YTD_Biscuits Actual Results P12 161210_Category Template_Actuals_P&amp;L_P&amp;L KFE" xfId="11055"/>
    <cellStyle name="_Row5_Finance review Lu France 2007_VRAN YTD_Biscuits Actual Results P12 161210_Category Template_Actuals_P&amp;L_Sheet3" xfId="11056"/>
    <cellStyle name="_Row5_Finance review Lu France 2007_VRAN YTD_Biscuits Actual Results P12 161210_P&amp;L" xfId="11057"/>
    <cellStyle name="_Row5_Finance review Lu France 2007_VRAN YTD_Biscuits Actual Results P12 161210_P&amp;L_P&amp;L KFE" xfId="11058"/>
    <cellStyle name="_Row5_Finance review Lu France 2007_VRAN YTD_Biscuits Actual Results P12 161210_P&amp;L_Sheet3" xfId="11059"/>
    <cellStyle name="_Row5_Finance review Lu France 2007_VRAN YTD_Biscuits Actual Results P12 161210_VRAN YTD" xfId="11060"/>
    <cellStyle name="_Row5_Finance review Lu France 2007_VRAN YTD_P&amp;L" xfId="11061"/>
    <cellStyle name="_Row5_Finance review Lu France 2007_VRAN YTD_P&amp;L P06 AFH AC US" xfId="11062"/>
    <cellStyle name="_Row5_Finance review Lu France 2007_VRAN YTD_P&amp;L_P&amp;L KFE" xfId="11063"/>
    <cellStyle name="_Row5_Finance review Lu France 2007_VRAN YTD_P&amp;L_Sheet3" xfId="11064"/>
    <cellStyle name="_Row5_FT avec ristournes" xfId="11065"/>
    <cellStyle name="_Row5_FT avec ristournes 2" xfId="11066"/>
    <cellStyle name="_Row5_FT avec ristournes 2_P&amp;L KFE" xfId="11067"/>
    <cellStyle name="_Row5_FT avec ristournes 2_Sheet3" xfId="11068"/>
    <cellStyle name="_Row5_FT avec ristournes 3" xfId="11069"/>
    <cellStyle name="_Row5_FT avec ristournes_2011 Targets by category Aug 25" xfId="11070"/>
    <cellStyle name="_Row5_FT avec ristournes_AC11 conso @Cst Fx" xfId="11071"/>
    <cellStyle name="_Row5_FT avec ristournes_AC11 conso @Cst Fx 2" xfId="11072"/>
    <cellStyle name="_Row5_FT avec ristournes_AC11 conso @Cst Fx after LFL restatement" xfId="11073"/>
    <cellStyle name="_Row5_FT avec ristournes_AC11 conso @Cst Fx after LFL restatement 2" xfId="11074"/>
    <cellStyle name="_Row5_FT avec ristournes_AC11 conso @Cst Fx after LFL restatement_P&amp;L KFE" xfId="11075"/>
    <cellStyle name="_Row5_FT avec ristournes_AC11 conso @Cst Fx after LFL restatement_Sheet3" xfId="11076"/>
    <cellStyle name="_Row5_FT avec ristournes_AC11 conso @Cst Fx_P&amp;L KFE" xfId="11077"/>
    <cellStyle name="_Row5_FT avec ristournes_AC11 conso @Cst Fx_Sheet3" xfId="11078"/>
    <cellStyle name="_Row5_FT avec ristournes_Category PnL" xfId="11079"/>
    <cellStyle name="_Row5_FT avec ristournes_Category PnL 2" xfId="11080"/>
    <cellStyle name="_Row5_FT avec ristournes_Category PnL_P&amp;L KFE" xfId="11081"/>
    <cellStyle name="_Row5_FT avec ristournes_Category PnL_Sheet3" xfId="11082"/>
    <cellStyle name="_Row5_FT avec ristournes_Category Targets 2011_1.2" xfId="11083"/>
    <cellStyle name="_Row5_FT avec ristournes_Category Template_Actuals" xfId="11084"/>
    <cellStyle name="_Row5_FT avec ristournes_Category Template_Actuals 2" xfId="11085"/>
    <cellStyle name="_Row5_FT avec ristournes_Category Template_Actuals NEW" xfId="11086"/>
    <cellStyle name="_Row5_FT avec ristournes_Category Template_Actuals NEW 2" xfId="11087"/>
    <cellStyle name="_Row5_FT avec ristournes_Category Template_Actuals NEW_Biscuits Actual Results P01" xfId="11088"/>
    <cellStyle name="_Row5_FT avec ristournes_Category Template_Actuals NEW_Biscuits Actual Results P01 2" xfId="11089"/>
    <cellStyle name="_Row5_FT avec ristournes_Category Template_Actuals NEW_Biscuits Actual Results P01_Category Template_Actuals" xfId="11090"/>
    <cellStyle name="_Row5_FT avec ristournes_Category Template_Actuals NEW_Biscuits Actual Results P01_Category Template_Actuals 2" xfId="11091"/>
    <cellStyle name="_Row5_FT avec ristournes_Category Template_Actuals NEW_Biscuits Actual Results P01_Category Template_Actuals_Biscuits Actual Results P02" xfId="11092"/>
    <cellStyle name="_Row5_FT avec ristournes_Category Template_Actuals NEW_Biscuits Actual Results P01_Category Template_Actuals_Biscuits Actual Results P02 2" xfId="11093"/>
    <cellStyle name="_Row5_FT avec ristournes_Category Template_Actuals NEW_Biscuits Actual Results P01_Category Template_Actuals_Biscuits Actual Results P02_Category Template_Actuals" xfId="11094"/>
    <cellStyle name="_Row5_FT avec ristournes_Category Template_Actuals NEW_Biscuits Actual Results P01_Category Template_Actuals_Biscuits Actual Results P02_Category Template_Actuals_Biscuits Actual Results P04" xfId="11095"/>
    <cellStyle name="_Row5_FT avec ristournes_Category Template_Actuals NEW_Biscuits Actual Results P01_Category Template_Actuals_Biscuits Actual Results P02_Category Template_Actuals_P&amp;L P06 AFH AC US" xfId="11096"/>
    <cellStyle name="_Row5_FT avec ristournes_Category Template_Actuals NEW_Biscuits Actual Results P01_Category Template_Actuals_Biscuits Actual Results P02_P&amp;L" xfId="11097"/>
    <cellStyle name="_Row5_FT avec ristournes_Category Template_Actuals NEW_Biscuits Actual Results P01_Category Template_Actuals_Biscuits Actual Results P02_P&amp;L_P&amp;L KFE" xfId="11098"/>
    <cellStyle name="_Row5_FT avec ristournes_Category Template_Actuals NEW_Biscuits Actual Results P01_Category Template_Actuals_Biscuits Actual Results P02_P&amp;L_Sheet3" xfId="11099"/>
    <cellStyle name="_Row5_FT avec ristournes_Category Template_Actuals NEW_Biscuits Actual Results P01_Category Template_Actuals_Biscuits Actual Results P02_VRAN YTD" xfId="11100"/>
    <cellStyle name="_Row5_FT avec ristournes_Category Template_Actuals NEW_Biscuits Actual Results P01_Category Template_Actuals_Biscuits Actual Results P04" xfId="11101"/>
    <cellStyle name="_Row5_FT avec ristournes_Category Template_Actuals NEW_Biscuits Actual Results P01_Category Template_Actuals_P&amp;L" xfId="11102"/>
    <cellStyle name="_Row5_FT avec ristournes_Category Template_Actuals NEW_Biscuits Actual Results P01_Category Template_Actuals_P&amp;L P06 AFH AC US" xfId="11103"/>
    <cellStyle name="_Row5_FT avec ristournes_Category Template_Actuals NEW_Biscuits Actual Results P01_Category Template_Actuals_P&amp;L_P&amp;L KFE" xfId="11104"/>
    <cellStyle name="_Row5_FT avec ristournes_Category Template_Actuals NEW_Biscuits Actual Results P01_Category Template_Actuals_P&amp;L_Sheet3" xfId="11105"/>
    <cellStyle name="_Row5_FT avec ristournes_Category Template_Actuals NEW_Biscuits Actual Results P01_P&amp;L" xfId="11106"/>
    <cellStyle name="_Row5_FT avec ristournes_Category Template_Actuals NEW_Biscuits Actual Results P01_P&amp;L_P&amp;L KFE" xfId="11107"/>
    <cellStyle name="_Row5_FT avec ristournes_Category Template_Actuals NEW_Biscuits Actual Results P01_P&amp;L_Sheet3" xfId="11108"/>
    <cellStyle name="_Row5_FT avec ristournes_Category Template_Actuals NEW_Biscuits Actual Results P01_VRAN YTD" xfId="11109"/>
    <cellStyle name="_Row5_FT avec ristournes_Category Template_Actuals NEW_Biscuits Actual Results P02" xfId="11110"/>
    <cellStyle name="_Row5_FT avec ristournes_Category Template_Actuals NEW_Biscuits Actual Results P02 2" xfId="11111"/>
    <cellStyle name="_Row5_FT avec ristournes_Category Template_Actuals NEW_Biscuits Actual Results P02_Category Template_Actuals" xfId="11112"/>
    <cellStyle name="_Row5_FT avec ristournes_Category Template_Actuals NEW_Biscuits Actual Results P02_Category Template_Actuals_Biscuits Actual Results P04" xfId="11113"/>
    <cellStyle name="_Row5_FT avec ristournes_Category Template_Actuals NEW_Biscuits Actual Results P02_Category Template_Actuals_P&amp;L P06 AFH AC US" xfId="11114"/>
    <cellStyle name="_Row5_FT avec ristournes_Category Template_Actuals NEW_Biscuits Actual Results P02_P&amp;L" xfId="11115"/>
    <cellStyle name="_Row5_FT avec ristournes_Category Template_Actuals NEW_Biscuits Actual Results P02_P&amp;L_P&amp;L KFE" xfId="11116"/>
    <cellStyle name="_Row5_FT avec ristournes_Category Template_Actuals NEW_Biscuits Actual Results P02_P&amp;L_Sheet3" xfId="11117"/>
    <cellStyle name="_Row5_FT avec ristournes_Category Template_Actuals NEW_Biscuits Actual Results P02_VRAN YTD" xfId="11118"/>
    <cellStyle name="_Row5_FT avec ristournes_Category Template_Actuals NEW_Biscuits Actual Results P04" xfId="11119"/>
    <cellStyle name="_Row5_FT avec ristournes_Category Template_Actuals NEW_Biscuits Actual Results P1 BIS" xfId="11120"/>
    <cellStyle name="_Row5_FT avec ristournes_Category Template_Actuals NEW_Biscuits Actual Results P1 BIS 2" xfId="11121"/>
    <cellStyle name="_Row5_FT avec ristournes_Category Template_Actuals NEW_Biscuits Actual Results P1 BIS_Category Template_Actuals" xfId="11122"/>
    <cellStyle name="_Row5_FT avec ristournes_Category Template_Actuals NEW_Biscuits Actual Results P1 BIS_Category Template_Actuals_Biscuits Actual Results P04" xfId="11123"/>
    <cellStyle name="_Row5_FT avec ristournes_Category Template_Actuals NEW_Biscuits Actual Results P1 BIS_Category Template_Actuals_P&amp;L P06 AFH AC US" xfId="11124"/>
    <cellStyle name="_Row5_FT avec ristournes_Category Template_Actuals NEW_Biscuits Actual Results P1 BIS_P&amp;L" xfId="11125"/>
    <cellStyle name="_Row5_FT avec ristournes_Category Template_Actuals NEW_Biscuits Actual Results P1 BIS_P&amp;L_P&amp;L KFE" xfId="11126"/>
    <cellStyle name="_Row5_FT avec ristournes_Category Template_Actuals NEW_Biscuits Actual Results P1 BIS_P&amp;L_Sheet3" xfId="11127"/>
    <cellStyle name="_Row5_FT avec ristournes_Category Template_Actuals NEW_Biscuits Actual Results P1 BIS_VRAN YTD" xfId="11128"/>
    <cellStyle name="_Row5_FT avec ristournes_Category Template_Actuals NEW_Biscuits Actual Results P12 161210" xfId="11129"/>
    <cellStyle name="_Row5_FT avec ristournes_Category Template_Actuals NEW_Biscuits Actual Results P12 161210 2" xfId="11130"/>
    <cellStyle name="_Row5_FT avec ristournes_Category Template_Actuals NEW_Biscuits Actual Results P12 161210_Category Template_Actuals" xfId="11131"/>
    <cellStyle name="_Row5_FT avec ristournes_Category Template_Actuals NEW_Biscuits Actual Results P12 161210_Category Template_Actuals 2" xfId="11132"/>
    <cellStyle name="_Row5_FT avec ristournes_Category Template_Actuals NEW_Biscuits Actual Results P12 161210_Category Template_Actuals_Biscuits Actual Results P02" xfId="11133"/>
    <cellStyle name="_Row5_FT avec ristournes_Category Template_Actuals NEW_Biscuits Actual Results P12 161210_Category Template_Actuals_Biscuits Actual Results P02 2" xfId="11134"/>
    <cellStyle name="_Row5_FT avec ristournes_Category Template_Actuals NEW_Biscuits Actual Results P12 161210_Category Template_Actuals_Biscuits Actual Results P02_Category Template_Actuals" xfId="11135"/>
    <cellStyle name="_Row5_FT avec ristournes_Category Template_Actuals NEW_Biscuits Actual Results P12 161210_Category Template_Actuals_Biscuits Actual Results P02_Category Template_Actuals_Biscuits Actual Results P04" xfId="11136"/>
    <cellStyle name="_Row5_FT avec ristournes_Category Template_Actuals NEW_Biscuits Actual Results P12 161210_Category Template_Actuals_Biscuits Actual Results P02_Category Template_Actuals_P&amp;L P06 AFH AC US" xfId="11137"/>
    <cellStyle name="_Row5_FT avec ristournes_Category Template_Actuals NEW_Biscuits Actual Results P12 161210_Category Template_Actuals_Biscuits Actual Results P02_P&amp;L" xfId="11138"/>
    <cellStyle name="_Row5_FT avec ristournes_Category Template_Actuals NEW_Biscuits Actual Results P12 161210_Category Template_Actuals_Biscuits Actual Results P02_P&amp;L_P&amp;L KFE" xfId="11139"/>
    <cellStyle name="_Row5_FT avec ristournes_Category Template_Actuals NEW_Biscuits Actual Results P12 161210_Category Template_Actuals_Biscuits Actual Results P02_P&amp;L_Sheet3" xfId="11140"/>
    <cellStyle name="_Row5_FT avec ristournes_Category Template_Actuals NEW_Biscuits Actual Results P12 161210_Category Template_Actuals_Biscuits Actual Results P02_VRAN YTD" xfId="11141"/>
    <cellStyle name="_Row5_FT avec ristournes_Category Template_Actuals NEW_Biscuits Actual Results P12 161210_Category Template_Actuals_Biscuits Actual Results P04" xfId="11142"/>
    <cellStyle name="_Row5_FT avec ristournes_Category Template_Actuals NEW_Biscuits Actual Results P12 161210_Category Template_Actuals_P&amp;L" xfId="11143"/>
    <cellStyle name="_Row5_FT avec ristournes_Category Template_Actuals NEW_Biscuits Actual Results P12 161210_Category Template_Actuals_P&amp;L P06 AFH AC US" xfId="11144"/>
    <cellStyle name="_Row5_FT avec ristournes_Category Template_Actuals NEW_Biscuits Actual Results P12 161210_Category Template_Actuals_P&amp;L_P&amp;L KFE" xfId="11145"/>
    <cellStyle name="_Row5_FT avec ristournes_Category Template_Actuals NEW_Biscuits Actual Results P12 161210_Category Template_Actuals_P&amp;L_Sheet3" xfId="11146"/>
    <cellStyle name="_Row5_FT avec ristournes_Category Template_Actuals NEW_Biscuits Actual Results P12 161210_P&amp;L" xfId="11147"/>
    <cellStyle name="_Row5_FT avec ristournes_Category Template_Actuals NEW_Biscuits Actual Results P12 161210_P&amp;L_P&amp;L KFE" xfId="11148"/>
    <cellStyle name="_Row5_FT avec ristournes_Category Template_Actuals NEW_Biscuits Actual Results P12 161210_P&amp;L_Sheet3" xfId="11149"/>
    <cellStyle name="_Row5_FT avec ristournes_Category Template_Actuals NEW_Biscuits Actual Results P12 161210_VRAN YTD" xfId="11150"/>
    <cellStyle name="_Row5_FT avec ristournes_Category Template_Actuals NEW_P&amp;L" xfId="11151"/>
    <cellStyle name="_Row5_FT avec ristournes_Category Template_Actuals NEW_P&amp;L P06 AFH AC US" xfId="11152"/>
    <cellStyle name="_Row5_FT avec ristournes_Category Template_Actuals NEW_P&amp;L_P&amp;L KFE" xfId="11153"/>
    <cellStyle name="_Row5_FT avec ristournes_Category Template_Actuals NEW_P&amp;L_Sheet3" xfId="11154"/>
    <cellStyle name="_Row5_FT avec ristournes_Category Template_Actuals_Biscuits Actual Results P02" xfId="11155"/>
    <cellStyle name="_Row5_FT avec ristournes_Category Template_Actuals_Biscuits Actual Results P02 2" xfId="11156"/>
    <cellStyle name="_Row5_FT avec ristournes_Category Template_Actuals_Biscuits Actual Results P02_Category Template_Actuals" xfId="11157"/>
    <cellStyle name="_Row5_FT avec ristournes_Category Template_Actuals_Biscuits Actual Results P02_Category Template_Actuals_Biscuits Actual Results P04" xfId="11158"/>
    <cellStyle name="_Row5_FT avec ristournes_Category Template_Actuals_Biscuits Actual Results P02_Category Template_Actuals_P&amp;L P06 AFH AC US" xfId="11159"/>
    <cellStyle name="_Row5_FT avec ristournes_Category Template_Actuals_Biscuits Actual Results P02_P&amp;L" xfId="11160"/>
    <cellStyle name="_Row5_FT avec ristournes_Category Template_Actuals_Biscuits Actual Results P02_P&amp;L_P&amp;L KFE" xfId="11161"/>
    <cellStyle name="_Row5_FT avec ristournes_Category Template_Actuals_Biscuits Actual Results P02_P&amp;L_Sheet3" xfId="11162"/>
    <cellStyle name="_Row5_FT avec ristournes_Category Template_Actuals_Biscuits Actual Results P02_VRAN YTD" xfId="11163"/>
    <cellStyle name="_Row5_FT avec ristournes_Category Template_Actuals_Biscuits Actual Results P04" xfId="11164"/>
    <cellStyle name="_Row5_FT avec ristournes_Category Template_Actuals_P&amp;L" xfId="11165"/>
    <cellStyle name="_Row5_FT avec ristournes_Category Template_Actuals_P&amp;L P06 AFH AC US" xfId="11166"/>
    <cellStyle name="_Row5_FT avec ristournes_Category Template_Actuals_P&amp;L_P&amp;L KFE" xfId="11167"/>
    <cellStyle name="_Row5_FT avec ristournes_Category Template_Actuals_P&amp;L_Sheet3" xfId="11168"/>
    <cellStyle name="_Row5_FT avec ristournes_KFE Category PnL template_Combined_P03 (2)" xfId="11169"/>
    <cellStyle name="_Row5_FT avec ristournes_KFE Category PnL template_Combined_P03 (2)_P&amp;L KFE" xfId="11170"/>
    <cellStyle name="_Row5_FT avec ristournes_KFE Category PnL template_Combined_P03 (2)_Sheet3" xfId="11171"/>
    <cellStyle name="_Row5_FT avec ristournes_KFE Category PnL template_Kraft Legacy (2)" xfId="11172"/>
    <cellStyle name="_Row5_FT avec ristournes_KFE Category PnL template_Kraft Legacy (2)_P&amp;L KFE" xfId="11173"/>
    <cellStyle name="_Row5_FT avec ristournes_KFE Category PnL template_Kraft Legacy (2)_Sheet3" xfId="11174"/>
    <cellStyle name="_Row5_FT avec ristournes_KFE Category PnL template_Kraft Legacy (4)" xfId="11175"/>
    <cellStyle name="_Row5_FT avec ristournes_KFE Category PnL template_Kraft Legacy (4)_P&amp;L KFE" xfId="11176"/>
    <cellStyle name="_Row5_FT avec ristournes_KFE Category PnL template_Kraft Legacy (4)_Sheet3" xfId="11177"/>
    <cellStyle name="_Row5_FT avec ristournes_OI Bridge 0" xfId="11178"/>
    <cellStyle name="_Row5_FT avec ristournes_OI Bridge 0_1" xfId="11179"/>
    <cellStyle name="_Row5_FT avec ristournes_OI Bridge 1" xfId="11180"/>
    <cellStyle name="_Row5_FT avec ristournes_P&amp;L" xfId="11181"/>
    <cellStyle name="_Row5_FT avec ristournes_P&amp;L_P&amp;L KFE" xfId="11182"/>
    <cellStyle name="_Row5_FT avec ristournes_P&amp;L_Sheet3" xfId="11183"/>
    <cellStyle name="_Row5_FT avec ristournes_Sheet1" xfId="11184"/>
    <cellStyle name="_Row5_FT avec ristournes_VRAN YTD" xfId="11185"/>
    <cellStyle name="_Row5_FT avec ristournes_VRAN YTD 2" xfId="11186"/>
    <cellStyle name="_Row5_FT avec ristournes_VRAN YTD_Biscuits Actual Results P01" xfId="11187"/>
    <cellStyle name="_Row5_FT avec ristournes_VRAN YTD_Biscuits Actual Results P01 2" xfId="11188"/>
    <cellStyle name="_Row5_FT avec ristournes_VRAN YTD_Biscuits Actual Results P01_Category Template_Actuals" xfId="11189"/>
    <cellStyle name="_Row5_FT avec ristournes_VRAN YTD_Biscuits Actual Results P01_Category Template_Actuals 2" xfId="11190"/>
    <cellStyle name="_Row5_FT avec ristournes_VRAN YTD_Biscuits Actual Results P01_Category Template_Actuals_Biscuits Actual Results P02" xfId="11191"/>
    <cellStyle name="_Row5_FT avec ristournes_VRAN YTD_Biscuits Actual Results P01_Category Template_Actuals_Biscuits Actual Results P02 2" xfId="11192"/>
    <cellStyle name="_Row5_FT avec ristournes_VRAN YTD_Biscuits Actual Results P01_Category Template_Actuals_Biscuits Actual Results P02_Category Template_Actuals" xfId="11193"/>
    <cellStyle name="_Row5_FT avec ristournes_VRAN YTD_Biscuits Actual Results P01_Category Template_Actuals_Biscuits Actual Results P02_Category Template_Actuals_Biscuits Actual Results P04" xfId="11194"/>
    <cellStyle name="_Row5_FT avec ristournes_VRAN YTD_Biscuits Actual Results P01_Category Template_Actuals_Biscuits Actual Results P02_Category Template_Actuals_P&amp;L P06 AFH AC US" xfId="11195"/>
    <cellStyle name="_Row5_FT avec ristournes_VRAN YTD_Biscuits Actual Results P01_Category Template_Actuals_Biscuits Actual Results P02_P&amp;L" xfId="11196"/>
    <cellStyle name="_Row5_FT avec ristournes_VRAN YTD_Biscuits Actual Results P01_Category Template_Actuals_Biscuits Actual Results P02_P&amp;L_P&amp;L KFE" xfId="11197"/>
    <cellStyle name="_Row5_FT avec ristournes_VRAN YTD_Biscuits Actual Results P01_Category Template_Actuals_Biscuits Actual Results P02_P&amp;L_Sheet3" xfId="11198"/>
    <cellStyle name="_Row5_FT avec ristournes_VRAN YTD_Biscuits Actual Results P01_Category Template_Actuals_Biscuits Actual Results P02_VRAN YTD" xfId="11199"/>
    <cellStyle name="_Row5_FT avec ristournes_VRAN YTD_Biscuits Actual Results P01_Category Template_Actuals_Biscuits Actual Results P04" xfId="11200"/>
    <cellStyle name="_Row5_FT avec ristournes_VRAN YTD_Biscuits Actual Results P01_Category Template_Actuals_P&amp;L" xfId="11201"/>
    <cellStyle name="_Row5_FT avec ristournes_VRAN YTD_Biscuits Actual Results P01_Category Template_Actuals_P&amp;L P06 AFH AC US" xfId="11202"/>
    <cellStyle name="_Row5_FT avec ristournes_VRAN YTD_Biscuits Actual Results P01_Category Template_Actuals_P&amp;L_P&amp;L KFE" xfId="11203"/>
    <cellStyle name="_Row5_FT avec ristournes_VRAN YTD_Biscuits Actual Results P01_Category Template_Actuals_P&amp;L_Sheet3" xfId="11204"/>
    <cellStyle name="_Row5_FT avec ristournes_VRAN YTD_Biscuits Actual Results P01_P&amp;L" xfId="11205"/>
    <cellStyle name="_Row5_FT avec ristournes_VRAN YTD_Biscuits Actual Results P01_P&amp;L_P&amp;L KFE" xfId="11206"/>
    <cellStyle name="_Row5_FT avec ristournes_VRAN YTD_Biscuits Actual Results P01_P&amp;L_Sheet3" xfId="11207"/>
    <cellStyle name="_Row5_FT avec ristournes_VRAN YTD_Biscuits Actual Results P01_VRAN YTD" xfId="11208"/>
    <cellStyle name="_Row5_FT avec ristournes_VRAN YTD_Biscuits Actual Results P02" xfId="11209"/>
    <cellStyle name="_Row5_FT avec ristournes_VRAN YTD_Biscuits Actual Results P02 2" xfId="11210"/>
    <cellStyle name="_Row5_FT avec ristournes_VRAN YTD_Biscuits Actual Results P02_Category Template_Actuals" xfId="11211"/>
    <cellStyle name="_Row5_FT avec ristournes_VRAN YTD_Biscuits Actual Results P02_Category Template_Actuals_Biscuits Actual Results P04" xfId="11212"/>
    <cellStyle name="_Row5_FT avec ristournes_VRAN YTD_Biscuits Actual Results P02_Category Template_Actuals_P&amp;L P06 AFH AC US" xfId="11213"/>
    <cellStyle name="_Row5_FT avec ristournes_VRAN YTD_Biscuits Actual Results P02_P&amp;L" xfId="11214"/>
    <cellStyle name="_Row5_FT avec ristournes_VRAN YTD_Biscuits Actual Results P02_P&amp;L_P&amp;L KFE" xfId="11215"/>
    <cellStyle name="_Row5_FT avec ristournes_VRAN YTD_Biscuits Actual Results P02_P&amp;L_Sheet3" xfId="11216"/>
    <cellStyle name="_Row5_FT avec ristournes_VRAN YTD_Biscuits Actual Results P02_VRAN YTD" xfId="11217"/>
    <cellStyle name="_Row5_FT avec ristournes_VRAN YTD_Biscuits Actual Results P04" xfId="11218"/>
    <cellStyle name="_Row5_FT avec ristournes_VRAN YTD_Biscuits Actual Results P1 BIS" xfId="11219"/>
    <cellStyle name="_Row5_FT avec ristournes_VRAN YTD_Biscuits Actual Results P1 BIS 2" xfId="11220"/>
    <cellStyle name="_Row5_FT avec ristournes_VRAN YTD_Biscuits Actual Results P1 BIS_Category Template_Actuals" xfId="11221"/>
    <cellStyle name="_Row5_FT avec ristournes_VRAN YTD_Biscuits Actual Results P1 BIS_Category Template_Actuals_Biscuits Actual Results P04" xfId="11222"/>
    <cellStyle name="_Row5_FT avec ristournes_VRAN YTD_Biscuits Actual Results P1 BIS_Category Template_Actuals_P&amp;L P06 AFH AC US" xfId="11223"/>
    <cellStyle name="_Row5_FT avec ristournes_VRAN YTD_Biscuits Actual Results P1 BIS_P&amp;L" xfId="11224"/>
    <cellStyle name="_Row5_FT avec ristournes_VRAN YTD_Biscuits Actual Results P1 BIS_P&amp;L_P&amp;L KFE" xfId="11225"/>
    <cellStyle name="_Row5_FT avec ristournes_VRAN YTD_Biscuits Actual Results P1 BIS_P&amp;L_Sheet3" xfId="11226"/>
    <cellStyle name="_Row5_FT avec ristournes_VRAN YTD_Biscuits Actual Results P1 BIS_VRAN YTD" xfId="11227"/>
    <cellStyle name="_Row5_FT avec ristournes_VRAN YTD_Biscuits Actual Results P12 161210" xfId="11228"/>
    <cellStyle name="_Row5_FT avec ristournes_VRAN YTD_Biscuits Actual Results P12 161210 2" xfId="11229"/>
    <cellStyle name="_Row5_FT avec ristournes_VRAN YTD_Biscuits Actual Results P12 161210_Category Template_Actuals" xfId="11230"/>
    <cellStyle name="_Row5_FT avec ristournes_VRAN YTD_Biscuits Actual Results P12 161210_Category Template_Actuals 2" xfId="11231"/>
    <cellStyle name="_Row5_FT avec ristournes_VRAN YTD_Biscuits Actual Results P12 161210_Category Template_Actuals_Biscuits Actual Results P02" xfId="11232"/>
    <cellStyle name="_Row5_FT avec ristournes_VRAN YTD_Biscuits Actual Results P12 161210_Category Template_Actuals_Biscuits Actual Results P02 2" xfId="11233"/>
    <cellStyle name="_Row5_FT avec ristournes_VRAN YTD_Biscuits Actual Results P12 161210_Category Template_Actuals_Biscuits Actual Results P02_Category Template_Actuals" xfId="11234"/>
    <cellStyle name="_Row5_FT avec ristournes_VRAN YTD_Biscuits Actual Results P12 161210_Category Template_Actuals_Biscuits Actual Results P02_Category Template_Actuals_Biscuits Actual Results P04" xfId="11235"/>
    <cellStyle name="_Row5_FT avec ristournes_VRAN YTD_Biscuits Actual Results P12 161210_Category Template_Actuals_Biscuits Actual Results P02_Category Template_Actuals_P&amp;L P06 AFH AC US" xfId="11236"/>
    <cellStyle name="_Row5_FT avec ristournes_VRAN YTD_Biscuits Actual Results P12 161210_Category Template_Actuals_Biscuits Actual Results P02_P&amp;L" xfId="11237"/>
    <cellStyle name="_Row5_FT avec ristournes_VRAN YTD_Biscuits Actual Results P12 161210_Category Template_Actuals_Biscuits Actual Results P02_P&amp;L_P&amp;L KFE" xfId="11238"/>
    <cellStyle name="_Row5_FT avec ristournes_VRAN YTD_Biscuits Actual Results P12 161210_Category Template_Actuals_Biscuits Actual Results P02_P&amp;L_Sheet3" xfId="11239"/>
    <cellStyle name="_Row5_FT avec ristournes_VRAN YTD_Biscuits Actual Results P12 161210_Category Template_Actuals_Biscuits Actual Results P02_VRAN YTD" xfId="11240"/>
    <cellStyle name="_Row5_FT avec ristournes_VRAN YTD_Biscuits Actual Results P12 161210_Category Template_Actuals_Biscuits Actual Results P04" xfId="11241"/>
    <cellStyle name="_Row5_FT avec ristournes_VRAN YTD_Biscuits Actual Results P12 161210_Category Template_Actuals_P&amp;L" xfId="11242"/>
    <cellStyle name="_Row5_FT avec ristournes_VRAN YTD_Biscuits Actual Results P12 161210_Category Template_Actuals_P&amp;L P06 AFH AC US" xfId="11243"/>
    <cellStyle name="_Row5_FT avec ristournes_VRAN YTD_Biscuits Actual Results P12 161210_Category Template_Actuals_P&amp;L_P&amp;L KFE" xfId="11244"/>
    <cellStyle name="_Row5_FT avec ristournes_VRAN YTD_Biscuits Actual Results P12 161210_Category Template_Actuals_P&amp;L_Sheet3" xfId="11245"/>
    <cellStyle name="_Row5_FT avec ristournes_VRAN YTD_Biscuits Actual Results P12 161210_P&amp;L" xfId="11246"/>
    <cellStyle name="_Row5_FT avec ristournes_VRAN YTD_Biscuits Actual Results P12 161210_P&amp;L_P&amp;L KFE" xfId="11247"/>
    <cellStyle name="_Row5_FT avec ristournes_VRAN YTD_Biscuits Actual Results P12 161210_P&amp;L_Sheet3" xfId="11248"/>
    <cellStyle name="_Row5_FT avec ristournes_VRAN YTD_Biscuits Actual Results P12 161210_VRAN YTD" xfId="11249"/>
    <cellStyle name="_Row5_FT avec ristournes_VRAN YTD_P&amp;L" xfId="11250"/>
    <cellStyle name="_Row5_FT avec ristournes_VRAN YTD_P&amp;L P06 AFH AC US" xfId="11251"/>
    <cellStyle name="_Row5_FT avec ristournes_VRAN YTD_P&amp;L_P&amp;L KFE" xfId="11252"/>
    <cellStyle name="_Row5_FT avec ristournes_VRAN YTD_P&amp;L_Sheet3" xfId="11253"/>
    <cellStyle name="_Row5_Key drivers May Fc vs AOP 12-05-10" xfId="11254"/>
    <cellStyle name="_Row5_KFE Category PnL template_Combined_P03 (2)" xfId="11255"/>
    <cellStyle name="_Row5_KFE Category PnL template_Combined_P03 (2)_P&amp;L KFE" xfId="11256"/>
    <cellStyle name="_Row5_KFE Category PnL template_Combined_P03 (2)_Sheet3" xfId="11257"/>
    <cellStyle name="_Row5_KFE Category PnL template_Kraft Legacy (2)" xfId="11258"/>
    <cellStyle name="_Row5_KFE Category PnL template_Kraft Legacy (2)_P&amp;L KFE" xfId="11259"/>
    <cellStyle name="_Row5_KFE Category PnL template_Kraft Legacy (2)_Sheet3" xfId="11260"/>
    <cellStyle name="_Row5_KFE Category PnL template_Kraft Legacy (4)" xfId="11261"/>
    <cellStyle name="_Row5_KFE Category PnL template_Kraft Legacy (4)_P&amp;L KFE" xfId="11262"/>
    <cellStyle name="_Row5_KFE Category PnL template_Kraft Legacy (4)_Sheet3" xfId="11263"/>
    <cellStyle name="_Row5_Monthly report P04" xfId="11264"/>
    <cellStyle name="_Row5_OI Bridge 0" xfId="11265"/>
    <cellStyle name="_Row5_OI Bridge 0_1" xfId="11266"/>
    <cellStyle name="_Row5_OI Bridge 1" xfId="11267"/>
    <cellStyle name="_Row5_P&amp;L" xfId="11268"/>
    <cellStyle name="_Row5_P&amp;L KBE 2008-2011" xfId="11269"/>
    <cellStyle name="_Row5_P&amp;L KBE 2008-2011 2" xfId="11270"/>
    <cellStyle name="_Row5_P&amp;L_P&amp;L KFE" xfId="11271"/>
    <cellStyle name="_Row5_P&amp;L_Sheet3" xfId="11272"/>
    <cellStyle name="_Row5_Pricing bridge template" xfId="11273"/>
    <cellStyle name="_Row5_Pricing bridge template 2" xfId="11274"/>
    <cellStyle name="_Row5_Pricing bridge template_P&amp;L KFE" xfId="11275"/>
    <cellStyle name="_Row5_Pricing bridge template_Sheet3" xfId="11276"/>
    <cellStyle name="_Row5_RIG &amp; NC graphs" xfId="11277"/>
    <cellStyle name="_Row5_Sheet1" xfId="11278"/>
    <cellStyle name="_Row5_VRAN YTD" xfId="11279"/>
    <cellStyle name="_Row5_VRAN YTD 2" xfId="11280"/>
    <cellStyle name="_Row5_VRAN YTD_Biscuits Actual Results P01" xfId="11281"/>
    <cellStyle name="_Row5_VRAN YTD_Biscuits Actual Results P01 2" xfId="11282"/>
    <cellStyle name="_Row5_VRAN YTD_Biscuits Actual Results P01_Category Template_Actuals" xfId="11283"/>
    <cellStyle name="_Row5_VRAN YTD_Biscuits Actual Results P01_Category Template_Actuals 2" xfId="11284"/>
    <cellStyle name="_Row5_VRAN YTD_Biscuits Actual Results P01_Category Template_Actuals_Biscuits Actual Results P02" xfId="11285"/>
    <cellStyle name="_Row5_VRAN YTD_Biscuits Actual Results P01_Category Template_Actuals_Biscuits Actual Results P02 2" xfId="11286"/>
    <cellStyle name="_Row5_VRAN YTD_Biscuits Actual Results P01_Category Template_Actuals_Biscuits Actual Results P02_Category Template_Actuals" xfId="11287"/>
    <cellStyle name="_Row5_VRAN YTD_Biscuits Actual Results P01_Category Template_Actuals_Biscuits Actual Results P02_Category Template_Actuals_Biscuits Actual Results P04" xfId="11288"/>
    <cellStyle name="_Row5_VRAN YTD_Biscuits Actual Results P01_Category Template_Actuals_Biscuits Actual Results P02_Category Template_Actuals_P&amp;L P06 AFH AC US" xfId="11289"/>
    <cellStyle name="_Row5_VRAN YTD_Biscuits Actual Results P01_Category Template_Actuals_Biscuits Actual Results P02_P&amp;L" xfId="11290"/>
    <cellStyle name="_Row5_VRAN YTD_Biscuits Actual Results P01_Category Template_Actuals_Biscuits Actual Results P02_P&amp;L_P&amp;L KFE" xfId="11291"/>
    <cellStyle name="_Row5_VRAN YTD_Biscuits Actual Results P01_Category Template_Actuals_Biscuits Actual Results P02_P&amp;L_Sheet3" xfId="11292"/>
    <cellStyle name="_Row5_VRAN YTD_Biscuits Actual Results P01_Category Template_Actuals_Biscuits Actual Results P02_VRAN YTD" xfId="11293"/>
    <cellStyle name="_Row5_VRAN YTD_Biscuits Actual Results P01_Category Template_Actuals_Biscuits Actual Results P04" xfId="11294"/>
    <cellStyle name="_Row5_VRAN YTD_Biscuits Actual Results P01_Category Template_Actuals_P&amp;L" xfId="11295"/>
    <cellStyle name="_Row5_VRAN YTD_Biscuits Actual Results P01_Category Template_Actuals_P&amp;L P06 AFH AC US" xfId="11296"/>
    <cellStyle name="_Row5_VRAN YTD_Biscuits Actual Results P01_Category Template_Actuals_P&amp;L_P&amp;L KFE" xfId="11297"/>
    <cellStyle name="_Row5_VRAN YTD_Biscuits Actual Results P01_Category Template_Actuals_P&amp;L_Sheet3" xfId="11298"/>
    <cellStyle name="_Row5_VRAN YTD_Biscuits Actual Results P01_P&amp;L" xfId="11299"/>
    <cellStyle name="_Row5_VRAN YTD_Biscuits Actual Results P01_P&amp;L_P&amp;L KFE" xfId="11300"/>
    <cellStyle name="_Row5_VRAN YTD_Biscuits Actual Results P01_P&amp;L_Sheet3" xfId="11301"/>
    <cellStyle name="_Row5_VRAN YTD_Biscuits Actual Results P01_VRAN YTD" xfId="11302"/>
    <cellStyle name="_Row5_VRAN YTD_Biscuits Actual Results P02" xfId="11303"/>
    <cellStyle name="_Row5_VRAN YTD_Biscuits Actual Results P02 2" xfId="11304"/>
    <cellStyle name="_Row5_VRAN YTD_Biscuits Actual Results P02_Category Template_Actuals" xfId="11305"/>
    <cellStyle name="_Row5_VRAN YTD_Biscuits Actual Results P02_Category Template_Actuals_Biscuits Actual Results P04" xfId="11306"/>
    <cellStyle name="_Row5_VRAN YTD_Biscuits Actual Results P02_Category Template_Actuals_P&amp;L P06 AFH AC US" xfId="11307"/>
    <cellStyle name="_Row5_VRAN YTD_Biscuits Actual Results P02_P&amp;L" xfId="11308"/>
    <cellStyle name="_Row5_VRAN YTD_Biscuits Actual Results P02_P&amp;L_P&amp;L KFE" xfId="11309"/>
    <cellStyle name="_Row5_VRAN YTD_Biscuits Actual Results P02_P&amp;L_Sheet3" xfId="11310"/>
    <cellStyle name="_Row5_VRAN YTD_Biscuits Actual Results P02_VRAN YTD" xfId="11311"/>
    <cellStyle name="_Row5_VRAN YTD_Biscuits Actual Results P04" xfId="11312"/>
    <cellStyle name="_Row5_VRAN YTD_Biscuits Actual Results P1 BIS" xfId="11313"/>
    <cellStyle name="_Row5_VRAN YTD_Biscuits Actual Results P1 BIS 2" xfId="11314"/>
    <cellStyle name="_Row5_VRAN YTD_Biscuits Actual Results P1 BIS_Category Template_Actuals" xfId="11315"/>
    <cellStyle name="_Row5_VRAN YTD_Biscuits Actual Results P1 BIS_Category Template_Actuals_Biscuits Actual Results P04" xfId="11316"/>
    <cellStyle name="_Row5_VRAN YTD_Biscuits Actual Results P1 BIS_Category Template_Actuals_P&amp;L P06 AFH AC US" xfId="11317"/>
    <cellStyle name="_Row5_VRAN YTD_Biscuits Actual Results P1 BIS_P&amp;L" xfId="11318"/>
    <cellStyle name="_Row5_VRAN YTD_Biscuits Actual Results P1 BIS_P&amp;L_P&amp;L KFE" xfId="11319"/>
    <cellStyle name="_Row5_VRAN YTD_Biscuits Actual Results P1 BIS_P&amp;L_Sheet3" xfId="11320"/>
    <cellStyle name="_Row5_VRAN YTD_Biscuits Actual Results P1 BIS_VRAN YTD" xfId="11321"/>
    <cellStyle name="_Row5_VRAN YTD_Biscuits Actual Results P12 161210" xfId="11322"/>
    <cellStyle name="_Row5_VRAN YTD_Biscuits Actual Results P12 161210 2" xfId="11323"/>
    <cellStyle name="_Row5_VRAN YTD_Biscuits Actual Results P12 161210_Category Template_Actuals" xfId="11324"/>
    <cellStyle name="_Row5_VRAN YTD_Biscuits Actual Results P12 161210_Category Template_Actuals 2" xfId="11325"/>
    <cellStyle name="_Row5_VRAN YTD_Biscuits Actual Results P12 161210_Category Template_Actuals_Biscuits Actual Results P02" xfId="11326"/>
    <cellStyle name="_Row5_VRAN YTD_Biscuits Actual Results P12 161210_Category Template_Actuals_Biscuits Actual Results P02 2" xfId="11327"/>
    <cellStyle name="_Row5_VRAN YTD_Biscuits Actual Results P12 161210_Category Template_Actuals_Biscuits Actual Results P02_Category Template_Actuals" xfId="11328"/>
    <cellStyle name="_Row5_VRAN YTD_Biscuits Actual Results P12 161210_Category Template_Actuals_Biscuits Actual Results P02_Category Template_Actuals_Biscuits Actual Results P04" xfId="11329"/>
    <cellStyle name="_Row5_VRAN YTD_Biscuits Actual Results P12 161210_Category Template_Actuals_Biscuits Actual Results P02_Category Template_Actuals_P&amp;L P06 AFH AC US" xfId="11330"/>
    <cellStyle name="_Row5_VRAN YTD_Biscuits Actual Results P12 161210_Category Template_Actuals_Biscuits Actual Results P02_P&amp;L" xfId="11331"/>
    <cellStyle name="_Row5_VRAN YTD_Biscuits Actual Results P12 161210_Category Template_Actuals_Biscuits Actual Results P02_P&amp;L_P&amp;L KFE" xfId="11332"/>
    <cellStyle name="_Row5_VRAN YTD_Biscuits Actual Results P12 161210_Category Template_Actuals_Biscuits Actual Results P02_P&amp;L_Sheet3" xfId="11333"/>
    <cellStyle name="_Row5_VRAN YTD_Biscuits Actual Results P12 161210_Category Template_Actuals_Biscuits Actual Results P02_VRAN YTD" xfId="11334"/>
    <cellStyle name="_Row5_VRAN YTD_Biscuits Actual Results P12 161210_Category Template_Actuals_Biscuits Actual Results P04" xfId="11335"/>
    <cellStyle name="_Row5_VRAN YTD_Biscuits Actual Results P12 161210_Category Template_Actuals_P&amp;L" xfId="11336"/>
    <cellStyle name="_Row5_VRAN YTD_Biscuits Actual Results P12 161210_Category Template_Actuals_P&amp;L P06 AFH AC US" xfId="11337"/>
    <cellStyle name="_Row5_VRAN YTD_Biscuits Actual Results P12 161210_Category Template_Actuals_P&amp;L_P&amp;L KFE" xfId="11338"/>
    <cellStyle name="_Row5_VRAN YTD_Biscuits Actual Results P12 161210_Category Template_Actuals_P&amp;L_Sheet3" xfId="11339"/>
    <cellStyle name="_Row5_VRAN YTD_Biscuits Actual Results P12 161210_P&amp;L" xfId="11340"/>
    <cellStyle name="_Row5_VRAN YTD_Biscuits Actual Results P12 161210_P&amp;L_P&amp;L KFE" xfId="11341"/>
    <cellStyle name="_Row5_VRAN YTD_Biscuits Actual Results P12 161210_P&amp;L_Sheet3" xfId="11342"/>
    <cellStyle name="_Row5_VRAN YTD_Biscuits Actual Results P12 161210_VRAN YTD" xfId="11343"/>
    <cellStyle name="_Row5_VRAN YTD_P&amp;L" xfId="11344"/>
    <cellStyle name="_Row5_VRAN YTD_P&amp;L P06 AFH AC US" xfId="11345"/>
    <cellStyle name="_Row5_VRAN YTD_P&amp;L_P&amp;L KFE" xfId="11346"/>
    <cellStyle name="_Row5_VRAN YTD_P&amp;L_Sheet3" xfId="11347"/>
    <cellStyle name="_Row5_WP_AC11 P&amp;L LFL 27.10.10" xfId="11348"/>
    <cellStyle name="_Row6" xfId="11349"/>
    <cellStyle name="_Row6 2" xfId="11350"/>
    <cellStyle name="_Row6 3" xfId="11351"/>
    <cellStyle name="_Row6 3_P&amp;L KFE" xfId="11352"/>
    <cellStyle name="_Row6 3_Sheet3" xfId="11353"/>
    <cellStyle name="_Row6 4" xfId="11354"/>
    <cellStyle name="_Row6__P09 - Key Drivers KBE" xfId="11355"/>
    <cellStyle name="_Row6__P09 - Key Drivers KBE 2" xfId="11356"/>
    <cellStyle name="_Row6__P09 - Key Drivers KBE_P&amp;L KFE" xfId="11357"/>
    <cellStyle name="_Row6__P09 - Key Drivers KBE_Sheet3" xfId="11358"/>
    <cellStyle name="_Row6__P10 - Key Drivers KBE" xfId="11359"/>
    <cellStyle name="_Row6__P10 - Key Drivers KBE 2" xfId="11360"/>
    <cellStyle name="_Row6__P10 - Key Drivers KBE_P&amp;L KFE" xfId="11361"/>
    <cellStyle name="_Row6__P10 - Key Drivers KBE_Sheet3" xfId="11362"/>
    <cellStyle name="_Row6_2011 Targets by category Aug 25" xfId="11363"/>
    <cellStyle name="_Row6_AC11 conso @Cst Fx" xfId="11364"/>
    <cellStyle name="_Row6_AC11 conso @Cst Fx 2" xfId="11365"/>
    <cellStyle name="_Row6_AC11 conso @Cst Fx after LFL restatement" xfId="11366"/>
    <cellStyle name="_Row6_AC11 conso @Cst Fx after LFL restatement 2" xfId="11367"/>
    <cellStyle name="_Row6_AC11 conso @Cst Fx after LFL restatement_P&amp;L KFE" xfId="11368"/>
    <cellStyle name="_Row6_AC11 conso @Cst Fx after LFL restatement_Sheet3" xfId="11369"/>
    <cellStyle name="_Row6_AC11 conso @Cst Fx_P&amp;L KFE" xfId="11370"/>
    <cellStyle name="_Row6_AC11 conso @Cst Fx_Sheet3" xfId="11371"/>
    <cellStyle name="_Row6_Category PnL" xfId="11372"/>
    <cellStyle name="_Row6_Category PnL 2" xfId="11373"/>
    <cellStyle name="_Row6_Category PnL_P&amp;L KFE" xfId="11374"/>
    <cellStyle name="_Row6_Category PnL_Sheet3" xfId="11375"/>
    <cellStyle name="_Row6_Category Targets 2011_1.2" xfId="11376"/>
    <cellStyle name="_Row6_Category Template_Actuals" xfId="11377"/>
    <cellStyle name="_Row6_Category Template_Actuals 2" xfId="11378"/>
    <cellStyle name="_Row6_Category Template_Actuals NEW" xfId="11379"/>
    <cellStyle name="_Row6_Category Template_Actuals NEW 2" xfId="11380"/>
    <cellStyle name="_Row6_Category Template_Actuals NEW_Biscuits Actual Results P01" xfId="11381"/>
    <cellStyle name="_Row6_Category Template_Actuals NEW_Biscuits Actual Results P01 2" xfId="11382"/>
    <cellStyle name="_Row6_Category Template_Actuals NEW_Biscuits Actual Results P01_Category Template_Actuals" xfId="11383"/>
    <cellStyle name="_Row6_Category Template_Actuals NEW_Biscuits Actual Results P01_Category Template_Actuals 2" xfId="11384"/>
    <cellStyle name="_Row6_Category Template_Actuals NEW_Biscuits Actual Results P01_Category Template_Actuals_Biscuits Actual Results P02" xfId="11385"/>
    <cellStyle name="_Row6_Category Template_Actuals NEW_Biscuits Actual Results P01_Category Template_Actuals_Biscuits Actual Results P02 2" xfId="11386"/>
    <cellStyle name="_Row6_Category Template_Actuals NEW_Biscuits Actual Results P01_Category Template_Actuals_Biscuits Actual Results P02_Category Template_Actuals" xfId="11387"/>
    <cellStyle name="_Row6_Category Template_Actuals NEW_Biscuits Actual Results P01_Category Template_Actuals_Biscuits Actual Results P02_Category Template_Actuals_Biscuits Actual Results P04" xfId="11388"/>
    <cellStyle name="_Row6_Category Template_Actuals NEW_Biscuits Actual Results P01_Category Template_Actuals_Biscuits Actual Results P02_Category Template_Actuals_Biscuits Actual Results P04_P&amp;L KFE" xfId="11389"/>
    <cellStyle name="_Row6_Category Template_Actuals NEW_Biscuits Actual Results P01_Category Template_Actuals_Biscuits Actual Results P02_Category Template_Actuals_P&amp;L KFE" xfId="11390"/>
    <cellStyle name="_Row6_Category Template_Actuals NEW_Biscuits Actual Results P01_Category Template_Actuals_Biscuits Actual Results P02_Category Template_Actuals_P&amp;L P06 AFH AC US" xfId="11391"/>
    <cellStyle name="_Row6_Category Template_Actuals NEW_Biscuits Actual Results P01_Category Template_Actuals_Biscuits Actual Results P02_Category Template_Actuals_P&amp;L P06 AFH AC US_P&amp;L KFE" xfId="11392"/>
    <cellStyle name="_Row6_Category Template_Actuals NEW_Biscuits Actual Results P01_Category Template_Actuals_Biscuits Actual Results P02_P&amp;L" xfId="11393"/>
    <cellStyle name="_Row6_Category Template_Actuals NEW_Biscuits Actual Results P01_Category Template_Actuals_Biscuits Actual Results P02_P&amp;L KFE" xfId="11394"/>
    <cellStyle name="_Row6_Category Template_Actuals NEW_Biscuits Actual Results P01_Category Template_Actuals_Biscuits Actual Results P02_P&amp;L_P&amp;L KFE" xfId="11395"/>
    <cellStyle name="_Row6_Category Template_Actuals NEW_Biscuits Actual Results P01_Category Template_Actuals_Biscuits Actual Results P02_P&amp;L_Sheet3" xfId="11396"/>
    <cellStyle name="_Row6_Category Template_Actuals NEW_Biscuits Actual Results P01_Category Template_Actuals_Biscuits Actual Results P02_VRAN YTD" xfId="11397"/>
    <cellStyle name="_Row6_Category Template_Actuals NEW_Biscuits Actual Results P01_Category Template_Actuals_Biscuits Actual Results P02_VRAN YTD_P&amp;L KFE" xfId="11398"/>
    <cellStyle name="_Row6_Category Template_Actuals NEW_Biscuits Actual Results P01_Category Template_Actuals_Biscuits Actual Results P04" xfId="11399"/>
    <cellStyle name="_Row6_Category Template_Actuals NEW_Biscuits Actual Results P01_Category Template_Actuals_Biscuits Actual Results P04_P&amp;L KFE" xfId="11400"/>
    <cellStyle name="_Row6_Category Template_Actuals NEW_Biscuits Actual Results P01_Category Template_Actuals_P&amp;L" xfId="11401"/>
    <cellStyle name="_Row6_Category Template_Actuals NEW_Biscuits Actual Results P01_Category Template_Actuals_P&amp;L KFE" xfId="11402"/>
    <cellStyle name="_Row6_Category Template_Actuals NEW_Biscuits Actual Results P01_Category Template_Actuals_P&amp;L P06 AFH AC US" xfId="11403"/>
    <cellStyle name="_Row6_Category Template_Actuals NEW_Biscuits Actual Results P01_Category Template_Actuals_P&amp;L P06 AFH AC US_P&amp;L KFE" xfId="11404"/>
    <cellStyle name="_Row6_Category Template_Actuals NEW_Biscuits Actual Results P01_Category Template_Actuals_P&amp;L_P&amp;L KFE" xfId="11405"/>
    <cellStyle name="_Row6_Category Template_Actuals NEW_Biscuits Actual Results P01_Category Template_Actuals_P&amp;L_Sheet3" xfId="11406"/>
    <cellStyle name="_Row6_Category Template_Actuals NEW_Biscuits Actual Results P01_P&amp;L" xfId="11407"/>
    <cellStyle name="_Row6_Category Template_Actuals NEW_Biscuits Actual Results P01_P&amp;L KFE" xfId="11408"/>
    <cellStyle name="_Row6_Category Template_Actuals NEW_Biscuits Actual Results P01_P&amp;L_P&amp;L KFE" xfId="11409"/>
    <cellStyle name="_Row6_Category Template_Actuals NEW_Biscuits Actual Results P01_P&amp;L_Sheet3" xfId="11410"/>
    <cellStyle name="_Row6_Category Template_Actuals NEW_Biscuits Actual Results P01_VRAN YTD" xfId="11411"/>
    <cellStyle name="_Row6_Category Template_Actuals NEW_Biscuits Actual Results P01_VRAN YTD_P&amp;L KFE" xfId="11412"/>
    <cellStyle name="_Row6_Category Template_Actuals NEW_Biscuits Actual Results P02" xfId="11413"/>
    <cellStyle name="_Row6_Category Template_Actuals NEW_Biscuits Actual Results P02 2" xfId="11414"/>
    <cellStyle name="_Row6_Category Template_Actuals NEW_Biscuits Actual Results P02_Category Template_Actuals" xfId="11415"/>
    <cellStyle name="_Row6_Category Template_Actuals NEW_Biscuits Actual Results P02_Category Template_Actuals_Biscuits Actual Results P04" xfId="11416"/>
    <cellStyle name="_Row6_Category Template_Actuals NEW_Biscuits Actual Results P02_Category Template_Actuals_Biscuits Actual Results P04_P&amp;L KFE" xfId="11417"/>
    <cellStyle name="_Row6_Category Template_Actuals NEW_Biscuits Actual Results P02_Category Template_Actuals_P&amp;L KFE" xfId="11418"/>
    <cellStyle name="_Row6_Category Template_Actuals NEW_Biscuits Actual Results P02_Category Template_Actuals_P&amp;L P06 AFH AC US" xfId="11419"/>
    <cellStyle name="_Row6_Category Template_Actuals NEW_Biscuits Actual Results P02_Category Template_Actuals_P&amp;L P06 AFH AC US_P&amp;L KFE" xfId="11420"/>
    <cellStyle name="_Row6_Category Template_Actuals NEW_Biscuits Actual Results P02_P&amp;L" xfId="11421"/>
    <cellStyle name="_Row6_Category Template_Actuals NEW_Biscuits Actual Results P02_P&amp;L KFE" xfId="11422"/>
    <cellStyle name="_Row6_Category Template_Actuals NEW_Biscuits Actual Results P02_P&amp;L_P&amp;L KFE" xfId="11423"/>
    <cellStyle name="_Row6_Category Template_Actuals NEW_Biscuits Actual Results P02_P&amp;L_Sheet3" xfId="11424"/>
    <cellStyle name="_Row6_Category Template_Actuals NEW_Biscuits Actual Results P02_VRAN YTD" xfId="11425"/>
    <cellStyle name="_Row6_Category Template_Actuals NEW_Biscuits Actual Results P02_VRAN YTD_P&amp;L KFE" xfId="11426"/>
    <cellStyle name="_Row6_Category Template_Actuals NEW_Biscuits Actual Results P04" xfId="11427"/>
    <cellStyle name="_Row6_Category Template_Actuals NEW_Biscuits Actual Results P04_P&amp;L KFE" xfId="11428"/>
    <cellStyle name="_Row6_Category Template_Actuals NEW_Biscuits Actual Results P1 BIS" xfId="11429"/>
    <cellStyle name="_Row6_Category Template_Actuals NEW_Biscuits Actual Results P1 BIS 2" xfId="11430"/>
    <cellStyle name="_Row6_Category Template_Actuals NEW_Biscuits Actual Results P1 BIS_Category Template_Actuals" xfId="11431"/>
    <cellStyle name="_Row6_Category Template_Actuals NEW_Biscuits Actual Results P1 BIS_Category Template_Actuals_Biscuits Actual Results P04" xfId="11432"/>
    <cellStyle name="_Row6_Category Template_Actuals NEW_Biscuits Actual Results P1 BIS_Category Template_Actuals_Biscuits Actual Results P04_P&amp;L KFE" xfId="11433"/>
    <cellStyle name="_Row6_Category Template_Actuals NEW_Biscuits Actual Results P1 BIS_Category Template_Actuals_P&amp;L KFE" xfId="11434"/>
    <cellStyle name="_Row6_Category Template_Actuals NEW_Biscuits Actual Results P1 BIS_Category Template_Actuals_P&amp;L P06 AFH AC US" xfId="11435"/>
    <cellStyle name="_Row6_Category Template_Actuals NEW_Biscuits Actual Results P1 BIS_Category Template_Actuals_P&amp;L P06 AFH AC US_P&amp;L KFE" xfId="11436"/>
    <cellStyle name="_Row6_Category Template_Actuals NEW_Biscuits Actual Results P1 BIS_P&amp;L" xfId="11437"/>
    <cellStyle name="_Row6_Category Template_Actuals NEW_Biscuits Actual Results P1 BIS_P&amp;L KFE" xfId="11438"/>
    <cellStyle name="_Row6_Category Template_Actuals NEW_Biscuits Actual Results P1 BIS_P&amp;L_P&amp;L KFE" xfId="11439"/>
    <cellStyle name="_Row6_Category Template_Actuals NEW_Biscuits Actual Results P1 BIS_P&amp;L_Sheet3" xfId="11440"/>
    <cellStyle name="_Row6_Category Template_Actuals NEW_Biscuits Actual Results P1 BIS_VRAN YTD" xfId="11441"/>
    <cellStyle name="_Row6_Category Template_Actuals NEW_Biscuits Actual Results P1 BIS_VRAN YTD_P&amp;L KFE" xfId="11442"/>
    <cellStyle name="_Row6_Category Template_Actuals NEW_Biscuits Actual Results P12 161210" xfId="11443"/>
    <cellStyle name="_Row6_Category Template_Actuals NEW_Biscuits Actual Results P12 161210 2" xfId="11444"/>
    <cellStyle name="_Row6_Category Template_Actuals NEW_Biscuits Actual Results P12 161210_Category Template_Actuals" xfId="11445"/>
    <cellStyle name="_Row6_Category Template_Actuals NEW_Biscuits Actual Results P12 161210_Category Template_Actuals 2" xfId="11446"/>
    <cellStyle name="_Row6_Category Template_Actuals NEW_Biscuits Actual Results P12 161210_Category Template_Actuals_Biscuits Actual Results P02" xfId="11447"/>
    <cellStyle name="_Row6_Category Template_Actuals NEW_Biscuits Actual Results P12 161210_Category Template_Actuals_Biscuits Actual Results P02 2" xfId="11448"/>
    <cellStyle name="_Row6_Category Template_Actuals NEW_Biscuits Actual Results P12 161210_Category Template_Actuals_Biscuits Actual Results P02_Category Template_Actuals" xfId="11449"/>
    <cellStyle name="_Row6_Category Template_Actuals NEW_Biscuits Actual Results P12 161210_Category Template_Actuals_Biscuits Actual Results P02_Category Template_Actuals_Biscuits Actual Results P04" xfId="11450"/>
    <cellStyle name="_Row6_Category Template_Actuals NEW_Biscuits Actual Results P12 161210_Category Template_Actuals_Biscuits Actual Results P02_Category Template_Actuals_Biscuits Actual Results P04_P&amp;L KFE" xfId="11451"/>
    <cellStyle name="_Row6_Category Template_Actuals NEW_Biscuits Actual Results P12 161210_Category Template_Actuals_Biscuits Actual Results P02_Category Template_Actuals_P&amp;L KFE" xfId="11452"/>
    <cellStyle name="_Row6_Category Template_Actuals NEW_Biscuits Actual Results P12 161210_Category Template_Actuals_Biscuits Actual Results P02_Category Template_Actuals_P&amp;L P06 AFH AC US" xfId="11453"/>
    <cellStyle name="_Row6_Category Template_Actuals NEW_Biscuits Actual Results P12 161210_Category Template_Actuals_Biscuits Actual Results P02_Category Template_Actuals_P&amp;L P06 AFH AC US_P&amp;L KFE" xfId="11454"/>
    <cellStyle name="_Row6_Category Template_Actuals NEW_Biscuits Actual Results P12 161210_Category Template_Actuals_Biscuits Actual Results P02_P&amp;L" xfId="11455"/>
    <cellStyle name="_Row6_Category Template_Actuals NEW_Biscuits Actual Results P12 161210_Category Template_Actuals_Biscuits Actual Results P02_P&amp;L KFE" xfId="11456"/>
    <cellStyle name="_Row6_Category Template_Actuals NEW_Biscuits Actual Results P12 161210_Category Template_Actuals_Biscuits Actual Results P02_P&amp;L_P&amp;L KFE" xfId="11457"/>
    <cellStyle name="_Row6_Category Template_Actuals NEW_Biscuits Actual Results P12 161210_Category Template_Actuals_Biscuits Actual Results P02_P&amp;L_Sheet3" xfId="11458"/>
    <cellStyle name="_Row6_Category Template_Actuals NEW_Biscuits Actual Results P12 161210_Category Template_Actuals_Biscuits Actual Results P02_VRAN YTD" xfId="11459"/>
    <cellStyle name="_Row6_Category Template_Actuals NEW_Biscuits Actual Results P12 161210_Category Template_Actuals_Biscuits Actual Results P02_VRAN YTD_P&amp;L KFE" xfId="11460"/>
    <cellStyle name="_Row6_Category Template_Actuals NEW_Biscuits Actual Results P12 161210_Category Template_Actuals_Biscuits Actual Results P04" xfId="11461"/>
    <cellStyle name="_Row6_Category Template_Actuals NEW_Biscuits Actual Results P12 161210_Category Template_Actuals_Biscuits Actual Results P04_P&amp;L KFE" xfId="11462"/>
    <cellStyle name="_Row6_Category Template_Actuals NEW_Biscuits Actual Results P12 161210_Category Template_Actuals_P&amp;L" xfId="11463"/>
    <cellStyle name="_Row6_Category Template_Actuals NEW_Biscuits Actual Results P12 161210_Category Template_Actuals_P&amp;L KFE" xfId="11464"/>
    <cellStyle name="_Row6_Category Template_Actuals NEW_Biscuits Actual Results P12 161210_Category Template_Actuals_P&amp;L P06 AFH AC US" xfId="11465"/>
    <cellStyle name="_Row6_Category Template_Actuals NEW_Biscuits Actual Results P12 161210_Category Template_Actuals_P&amp;L P06 AFH AC US_P&amp;L KFE" xfId="11466"/>
    <cellStyle name="_Row6_Category Template_Actuals NEW_Biscuits Actual Results P12 161210_Category Template_Actuals_P&amp;L_P&amp;L KFE" xfId="11467"/>
    <cellStyle name="_Row6_Category Template_Actuals NEW_Biscuits Actual Results P12 161210_Category Template_Actuals_P&amp;L_Sheet3" xfId="11468"/>
    <cellStyle name="_Row6_Category Template_Actuals NEW_Biscuits Actual Results P12 161210_P&amp;L" xfId="11469"/>
    <cellStyle name="_Row6_Category Template_Actuals NEW_Biscuits Actual Results P12 161210_P&amp;L KFE" xfId="11470"/>
    <cellStyle name="_Row6_Category Template_Actuals NEW_Biscuits Actual Results P12 161210_P&amp;L_P&amp;L KFE" xfId="11471"/>
    <cellStyle name="_Row6_Category Template_Actuals NEW_Biscuits Actual Results P12 161210_P&amp;L_Sheet3" xfId="11472"/>
    <cellStyle name="_Row6_Category Template_Actuals NEW_Biscuits Actual Results P12 161210_VRAN YTD" xfId="11473"/>
    <cellStyle name="_Row6_Category Template_Actuals NEW_Biscuits Actual Results P12 161210_VRAN YTD_P&amp;L KFE" xfId="11474"/>
    <cellStyle name="_Row6_Category Template_Actuals NEW_P&amp;L" xfId="11475"/>
    <cellStyle name="_Row6_Category Template_Actuals NEW_P&amp;L KFE" xfId="11476"/>
    <cellStyle name="_Row6_Category Template_Actuals NEW_P&amp;L P06 AFH AC US" xfId="11477"/>
    <cellStyle name="_Row6_Category Template_Actuals NEW_P&amp;L P06 AFH AC US_P&amp;L KFE" xfId="11478"/>
    <cellStyle name="_Row6_Category Template_Actuals NEW_P&amp;L_P&amp;L KFE" xfId="11479"/>
    <cellStyle name="_Row6_Category Template_Actuals NEW_P&amp;L_Sheet3" xfId="11480"/>
    <cellStyle name="_Row6_Category Template_Actuals_Biscuits Actual Results P02" xfId="11481"/>
    <cellStyle name="_Row6_Category Template_Actuals_Biscuits Actual Results P02 2" xfId="11482"/>
    <cellStyle name="_Row6_Category Template_Actuals_Biscuits Actual Results P02_Category Template_Actuals" xfId="11483"/>
    <cellStyle name="_Row6_Category Template_Actuals_Biscuits Actual Results P02_Category Template_Actuals_Biscuits Actual Results P04" xfId="11484"/>
    <cellStyle name="_Row6_Category Template_Actuals_Biscuits Actual Results P02_Category Template_Actuals_Biscuits Actual Results P04_P&amp;L KFE" xfId="11485"/>
    <cellStyle name="_Row6_Category Template_Actuals_Biscuits Actual Results P02_Category Template_Actuals_P&amp;L KFE" xfId="11486"/>
    <cellStyle name="_Row6_Category Template_Actuals_Biscuits Actual Results P02_Category Template_Actuals_P&amp;L P06 AFH AC US" xfId="11487"/>
    <cellStyle name="_Row6_Category Template_Actuals_Biscuits Actual Results P02_Category Template_Actuals_P&amp;L P06 AFH AC US_P&amp;L KFE" xfId="11488"/>
    <cellStyle name="_Row6_Category Template_Actuals_Biscuits Actual Results P02_P&amp;L" xfId="11489"/>
    <cellStyle name="_Row6_Category Template_Actuals_Biscuits Actual Results P02_P&amp;L KFE" xfId="11490"/>
    <cellStyle name="_Row6_Category Template_Actuals_Biscuits Actual Results P02_P&amp;L_P&amp;L KFE" xfId="11491"/>
    <cellStyle name="_Row6_Category Template_Actuals_Biscuits Actual Results P02_P&amp;L_Sheet3" xfId="11492"/>
    <cellStyle name="_Row6_Category Template_Actuals_Biscuits Actual Results P02_VRAN YTD" xfId="11493"/>
    <cellStyle name="_Row6_Category Template_Actuals_Biscuits Actual Results P02_VRAN YTD_P&amp;L KFE" xfId="11494"/>
    <cellStyle name="_Row6_Category Template_Actuals_Biscuits Actual Results P04" xfId="11495"/>
    <cellStyle name="_Row6_Category Template_Actuals_Biscuits Actual Results P04_P&amp;L KFE" xfId="11496"/>
    <cellStyle name="_Row6_Category Template_Actuals_P&amp;L" xfId="11497"/>
    <cellStyle name="_Row6_Category Template_Actuals_P&amp;L KFE" xfId="11498"/>
    <cellStyle name="_Row6_Category Template_Actuals_P&amp;L P06 AFH AC US" xfId="11499"/>
    <cellStyle name="_Row6_Category Template_Actuals_P&amp;L P06 AFH AC US_P&amp;L KFE" xfId="11500"/>
    <cellStyle name="_Row6_Category Template_Actuals_P&amp;L_P&amp;L KFE" xfId="11501"/>
    <cellStyle name="_Row6_Category Template_Actuals_P&amp;L_Sheet3" xfId="11502"/>
    <cellStyle name="_Row6_EVA COGS AC11 vs AugFc_24-09" xfId="11503"/>
    <cellStyle name="_Row6_Finance review Lu France 2007" xfId="11504"/>
    <cellStyle name="_Row6_Finance review Lu France 2007 2" xfId="11505"/>
    <cellStyle name="_Row6_Finance review Lu France 2007 2_P&amp;L KFE" xfId="11506"/>
    <cellStyle name="_Row6_Finance review Lu France 2007 2_Sheet3" xfId="11507"/>
    <cellStyle name="_Row6_Finance review Lu France 2007 3" xfId="11508"/>
    <cellStyle name="_Row6_Finance review Lu France 2007_2011 Targets by category Aug 25" xfId="11509"/>
    <cellStyle name="_Row6_Finance review Lu France 2007_AC11 conso @Cst Fx" xfId="11510"/>
    <cellStyle name="_Row6_Finance review Lu France 2007_AC11 conso @Cst Fx 2" xfId="11511"/>
    <cellStyle name="_Row6_Finance review Lu France 2007_AC11 conso @Cst Fx after LFL restatement" xfId="11512"/>
    <cellStyle name="_Row6_Finance review Lu France 2007_AC11 conso @Cst Fx after LFL restatement 2" xfId="11513"/>
    <cellStyle name="_Row6_Finance review Lu France 2007_AC11 conso @Cst Fx after LFL restatement_P&amp;L KFE" xfId="11514"/>
    <cellStyle name="_Row6_Finance review Lu France 2007_AC11 conso @Cst Fx after LFL restatement_Sheet3" xfId="11515"/>
    <cellStyle name="_Row6_Finance review Lu France 2007_AC11 conso @Cst Fx_P&amp;L KFE" xfId="11516"/>
    <cellStyle name="_Row6_Finance review Lu France 2007_AC11 conso @Cst Fx_Sheet3" xfId="11517"/>
    <cellStyle name="_Row6_Finance review Lu France 2007_Category PnL" xfId="11518"/>
    <cellStyle name="_Row6_Finance review Lu France 2007_Category PnL 2" xfId="11519"/>
    <cellStyle name="_Row6_Finance review Lu France 2007_Category PnL_P&amp;L KFE" xfId="11520"/>
    <cellStyle name="_Row6_Finance review Lu France 2007_Category PnL_Sheet3" xfId="11521"/>
    <cellStyle name="_Row6_Finance review Lu France 2007_Category Targets 2011_1.2" xfId="11522"/>
    <cellStyle name="_Row6_Finance review Lu France 2007_Category Template_Actuals" xfId="11523"/>
    <cellStyle name="_Row6_Finance review Lu France 2007_Category Template_Actuals 2" xfId="11524"/>
    <cellStyle name="_Row6_Finance review Lu France 2007_Category Template_Actuals NEW" xfId="11525"/>
    <cellStyle name="_Row6_Finance review Lu France 2007_Category Template_Actuals NEW 2" xfId="11526"/>
    <cellStyle name="_Row6_Finance review Lu France 2007_Category Template_Actuals NEW_Biscuits Actual Results P01" xfId="11527"/>
    <cellStyle name="_Row6_Finance review Lu France 2007_Category Template_Actuals NEW_Biscuits Actual Results P01 2" xfId="11528"/>
    <cellStyle name="_Row6_Finance review Lu France 2007_Category Template_Actuals NEW_Biscuits Actual Results P01_Category Template_Actuals" xfId="11529"/>
    <cellStyle name="_Row6_Finance review Lu France 2007_Category Template_Actuals NEW_Biscuits Actual Results P01_Category Template_Actuals 2" xfId="11530"/>
    <cellStyle name="_Row6_Finance review Lu France 2007_Category Template_Actuals NEW_Biscuits Actual Results P01_Category Template_Actuals_Biscuits Actual Results P02" xfId="11531"/>
    <cellStyle name="_Row6_Finance review Lu France 2007_Category Template_Actuals NEW_Biscuits Actual Results P01_Category Template_Actuals_Biscuits Actual Results P02 2" xfId="11532"/>
    <cellStyle name="_Row6_Finance review Lu France 2007_Category Template_Actuals NEW_Biscuits Actual Results P01_Category Template_Actuals_Biscuits Actual Results P02_Category Template_Actuals" xfId="11533"/>
    <cellStyle name="_Row6_Finance review Lu France 2007_Category Template_Actuals NEW_Biscuits Actual Results P01_Category Template_Actuals_Biscuits Actual Results P02_Category Template_Actuals_Biscuits Actual Results P04" xfId="11534"/>
    <cellStyle name="_Row6_Finance review Lu France 2007_Category Template_Actuals NEW_Biscuits Actual Results P01_Category Template_Actuals_Biscuits Actual Results P02_Category Template_Actuals_Biscuits Actual Results P04_P&amp;L KFE" xfId="11535"/>
    <cellStyle name="_Row6_Finance review Lu France 2007_Category Template_Actuals NEW_Biscuits Actual Results P01_Category Template_Actuals_Biscuits Actual Results P02_Category Template_Actuals_P&amp;L KFE" xfId="11536"/>
    <cellStyle name="_Row6_Finance review Lu France 2007_Category Template_Actuals NEW_Biscuits Actual Results P01_Category Template_Actuals_Biscuits Actual Results P02_Category Template_Actuals_P&amp;L P06 AFH AC US" xfId="11537"/>
    <cellStyle name="_Row6_Finance review Lu France 2007_Category Template_Actuals NEW_Biscuits Actual Results P01_Category Template_Actuals_Biscuits Actual Results P02_Category Template_Actuals_P&amp;L P06 AFH AC US_P&amp;L KFE" xfId="11538"/>
    <cellStyle name="_Row6_Finance review Lu France 2007_Category Template_Actuals NEW_Biscuits Actual Results P01_Category Template_Actuals_Biscuits Actual Results P02_P&amp;L" xfId="11539"/>
    <cellStyle name="_Row6_Finance review Lu France 2007_Category Template_Actuals NEW_Biscuits Actual Results P01_Category Template_Actuals_Biscuits Actual Results P02_P&amp;L KFE" xfId="11540"/>
    <cellStyle name="_Row6_Finance review Lu France 2007_Category Template_Actuals NEW_Biscuits Actual Results P01_Category Template_Actuals_Biscuits Actual Results P02_P&amp;L_P&amp;L KFE" xfId="11541"/>
    <cellStyle name="_Row6_Finance review Lu France 2007_Category Template_Actuals NEW_Biscuits Actual Results P01_Category Template_Actuals_Biscuits Actual Results P02_P&amp;L_Sheet3" xfId="11542"/>
    <cellStyle name="_Row6_Finance review Lu France 2007_Category Template_Actuals NEW_Biscuits Actual Results P01_Category Template_Actuals_Biscuits Actual Results P02_VRAN YTD" xfId="11543"/>
    <cellStyle name="_Row6_Finance review Lu France 2007_Category Template_Actuals NEW_Biscuits Actual Results P01_Category Template_Actuals_Biscuits Actual Results P02_VRAN YTD_P&amp;L KFE" xfId="11544"/>
    <cellStyle name="_Row6_Finance review Lu France 2007_Category Template_Actuals NEW_Biscuits Actual Results P01_Category Template_Actuals_Biscuits Actual Results P04" xfId="11545"/>
    <cellStyle name="_Row6_Finance review Lu France 2007_Category Template_Actuals NEW_Biscuits Actual Results P01_Category Template_Actuals_Biscuits Actual Results P04_P&amp;L KFE" xfId="11546"/>
    <cellStyle name="_Row6_Finance review Lu France 2007_Category Template_Actuals NEW_Biscuits Actual Results P01_Category Template_Actuals_P&amp;L" xfId="11547"/>
    <cellStyle name="_Row6_Finance review Lu France 2007_Category Template_Actuals NEW_Biscuits Actual Results P01_Category Template_Actuals_P&amp;L KFE" xfId="11548"/>
    <cellStyle name="_Row6_Finance review Lu France 2007_Category Template_Actuals NEW_Biscuits Actual Results P01_Category Template_Actuals_P&amp;L P06 AFH AC US" xfId="11549"/>
    <cellStyle name="_Row6_Finance review Lu France 2007_Category Template_Actuals NEW_Biscuits Actual Results P01_Category Template_Actuals_P&amp;L P06 AFH AC US_P&amp;L KFE" xfId="11550"/>
    <cellStyle name="_Row6_Finance review Lu France 2007_Category Template_Actuals NEW_Biscuits Actual Results P01_Category Template_Actuals_P&amp;L_P&amp;L KFE" xfId="11551"/>
    <cellStyle name="_Row6_Finance review Lu France 2007_Category Template_Actuals NEW_Biscuits Actual Results P01_Category Template_Actuals_P&amp;L_Sheet3" xfId="11552"/>
    <cellStyle name="_Row6_Finance review Lu France 2007_Category Template_Actuals NEW_Biscuits Actual Results P01_P&amp;L" xfId="11553"/>
    <cellStyle name="_Row6_Finance review Lu France 2007_Category Template_Actuals NEW_Biscuits Actual Results P01_P&amp;L KFE" xfId="11554"/>
    <cellStyle name="_Row6_Finance review Lu France 2007_Category Template_Actuals NEW_Biscuits Actual Results P01_P&amp;L_P&amp;L KFE" xfId="11555"/>
    <cellStyle name="_Row6_Finance review Lu France 2007_Category Template_Actuals NEW_Biscuits Actual Results P01_P&amp;L_Sheet3" xfId="11556"/>
    <cellStyle name="_Row6_Finance review Lu France 2007_Category Template_Actuals NEW_Biscuits Actual Results P01_VRAN YTD" xfId="11557"/>
    <cellStyle name="_Row6_Finance review Lu France 2007_Category Template_Actuals NEW_Biscuits Actual Results P01_VRAN YTD_P&amp;L KFE" xfId="11558"/>
    <cellStyle name="_Row6_Finance review Lu France 2007_Category Template_Actuals NEW_Biscuits Actual Results P02" xfId="11559"/>
    <cellStyle name="_Row6_Finance review Lu France 2007_Category Template_Actuals NEW_Biscuits Actual Results P02 2" xfId="11560"/>
    <cellStyle name="_Row6_Finance review Lu France 2007_Category Template_Actuals NEW_Biscuits Actual Results P02_Category Template_Actuals" xfId="11561"/>
    <cellStyle name="_Row6_Finance review Lu France 2007_Category Template_Actuals NEW_Biscuits Actual Results P02_Category Template_Actuals_Biscuits Actual Results P04" xfId="11562"/>
    <cellStyle name="_Row6_Finance review Lu France 2007_Category Template_Actuals NEW_Biscuits Actual Results P02_Category Template_Actuals_Biscuits Actual Results P04_P&amp;L KFE" xfId="11563"/>
    <cellStyle name="_Row6_Finance review Lu France 2007_Category Template_Actuals NEW_Biscuits Actual Results P02_Category Template_Actuals_P&amp;L KFE" xfId="11564"/>
    <cellStyle name="_Row6_Finance review Lu France 2007_Category Template_Actuals NEW_Biscuits Actual Results P02_Category Template_Actuals_P&amp;L P06 AFH AC US" xfId="11565"/>
    <cellStyle name="_Row6_Finance review Lu France 2007_Category Template_Actuals NEW_Biscuits Actual Results P02_Category Template_Actuals_P&amp;L P06 AFH AC US_P&amp;L KFE" xfId="11566"/>
    <cellStyle name="_Row6_Finance review Lu France 2007_Category Template_Actuals NEW_Biscuits Actual Results P02_P&amp;L" xfId="11567"/>
    <cellStyle name="_Row6_Finance review Lu France 2007_Category Template_Actuals NEW_Biscuits Actual Results P02_P&amp;L KFE" xfId="11568"/>
    <cellStyle name="_Row6_Finance review Lu France 2007_Category Template_Actuals NEW_Biscuits Actual Results P02_P&amp;L_P&amp;L KFE" xfId="11569"/>
    <cellStyle name="_Row6_Finance review Lu France 2007_Category Template_Actuals NEW_Biscuits Actual Results P02_P&amp;L_Sheet3" xfId="11570"/>
    <cellStyle name="_Row6_Finance review Lu France 2007_Category Template_Actuals NEW_Biscuits Actual Results P02_VRAN YTD" xfId="11571"/>
    <cellStyle name="_Row6_Finance review Lu France 2007_Category Template_Actuals NEW_Biscuits Actual Results P02_VRAN YTD_P&amp;L KFE" xfId="11572"/>
    <cellStyle name="_Row6_Finance review Lu France 2007_Category Template_Actuals NEW_Biscuits Actual Results P04" xfId="11573"/>
    <cellStyle name="_Row6_Finance review Lu France 2007_Category Template_Actuals NEW_Biscuits Actual Results P04_P&amp;L KFE" xfId="11574"/>
    <cellStyle name="_Row6_Finance review Lu France 2007_Category Template_Actuals NEW_Biscuits Actual Results P1 BIS" xfId="11575"/>
    <cellStyle name="_Row6_Finance review Lu France 2007_Category Template_Actuals NEW_Biscuits Actual Results P1 BIS 2" xfId="11576"/>
    <cellStyle name="_Row6_Finance review Lu France 2007_Category Template_Actuals NEW_Biscuits Actual Results P1 BIS_Category Template_Actuals" xfId="11577"/>
    <cellStyle name="_Row6_Finance review Lu France 2007_Category Template_Actuals NEW_Biscuits Actual Results P1 BIS_Category Template_Actuals_Biscuits Actual Results P04" xfId="11578"/>
    <cellStyle name="_Row6_Finance review Lu France 2007_Category Template_Actuals NEW_Biscuits Actual Results P1 BIS_Category Template_Actuals_Biscuits Actual Results P04_P&amp;L KFE" xfId="11579"/>
    <cellStyle name="_Row6_Finance review Lu France 2007_Category Template_Actuals NEW_Biscuits Actual Results P1 BIS_Category Template_Actuals_P&amp;L KFE" xfId="11580"/>
    <cellStyle name="_Row6_Finance review Lu France 2007_Category Template_Actuals NEW_Biscuits Actual Results P1 BIS_Category Template_Actuals_P&amp;L P06 AFH AC US" xfId="11581"/>
    <cellStyle name="_Row6_Finance review Lu France 2007_Category Template_Actuals NEW_Biscuits Actual Results P1 BIS_Category Template_Actuals_P&amp;L P06 AFH AC US_P&amp;L KFE" xfId="11582"/>
    <cellStyle name="_Row6_Finance review Lu France 2007_Category Template_Actuals NEW_Biscuits Actual Results P1 BIS_P&amp;L" xfId="11583"/>
    <cellStyle name="_Row6_Finance review Lu France 2007_Category Template_Actuals NEW_Biscuits Actual Results P1 BIS_P&amp;L KFE" xfId="11584"/>
    <cellStyle name="_Row6_Finance review Lu France 2007_Category Template_Actuals NEW_Biscuits Actual Results P1 BIS_P&amp;L_P&amp;L KFE" xfId="11585"/>
    <cellStyle name="_Row6_Finance review Lu France 2007_Category Template_Actuals NEW_Biscuits Actual Results P1 BIS_P&amp;L_Sheet3" xfId="11586"/>
    <cellStyle name="_Row6_Finance review Lu France 2007_Category Template_Actuals NEW_Biscuits Actual Results P1 BIS_VRAN YTD" xfId="11587"/>
    <cellStyle name="_Row6_Finance review Lu France 2007_Category Template_Actuals NEW_Biscuits Actual Results P1 BIS_VRAN YTD_P&amp;L KFE" xfId="11588"/>
    <cellStyle name="_Row6_Finance review Lu France 2007_Category Template_Actuals NEW_Biscuits Actual Results P12 161210" xfId="11589"/>
    <cellStyle name="_Row6_Finance review Lu France 2007_Category Template_Actuals NEW_Biscuits Actual Results P12 161210 2" xfId="11590"/>
    <cellStyle name="_Row6_Finance review Lu France 2007_Category Template_Actuals NEW_Biscuits Actual Results P12 161210_Category Template_Actuals" xfId="11591"/>
    <cellStyle name="_Row6_Finance review Lu France 2007_Category Template_Actuals NEW_Biscuits Actual Results P12 161210_Category Template_Actuals 2" xfId="11592"/>
    <cellStyle name="_Row6_Finance review Lu France 2007_Category Template_Actuals NEW_Biscuits Actual Results P12 161210_Category Template_Actuals_Biscuits Actual Results P02" xfId="11593"/>
    <cellStyle name="_Row6_Finance review Lu France 2007_Category Template_Actuals NEW_Biscuits Actual Results P12 161210_Category Template_Actuals_Biscuits Actual Results P02 2" xfId="11594"/>
    <cellStyle name="_Row6_Finance review Lu France 2007_Category Template_Actuals NEW_Biscuits Actual Results P12 161210_Category Template_Actuals_Biscuits Actual Results P02_Category Template_Actuals" xfId="11595"/>
    <cellStyle name="_Row6_Finance review Lu France 2007_Category Template_Actuals NEW_Biscuits Actual Results P12 161210_Category Template_Actuals_Biscuits Actual Results P02_Category Template_Actuals_Biscuits Actual Results P04" xfId="11596"/>
    <cellStyle name="_Row6_Finance review Lu France 2007_Category Template_Actuals NEW_Biscuits Actual Results P12 161210_Category Template_Actuals_Biscuits Actual Results P02_Category Template_Actuals_Biscuits Actual Results P04_P&amp;L KFE" xfId="11597"/>
    <cellStyle name="_Row6_Finance review Lu France 2007_Category Template_Actuals NEW_Biscuits Actual Results P12 161210_Category Template_Actuals_Biscuits Actual Results P02_Category Template_Actuals_P&amp;L KFE" xfId="11598"/>
    <cellStyle name="_Row6_Finance review Lu France 2007_Category Template_Actuals NEW_Biscuits Actual Results P12 161210_Category Template_Actuals_Biscuits Actual Results P02_Category Template_Actuals_P&amp;L P06 AFH AC US" xfId="11599"/>
    <cellStyle name="_Row6_Finance review Lu France 2007_Category Template_Actuals NEW_Biscuits Actual Results P12 161210_Category Template_Actuals_Biscuits Actual Results P02_Category Template_Actuals_P&amp;L P06 AFH AC US_P&amp;L KFE" xfId="11600"/>
    <cellStyle name="_Row6_Finance review Lu France 2007_Category Template_Actuals NEW_Biscuits Actual Results P12 161210_Category Template_Actuals_Biscuits Actual Results P02_P&amp;L" xfId="11601"/>
    <cellStyle name="_Row6_Finance review Lu France 2007_Category Template_Actuals NEW_Biscuits Actual Results P12 161210_Category Template_Actuals_Biscuits Actual Results P02_P&amp;L KFE" xfId="11602"/>
    <cellStyle name="_Row6_Finance review Lu France 2007_Category Template_Actuals NEW_Biscuits Actual Results P12 161210_Category Template_Actuals_Biscuits Actual Results P02_P&amp;L_P&amp;L KFE" xfId="11603"/>
    <cellStyle name="_Row6_Finance review Lu France 2007_Category Template_Actuals NEW_Biscuits Actual Results P12 161210_Category Template_Actuals_Biscuits Actual Results P02_P&amp;L_Sheet3" xfId="11604"/>
    <cellStyle name="_Row6_Finance review Lu France 2007_Category Template_Actuals NEW_Biscuits Actual Results P12 161210_Category Template_Actuals_Biscuits Actual Results P02_VRAN YTD" xfId="11605"/>
    <cellStyle name="_Row6_Finance review Lu France 2007_Category Template_Actuals NEW_Biscuits Actual Results P12 161210_Category Template_Actuals_Biscuits Actual Results P02_VRAN YTD_P&amp;L KFE" xfId="11606"/>
    <cellStyle name="_Row6_Finance review Lu France 2007_Category Template_Actuals NEW_Biscuits Actual Results P12 161210_Category Template_Actuals_Biscuits Actual Results P04" xfId="11607"/>
    <cellStyle name="_Row6_Finance review Lu France 2007_Category Template_Actuals NEW_Biscuits Actual Results P12 161210_Category Template_Actuals_Biscuits Actual Results P04_P&amp;L KFE" xfId="11608"/>
    <cellStyle name="_Row6_Finance review Lu France 2007_Category Template_Actuals NEW_Biscuits Actual Results P12 161210_Category Template_Actuals_P&amp;L" xfId="11609"/>
    <cellStyle name="_Row6_Finance review Lu France 2007_Category Template_Actuals NEW_Biscuits Actual Results P12 161210_Category Template_Actuals_P&amp;L KFE" xfId="11610"/>
    <cellStyle name="_Row6_Finance review Lu France 2007_Category Template_Actuals NEW_Biscuits Actual Results P12 161210_Category Template_Actuals_P&amp;L P06 AFH AC US" xfId="11611"/>
    <cellStyle name="_Row6_Finance review Lu France 2007_Category Template_Actuals NEW_Biscuits Actual Results P12 161210_Category Template_Actuals_P&amp;L P06 AFH AC US_P&amp;L KFE" xfId="11612"/>
    <cellStyle name="_Row6_Finance review Lu France 2007_Category Template_Actuals NEW_Biscuits Actual Results P12 161210_Category Template_Actuals_P&amp;L_P&amp;L KFE" xfId="11613"/>
    <cellStyle name="_Row6_Finance review Lu France 2007_Category Template_Actuals NEW_Biscuits Actual Results P12 161210_Category Template_Actuals_P&amp;L_Sheet3" xfId="11614"/>
    <cellStyle name="_Row6_Finance review Lu France 2007_Category Template_Actuals NEW_Biscuits Actual Results P12 161210_P&amp;L" xfId="11615"/>
    <cellStyle name="_Row6_Finance review Lu France 2007_Category Template_Actuals NEW_Biscuits Actual Results P12 161210_P&amp;L KFE" xfId="11616"/>
    <cellStyle name="_Row6_Finance review Lu France 2007_Category Template_Actuals NEW_Biscuits Actual Results P12 161210_P&amp;L_P&amp;L KFE" xfId="11617"/>
    <cellStyle name="_Row6_Finance review Lu France 2007_Category Template_Actuals NEW_Biscuits Actual Results P12 161210_P&amp;L_Sheet3" xfId="11618"/>
    <cellStyle name="_Row6_Finance review Lu France 2007_Category Template_Actuals NEW_Biscuits Actual Results P12 161210_VRAN YTD" xfId="11619"/>
    <cellStyle name="_Row6_Finance review Lu France 2007_Category Template_Actuals NEW_Biscuits Actual Results P12 161210_VRAN YTD_P&amp;L KFE" xfId="11620"/>
    <cellStyle name="_Row6_Finance review Lu France 2007_Category Template_Actuals NEW_P&amp;L" xfId="11621"/>
    <cellStyle name="_Row6_Finance review Lu France 2007_Category Template_Actuals NEW_P&amp;L KFE" xfId="11622"/>
    <cellStyle name="_Row6_Finance review Lu France 2007_Category Template_Actuals NEW_P&amp;L P06 AFH AC US" xfId="11623"/>
    <cellStyle name="_Row6_Finance review Lu France 2007_Category Template_Actuals NEW_P&amp;L P06 AFH AC US_P&amp;L KFE" xfId="11624"/>
    <cellStyle name="_Row6_Finance review Lu France 2007_Category Template_Actuals NEW_P&amp;L_P&amp;L KFE" xfId="11625"/>
    <cellStyle name="_Row6_Finance review Lu France 2007_Category Template_Actuals NEW_P&amp;L_Sheet3" xfId="11626"/>
    <cellStyle name="_Row6_Finance review Lu France 2007_Category Template_Actuals_Biscuits Actual Results P02" xfId="11627"/>
    <cellStyle name="_Row6_Finance review Lu France 2007_Category Template_Actuals_Biscuits Actual Results P02 2" xfId="11628"/>
    <cellStyle name="_Row6_Finance review Lu France 2007_Category Template_Actuals_Biscuits Actual Results P02_Category Template_Actuals" xfId="11629"/>
    <cellStyle name="_Row6_Finance review Lu France 2007_Category Template_Actuals_Biscuits Actual Results P02_Category Template_Actuals_Biscuits Actual Results P04" xfId="11630"/>
    <cellStyle name="_Row6_Finance review Lu France 2007_Category Template_Actuals_Biscuits Actual Results P02_Category Template_Actuals_Biscuits Actual Results P04_P&amp;L KFE" xfId="11631"/>
    <cellStyle name="_Row6_Finance review Lu France 2007_Category Template_Actuals_Biscuits Actual Results P02_Category Template_Actuals_P&amp;L KFE" xfId="11632"/>
    <cellStyle name="_Row6_Finance review Lu France 2007_Category Template_Actuals_Biscuits Actual Results P02_Category Template_Actuals_P&amp;L P06 AFH AC US" xfId="11633"/>
    <cellStyle name="_Row6_Finance review Lu France 2007_Category Template_Actuals_Biscuits Actual Results P02_Category Template_Actuals_P&amp;L P06 AFH AC US_P&amp;L KFE" xfId="11634"/>
    <cellStyle name="_Row6_Finance review Lu France 2007_Category Template_Actuals_Biscuits Actual Results P02_P&amp;L" xfId="11635"/>
    <cellStyle name="_Row6_Finance review Lu France 2007_Category Template_Actuals_Biscuits Actual Results P02_P&amp;L KFE" xfId="11636"/>
    <cellStyle name="_Row6_Finance review Lu France 2007_Category Template_Actuals_Biscuits Actual Results P02_P&amp;L_P&amp;L KFE" xfId="11637"/>
    <cellStyle name="_Row6_Finance review Lu France 2007_Category Template_Actuals_Biscuits Actual Results P02_P&amp;L_Sheet3" xfId="11638"/>
    <cellStyle name="_Row6_Finance review Lu France 2007_Category Template_Actuals_Biscuits Actual Results P02_VRAN YTD" xfId="11639"/>
    <cellStyle name="_Row6_Finance review Lu France 2007_Category Template_Actuals_Biscuits Actual Results P02_VRAN YTD_P&amp;L KFE" xfId="11640"/>
    <cellStyle name="_Row6_Finance review Lu France 2007_Category Template_Actuals_Biscuits Actual Results P04" xfId="11641"/>
    <cellStyle name="_Row6_Finance review Lu France 2007_Category Template_Actuals_Biscuits Actual Results P04_P&amp;L KFE" xfId="11642"/>
    <cellStyle name="_Row6_Finance review Lu France 2007_Category Template_Actuals_P&amp;L" xfId="11643"/>
    <cellStyle name="_Row6_Finance review Lu France 2007_Category Template_Actuals_P&amp;L KFE" xfId="11644"/>
    <cellStyle name="_Row6_Finance review Lu France 2007_Category Template_Actuals_P&amp;L P06 AFH AC US" xfId="11645"/>
    <cellStyle name="_Row6_Finance review Lu France 2007_Category Template_Actuals_P&amp;L P06 AFH AC US_P&amp;L KFE" xfId="11646"/>
    <cellStyle name="_Row6_Finance review Lu France 2007_Category Template_Actuals_P&amp;L_P&amp;L KFE" xfId="11647"/>
    <cellStyle name="_Row6_Finance review Lu France 2007_Category Template_Actuals_P&amp;L_Sheet3" xfId="11648"/>
    <cellStyle name="_Row6_Finance review Lu France 2007_KFE Category PnL template_Combined_P03 (2)" xfId="11649"/>
    <cellStyle name="_Row6_Finance review Lu France 2007_KFE Category PnL template_Combined_P03 (2)_P&amp;L KFE" xfId="11650"/>
    <cellStyle name="_Row6_Finance review Lu France 2007_KFE Category PnL template_Combined_P03 (2)_Sheet3" xfId="11651"/>
    <cellStyle name="_Row6_Finance review Lu France 2007_KFE Category PnL template_Kraft Legacy (2)" xfId="11652"/>
    <cellStyle name="_Row6_Finance review Lu France 2007_KFE Category PnL template_Kraft Legacy (2)_P&amp;L KFE" xfId="11653"/>
    <cellStyle name="_Row6_Finance review Lu France 2007_KFE Category PnL template_Kraft Legacy (2)_Sheet3" xfId="11654"/>
    <cellStyle name="_Row6_Finance review Lu France 2007_KFE Category PnL template_Kraft Legacy (4)" xfId="11655"/>
    <cellStyle name="_Row6_Finance review Lu France 2007_KFE Category PnL template_Kraft Legacy (4)_P&amp;L KFE" xfId="11656"/>
    <cellStyle name="_Row6_Finance review Lu France 2007_KFE Category PnL template_Kraft Legacy (4)_Sheet3" xfId="11657"/>
    <cellStyle name="_Row6_Finance review Lu France 2007_OI Bridge 0" xfId="11658"/>
    <cellStyle name="_Row6_Finance review Lu France 2007_OI Bridge 0_1" xfId="11659"/>
    <cellStyle name="_Row6_Finance review Lu France 2007_OI Bridge 1" xfId="11660"/>
    <cellStyle name="_Row6_Finance review Lu France 2007_P&amp;L" xfId="11661"/>
    <cellStyle name="_Row6_Finance review Lu France 2007_P&amp;L KFE" xfId="11662"/>
    <cellStyle name="_Row6_Finance review Lu France 2007_P&amp;L_P&amp;L KFE" xfId="11663"/>
    <cellStyle name="_Row6_Finance review Lu France 2007_P&amp;L_Sheet3" xfId="11664"/>
    <cellStyle name="_Row6_Finance review Lu France 2007_Sheet1" xfId="11665"/>
    <cellStyle name="_Row6_Finance review Lu France 2007_VRAN YTD" xfId="11666"/>
    <cellStyle name="_Row6_Finance review Lu France 2007_VRAN YTD 2" xfId="11667"/>
    <cellStyle name="_Row6_Finance review Lu France 2007_VRAN YTD_Biscuits Actual Results P01" xfId="11668"/>
    <cellStyle name="_Row6_Finance review Lu France 2007_VRAN YTD_Biscuits Actual Results P01 2" xfId="11669"/>
    <cellStyle name="_Row6_Finance review Lu France 2007_VRAN YTD_Biscuits Actual Results P01_Category Template_Actuals" xfId="11670"/>
    <cellStyle name="_Row6_Finance review Lu France 2007_VRAN YTD_Biscuits Actual Results P01_Category Template_Actuals 2" xfId="11671"/>
    <cellStyle name="_Row6_Finance review Lu France 2007_VRAN YTD_Biscuits Actual Results P01_Category Template_Actuals_Biscuits Actual Results P02" xfId="11672"/>
    <cellStyle name="_Row6_Finance review Lu France 2007_VRAN YTD_Biscuits Actual Results P01_Category Template_Actuals_Biscuits Actual Results P02 2" xfId="11673"/>
    <cellStyle name="_Row6_Finance review Lu France 2007_VRAN YTD_Biscuits Actual Results P01_Category Template_Actuals_Biscuits Actual Results P02_Category Template_Actuals" xfId="11674"/>
    <cellStyle name="_Row6_Finance review Lu France 2007_VRAN YTD_Biscuits Actual Results P01_Category Template_Actuals_Biscuits Actual Results P02_Category Template_Actuals_Biscuits Actual Results P04" xfId="11675"/>
    <cellStyle name="_Row6_Finance review Lu France 2007_VRAN YTD_Biscuits Actual Results P01_Category Template_Actuals_Biscuits Actual Results P02_Category Template_Actuals_Biscuits Actual Results P04_P&amp;L KFE" xfId="11676"/>
    <cellStyle name="_Row6_Finance review Lu France 2007_VRAN YTD_Biscuits Actual Results P01_Category Template_Actuals_Biscuits Actual Results P02_Category Template_Actuals_P&amp;L KFE" xfId="11677"/>
    <cellStyle name="_Row6_Finance review Lu France 2007_VRAN YTD_Biscuits Actual Results P01_Category Template_Actuals_Biscuits Actual Results P02_Category Template_Actuals_P&amp;L P06 AFH AC US" xfId="11678"/>
    <cellStyle name="_Row6_Finance review Lu France 2007_VRAN YTD_Biscuits Actual Results P01_Category Template_Actuals_Biscuits Actual Results P02_Category Template_Actuals_P&amp;L P06 AFH AC US_P&amp;L KFE" xfId="11679"/>
    <cellStyle name="_Row6_Finance review Lu France 2007_VRAN YTD_Biscuits Actual Results P01_Category Template_Actuals_Biscuits Actual Results P02_P&amp;L" xfId="11680"/>
    <cellStyle name="_Row6_Finance review Lu France 2007_VRAN YTD_Biscuits Actual Results P01_Category Template_Actuals_Biscuits Actual Results P02_P&amp;L KFE" xfId="11681"/>
    <cellStyle name="_Row6_Finance review Lu France 2007_VRAN YTD_Biscuits Actual Results P01_Category Template_Actuals_Biscuits Actual Results P02_P&amp;L_P&amp;L KFE" xfId="11682"/>
    <cellStyle name="_Row6_Finance review Lu France 2007_VRAN YTD_Biscuits Actual Results P01_Category Template_Actuals_Biscuits Actual Results P02_P&amp;L_Sheet3" xfId="11683"/>
    <cellStyle name="_Row6_Finance review Lu France 2007_VRAN YTD_Biscuits Actual Results P01_Category Template_Actuals_Biscuits Actual Results P02_VRAN YTD" xfId="11684"/>
    <cellStyle name="_Row6_Finance review Lu France 2007_VRAN YTD_Biscuits Actual Results P01_Category Template_Actuals_Biscuits Actual Results P02_VRAN YTD_P&amp;L KFE" xfId="11685"/>
    <cellStyle name="_Row6_Finance review Lu France 2007_VRAN YTD_Biscuits Actual Results P01_Category Template_Actuals_Biscuits Actual Results P04" xfId="11686"/>
    <cellStyle name="_Row6_Finance review Lu France 2007_VRAN YTD_Biscuits Actual Results P01_Category Template_Actuals_Biscuits Actual Results P04_P&amp;L KFE" xfId="11687"/>
    <cellStyle name="_Row6_Finance review Lu France 2007_VRAN YTD_Biscuits Actual Results P01_Category Template_Actuals_P&amp;L" xfId="11688"/>
    <cellStyle name="_Row6_Finance review Lu France 2007_VRAN YTD_Biscuits Actual Results P01_Category Template_Actuals_P&amp;L KFE" xfId="11689"/>
    <cellStyle name="_Row6_Finance review Lu France 2007_VRAN YTD_Biscuits Actual Results P01_Category Template_Actuals_P&amp;L P06 AFH AC US" xfId="11690"/>
    <cellStyle name="_Row6_Finance review Lu France 2007_VRAN YTD_Biscuits Actual Results P01_Category Template_Actuals_P&amp;L P06 AFH AC US_P&amp;L KFE" xfId="11691"/>
    <cellStyle name="_Row6_Finance review Lu France 2007_VRAN YTD_Biscuits Actual Results P01_Category Template_Actuals_P&amp;L_P&amp;L KFE" xfId="11692"/>
    <cellStyle name="_Row6_Finance review Lu France 2007_VRAN YTD_Biscuits Actual Results P01_Category Template_Actuals_P&amp;L_Sheet3" xfId="11693"/>
    <cellStyle name="_Row6_Finance review Lu France 2007_VRAN YTD_Biscuits Actual Results P01_P&amp;L" xfId="11694"/>
    <cellStyle name="_Row6_Finance review Lu France 2007_VRAN YTD_Biscuits Actual Results P01_P&amp;L KFE" xfId="11695"/>
    <cellStyle name="_Row6_Finance review Lu France 2007_VRAN YTD_Biscuits Actual Results P01_P&amp;L_P&amp;L KFE" xfId="11696"/>
    <cellStyle name="_Row6_Finance review Lu France 2007_VRAN YTD_Biscuits Actual Results P01_P&amp;L_Sheet3" xfId="11697"/>
    <cellStyle name="_Row6_Finance review Lu France 2007_VRAN YTD_Biscuits Actual Results P01_VRAN YTD" xfId="11698"/>
    <cellStyle name="_Row6_Finance review Lu France 2007_VRAN YTD_Biscuits Actual Results P01_VRAN YTD_P&amp;L KFE" xfId="11699"/>
    <cellStyle name="_Row6_Finance review Lu France 2007_VRAN YTD_Biscuits Actual Results P02" xfId="11700"/>
    <cellStyle name="_Row6_Finance review Lu France 2007_VRAN YTD_Biscuits Actual Results P02 2" xfId="11701"/>
    <cellStyle name="_Row6_Finance review Lu France 2007_VRAN YTD_Biscuits Actual Results P02_Category Template_Actuals" xfId="11702"/>
    <cellStyle name="_Row6_Finance review Lu France 2007_VRAN YTD_Biscuits Actual Results P02_Category Template_Actuals_Biscuits Actual Results P04" xfId="11703"/>
    <cellStyle name="_Row6_Finance review Lu France 2007_VRAN YTD_Biscuits Actual Results P02_Category Template_Actuals_Biscuits Actual Results P04_P&amp;L KFE" xfId="11704"/>
    <cellStyle name="_Row6_Finance review Lu France 2007_VRAN YTD_Biscuits Actual Results P02_Category Template_Actuals_P&amp;L KFE" xfId="11705"/>
    <cellStyle name="_Row6_Finance review Lu France 2007_VRAN YTD_Biscuits Actual Results P02_Category Template_Actuals_P&amp;L P06 AFH AC US" xfId="11706"/>
    <cellStyle name="_Row6_Finance review Lu France 2007_VRAN YTD_Biscuits Actual Results P02_Category Template_Actuals_P&amp;L P06 AFH AC US_P&amp;L KFE" xfId="11707"/>
    <cellStyle name="_Row6_Finance review Lu France 2007_VRAN YTD_Biscuits Actual Results P02_P&amp;L" xfId="11708"/>
    <cellStyle name="_Row6_Finance review Lu France 2007_VRAN YTD_Biscuits Actual Results P02_P&amp;L KFE" xfId="11709"/>
    <cellStyle name="_Row6_Finance review Lu France 2007_VRAN YTD_Biscuits Actual Results P02_P&amp;L_P&amp;L KFE" xfId="11710"/>
    <cellStyle name="_Row6_Finance review Lu France 2007_VRAN YTD_Biscuits Actual Results P02_P&amp;L_Sheet3" xfId="11711"/>
    <cellStyle name="_Row6_Finance review Lu France 2007_VRAN YTD_Biscuits Actual Results P02_VRAN YTD" xfId="11712"/>
    <cellStyle name="_Row6_Finance review Lu France 2007_VRAN YTD_Biscuits Actual Results P02_VRAN YTD_P&amp;L KFE" xfId="11713"/>
    <cellStyle name="_Row6_Finance review Lu France 2007_VRAN YTD_Biscuits Actual Results P04" xfId="11714"/>
    <cellStyle name="_Row6_Finance review Lu France 2007_VRAN YTD_Biscuits Actual Results P04_P&amp;L KFE" xfId="11715"/>
    <cellStyle name="_Row6_Finance review Lu France 2007_VRAN YTD_Biscuits Actual Results P1 BIS" xfId="11716"/>
    <cellStyle name="_Row6_Finance review Lu France 2007_VRAN YTD_Biscuits Actual Results P1 BIS 2" xfId="11717"/>
    <cellStyle name="_Row6_Finance review Lu France 2007_VRAN YTD_Biscuits Actual Results P1 BIS_Category Template_Actuals" xfId="11718"/>
    <cellStyle name="_Row6_Finance review Lu France 2007_VRAN YTD_Biscuits Actual Results P1 BIS_Category Template_Actuals_Biscuits Actual Results P04" xfId="11719"/>
    <cellStyle name="_Row6_Finance review Lu France 2007_VRAN YTD_Biscuits Actual Results P1 BIS_Category Template_Actuals_Biscuits Actual Results P04_P&amp;L KFE" xfId="11720"/>
    <cellStyle name="_Row6_Finance review Lu France 2007_VRAN YTD_Biscuits Actual Results P1 BIS_Category Template_Actuals_P&amp;L KFE" xfId="11721"/>
    <cellStyle name="_Row6_Finance review Lu France 2007_VRAN YTD_Biscuits Actual Results P1 BIS_Category Template_Actuals_P&amp;L P06 AFH AC US" xfId="11722"/>
    <cellStyle name="_Row6_Finance review Lu France 2007_VRAN YTD_Biscuits Actual Results P1 BIS_Category Template_Actuals_P&amp;L P06 AFH AC US_P&amp;L KFE" xfId="11723"/>
    <cellStyle name="_Row6_Finance review Lu France 2007_VRAN YTD_Biscuits Actual Results P1 BIS_P&amp;L" xfId="11724"/>
    <cellStyle name="_Row6_Finance review Lu France 2007_VRAN YTD_Biscuits Actual Results P1 BIS_P&amp;L KFE" xfId="11725"/>
    <cellStyle name="_Row6_Finance review Lu France 2007_VRAN YTD_Biscuits Actual Results P1 BIS_P&amp;L_P&amp;L KFE" xfId="11726"/>
    <cellStyle name="_Row6_Finance review Lu France 2007_VRAN YTD_Biscuits Actual Results P1 BIS_P&amp;L_Sheet3" xfId="11727"/>
    <cellStyle name="_Row6_Finance review Lu France 2007_VRAN YTD_Biscuits Actual Results P1 BIS_VRAN YTD" xfId="11728"/>
    <cellStyle name="_Row6_Finance review Lu France 2007_VRAN YTD_Biscuits Actual Results P1 BIS_VRAN YTD_P&amp;L KFE" xfId="11729"/>
    <cellStyle name="_Row6_Finance review Lu France 2007_VRAN YTD_Biscuits Actual Results P12 161210" xfId="11730"/>
    <cellStyle name="_Row6_Finance review Lu France 2007_VRAN YTD_Biscuits Actual Results P12 161210 2" xfId="11731"/>
    <cellStyle name="_Row6_Finance review Lu France 2007_VRAN YTD_Biscuits Actual Results P12 161210_Category Template_Actuals" xfId="11732"/>
    <cellStyle name="_Row6_Finance review Lu France 2007_VRAN YTD_Biscuits Actual Results P12 161210_Category Template_Actuals 2" xfId="11733"/>
    <cellStyle name="_Row6_Finance review Lu France 2007_VRAN YTD_Biscuits Actual Results P12 161210_Category Template_Actuals_Biscuits Actual Results P02" xfId="11734"/>
    <cellStyle name="_Row6_Finance review Lu France 2007_VRAN YTD_Biscuits Actual Results P12 161210_Category Template_Actuals_Biscuits Actual Results P02 2" xfId="11735"/>
    <cellStyle name="_Row6_Finance review Lu France 2007_VRAN YTD_Biscuits Actual Results P12 161210_Category Template_Actuals_Biscuits Actual Results P02_Category Template_Actuals" xfId="11736"/>
    <cellStyle name="_Row6_Finance review Lu France 2007_VRAN YTD_Biscuits Actual Results P12 161210_Category Template_Actuals_Biscuits Actual Results P02_Category Template_Actuals_Biscuits Actual Results P04" xfId="11737"/>
    <cellStyle name="_Row6_Finance review Lu France 2007_VRAN YTD_Biscuits Actual Results P12 161210_Category Template_Actuals_Biscuits Actual Results P02_Category Template_Actuals_Biscuits Actual Results P04_P&amp;L KFE" xfId="11738"/>
    <cellStyle name="_Row6_Finance review Lu France 2007_VRAN YTD_Biscuits Actual Results P12 161210_Category Template_Actuals_Biscuits Actual Results P02_Category Template_Actuals_P&amp;L KFE" xfId="11739"/>
    <cellStyle name="_Row6_Finance review Lu France 2007_VRAN YTD_Biscuits Actual Results P12 161210_Category Template_Actuals_Biscuits Actual Results P02_Category Template_Actuals_P&amp;L P06 AFH AC US" xfId="11740"/>
    <cellStyle name="_Row6_Finance review Lu France 2007_VRAN YTD_Biscuits Actual Results P12 161210_Category Template_Actuals_Biscuits Actual Results P02_Category Template_Actuals_P&amp;L P06 AFH AC US_P&amp;L KFE" xfId="11741"/>
    <cellStyle name="_Row6_Finance review Lu France 2007_VRAN YTD_Biscuits Actual Results P12 161210_Category Template_Actuals_Biscuits Actual Results P02_P&amp;L" xfId="11742"/>
    <cellStyle name="_Row6_Finance review Lu France 2007_VRAN YTD_Biscuits Actual Results P12 161210_Category Template_Actuals_Biscuits Actual Results P02_P&amp;L KFE" xfId="11743"/>
    <cellStyle name="_Row6_Finance review Lu France 2007_VRAN YTD_Biscuits Actual Results P12 161210_Category Template_Actuals_Biscuits Actual Results P02_P&amp;L_P&amp;L KFE" xfId="11744"/>
    <cellStyle name="_Row6_Finance review Lu France 2007_VRAN YTD_Biscuits Actual Results P12 161210_Category Template_Actuals_Biscuits Actual Results P02_P&amp;L_Sheet3" xfId="11745"/>
    <cellStyle name="_Row6_Finance review Lu France 2007_VRAN YTD_Biscuits Actual Results P12 161210_Category Template_Actuals_Biscuits Actual Results P02_VRAN YTD" xfId="11746"/>
    <cellStyle name="_Row6_Finance review Lu France 2007_VRAN YTD_Biscuits Actual Results P12 161210_Category Template_Actuals_Biscuits Actual Results P02_VRAN YTD_P&amp;L KFE" xfId="11747"/>
    <cellStyle name="_Row6_Finance review Lu France 2007_VRAN YTD_Biscuits Actual Results P12 161210_Category Template_Actuals_Biscuits Actual Results P04" xfId="11748"/>
    <cellStyle name="_Row6_Finance review Lu France 2007_VRAN YTD_Biscuits Actual Results P12 161210_Category Template_Actuals_Biscuits Actual Results P04_P&amp;L KFE" xfId="11749"/>
    <cellStyle name="_Row6_Finance review Lu France 2007_VRAN YTD_Biscuits Actual Results P12 161210_Category Template_Actuals_P&amp;L" xfId="11750"/>
    <cellStyle name="_Row6_Finance review Lu France 2007_VRAN YTD_Biscuits Actual Results P12 161210_Category Template_Actuals_P&amp;L KFE" xfId="11751"/>
    <cellStyle name="_Row6_Finance review Lu France 2007_VRAN YTD_Biscuits Actual Results P12 161210_Category Template_Actuals_P&amp;L P06 AFH AC US" xfId="11752"/>
    <cellStyle name="_Row6_Finance review Lu France 2007_VRAN YTD_Biscuits Actual Results P12 161210_Category Template_Actuals_P&amp;L P06 AFH AC US_P&amp;L KFE" xfId="11753"/>
    <cellStyle name="_Row6_Finance review Lu France 2007_VRAN YTD_Biscuits Actual Results P12 161210_Category Template_Actuals_P&amp;L_P&amp;L KFE" xfId="11754"/>
    <cellStyle name="_Row6_Finance review Lu France 2007_VRAN YTD_Biscuits Actual Results P12 161210_Category Template_Actuals_P&amp;L_Sheet3" xfId="11755"/>
    <cellStyle name="_Row6_Finance review Lu France 2007_VRAN YTD_Biscuits Actual Results P12 161210_P&amp;L" xfId="11756"/>
    <cellStyle name="_Row6_Finance review Lu France 2007_VRAN YTD_Biscuits Actual Results P12 161210_P&amp;L KFE" xfId="11757"/>
    <cellStyle name="_Row6_Finance review Lu France 2007_VRAN YTD_Biscuits Actual Results P12 161210_P&amp;L_P&amp;L KFE" xfId="11758"/>
    <cellStyle name="_Row6_Finance review Lu France 2007_VRAN YTD_Biscuits Actual Results P12 161210_P&amp;L_Sheet3" xfId="11759"/>
    <cellStyle name="_Row6_Finance review Lu France 2007_VRAN YTD_Biscuits Actual Results P12 161210_VRAN YTD" xfId="11760"/>
    <cellStyle name="_Row6_Finance review Lu France 2007_VRAN YTD_Biscuits Actual Results P12 161210_VRAN YTD_P&amp;L KFE" xfId="11761"/>
    <cellStyle name="_Row6_Finance review Lu France 2007_VRAN YTD_P&amp;L" xfId="11762"/>
    <cellStyle name="_Row6_Finance review Lu France 2007_VRAN YTD_P&amp;L KFE" xfId="11763"/>
    <cellStyle name="_Row6_Finance review Lu France 2007_VRAN YTD_P&amp;L P06 AFH AC US" xfId="11764"/>
    <cellStyle name="_Row6_Finance review Lu France 2007_VRAN YTD_P&amp;L P06 AFH AC US_P&amp;L KFE" xfId="11765"/>
    <cellStyle name="_Row6_Finance review Lu France 2007_VRAN YTD_P&amp;L_P&amp;L KFE" xfId="11766"/>
    <cellStyle name="_Row6_Finance review Lu France 2007_VRAN YTD_P&amp;L_Sheet3" xfId="11767"/>
    <cellStyle name="_Row6_FT avec ristournes" xfId="11768"/>
    <cellStyle name="_Row6_FT avec ristournes 2" xfId="11769"/>
    <cellStyle name="_Row6_FT avec ristournes 2_P&amp;L KFE" xfId="11770"/>
    <cellStyle name="_Row6_FT avec ristournes 2_Sheet3" xfId="11771"/>
    <cellStyle name="_Row6_FT avec ristournes 3" xfId="11772"/>
    <cellStyle name="_Row6_FT avec ristournes_2011 Targets by category Aug 25" xfId="11773"/>
    <cellStyle name="_Row6_FT avec ristournes_AC11 conso @Cst Fx" xfId="11774"/>
    <cellStyle name="_Row6_FT avec ristournes_AC11 conso @Cst Fx 2" xfId="11775"/>
    <cellStyle name="_Row6_FT avec ristournes_AC11 conso @Cst Fx after LFL restatement" xfId="11776"/>
    <cellStyle name="_Row6_FT avec ristournes_AC11 conso @Cst Fx after LFL restatement 2" xfId="11777"/>
    <cellStyle name="_Row6_FT avec ristournes_AC11 conso @Cst Fx after LFL restatement_P&amp;L KFE" xfId="11778"/>
    <cellStyle name="_Row6_FT avec ristournes_AC11 conso @Cst Fx after LFL restatement_Sheet3" xfId="11779"/>
    <cellStyle name="_Row6_FT avec ristournes_AC11 conso @Cst Fx_P&amp;L KFE" xfId="11780"/>
    <cellStyle name="_Row6_FT avec ristournes_AC11 conso @Cst Fx_Sheet3" xfId="11781"/>
    <cellStyle name="_Row6_FT avec ristournes_Category PnL" xfId="11782"/>
    <cellStyle name="_Row6_FT avec ristournes_Category PnL 2" xfId="11783"/>
    <cellStyle name="_Row6_FT avec ristournes_Category PnL_P&amp;L KFE" xfId="11784"/>
    <cellStyle name="_Row6_FT avec ristournes_Category PnL_Sheet3" xfId="11785"/>
    <cellStyle name="_Row6_FT avec ristournes_Category Targets 2011_1.2" xfId="11786"/>
    <cellStyle name="_Row6_FT avec ristournes_Category Template_Actuals" xfId="11787"/>
    <cellStyle name="_Row6_FT avec ristournes_Category Template_Actuals 2" xfId="11788"/>
    <cellStyle name="_Row6_FT avec ristournes_Category Template_Actuals NEW" xfId="11789"/>
    <cellStyle name="_Row6_FT avec ristournes_Category Template_Actuals NEW 2" xfId="11790"/>
    <cellStyle name="_Row6_FT avec ristournes_Category Template_Actuals NEW_Biscuits Actual Results P01" xfId="11791"/>
    <cellStyle name="_Row6_FT avec ristournes_Category Template_Actuals NEW_Biscuits Actual Results P01 2" xfId="11792"/>
    <cellStyle name="_Row6_FT avec ristournes_Category Template_Actuals NEW_Biscuits Actual Results P01_Category Template_Actuals" xfId="11793"/>
    <cellStyle name="_Row6_FT avec ristournes_Category Template_Actuals NEW_Biscuits Actual Results P01_Category Template_Actuals 2" xfId="11794"/>
    <cellStyle name="_Row6_FT avec ristournes_Category Template_Actuals NEW_Biscuits Actual Results P01_Category Template_Actuals_Biscuits Actual Results P02" xfId="11795"/>
    <cellStyle name="_Row6_FT avec ristournes_Category Template_Actuals NEW_Biscuits Actual Results P01_Category Template_Actuals_Biscuits Actual Results P02 2" xfId="11796"/>
    <cellStyle name="_Row6_FT avec ristournes_Category Template_Actuals NEW_Biscuits Actual Results P01_Category Template_Actuals_Biscuits Actual Results P02_Category Template_Actuals" xfId="11797"/>
    <cellStyle name="_Row6_FT avec ristournes_Category Template_Actuals NEW_Biscuits Actual Results P01_Category Template_Actuals_Biscuits Actual Results P02_Category Template_Actuals_Biscuits Actual Results P04" xfId="11798"/>
    <cellStyle name="_Row6_FT avec ristournes_Category Template_Actuals NEW_Biscuits Actual Results P01_Category Template_Actuals_Biscuits Actual Results P02_Category Template_Actuals_Biscuits Actual Results P04_P&amp;L KFE" xfId="11799"/>
    <cellStyle name="_Row6_FT avec ristournes_Category Template_Actuals NEW_Biscuits Actual Results P01_Category Template_Actuals_Biscuits Actual Results P02_Category Template_Actuals_P&amp;L KFE" xfId="11800"/>
    <cellStyle name="_Row6_FT avec ristournes_Category Template_Actuals NEW_Biscuits Actual Results P01_Category Template_Actuals_Biscuits Actual Results P02_Category Template_Actuals_P&amp;L P06 AFH AC US" xfId="11801"/>
    <cellStyle name="_Row6_FT avec ristournes_Category Template_Actuals NEW_Biscuits Actual Results P01_Category Template_Actuals_Biscuits Actual Results P02_Category Template_Actuals_P&amp;L P06 AFH AC US_P&amp;L KFE" xfId="11802"/>
    <cellStyle name="_Row6_FT avec ristournes_Category Template_Actuals NEW_Biscuits Actual Results P01_Category Template_Actuals_Biscuits Actual Results P02_P&amp;L" xfId="11803"/>
    <cellStyle name="_Row6_FT avec ristournes_Category Template_Actuals NEW_Biscuits Actual Results P01_Category Template_Actuals_Biscuits Actual Results P02_P&amp;L KFE" xfId="11804"/>
    <cellStyle name="_Row6_FT avec ristournes_Category Template_Actuals NEW_Biscuits Actual Results P01_Category Template_Actuals_Biscuits Actual Results P02_P&amp;L_P&amp;L KFE" xfId="11805"/>
    <cellStyle name="_Row6_FT avec ristournes_Category Template_Actuals NEW_Biscuits Actual Results P01_Category Template_Actuals_Biscuits Actual Results P02_P&amp;L_Sheet3" xfId="11806"/>
    <cellStyle name="_Row6_FT avec ristournes_Category Template_Actuals NEW_Biscuits Actual Results P01_Category Template_Actuals_Biscuits Actual Results P02_VRAN YTD" xfId="11807"/>
    <cellStyle name="_Row6_FT avec ristournes_Category Template_Actuals NEW_Biscuits Actual Results P01_Category Template_Actuals_Biscuits Actual Results P02_VRAN YTD_P&amp;L KFE" xfId="11808"/>
    <cellStyle name="_Row6_FT avec ristournes_Category Template_Actuals NEW_Biscuits Actual Results P01_Category Template_Actuals_Biscuits Actual Results P04" xfId="11809"/>
    <cellStyle name="_Row6_FT avec ristournes_Category Template_Actuals NEW_Biscuits Actual Results P01_Category Template_Actuals_Biscuits Actual Results P04_P&amp;L KFE" xfId="11810"/>
    <cellStyle name="_Row6_FT avec ristournes_Category Template_Actuals NEW_Biscuits Actual Results P01_Category Template_Actuals_P&amp;L" xfId="11811"/>
    <cellStyle name="_Row6_FT avec ristournes_Category Template_Actuals NEW_Biscuits Actual Results P01_Category Template_Actuals_P&amp;L KFE" xfId="11812"/>
    <cellStyle name="_Row6_FT avec ristournes_Category Template_Actuals NEW_Biscuits Actual Results P01_Category Template_Actuals_P&amp;L P06 AFH AC US" xfId="11813"/>
    <cellStyle name="_Row6_FT avec ristournes_Category Template_Actuals NEW_Biscuits Actual Results P01_Category Template_Actuals_P&amp;L P06 AFH AC US_P&amp;L KFE" xfId="11814"/>
    <cellStyle name="_Row6_FT avec ristournes_Category Template_Actuals NEW_Biscuits Actual Results P01_Category Template_Actuals_P&amp;L_P&amp;L KFE" xfId="11815"/>
    <cellStyle name="_Row6_FT avec ristournes_Category Template_Actuals NEW_Biscuits Actual Results P01_Category Template_Actuals_P&amp;L_Sheet3" xfId="11816"/>
    <cellStyle name="_Row6_FT avec ristournes_Category Template_Actuals NEW_Biscuits Actual Results P01_P&amp;L" xfId="11817"/>
    <cellStyle name="_Row6_FT avec ristournes_Category Template_Actuals NEW_Biscuits Actual Results P01_P&amp;L KFE" xfId="11818"/>
    <cellStyle name="_Row6_FT avec ristournes_Category Template_Actuals NEW_Biscuits Actual Results P01_P&amp;L_P&amp;L KFE" xfId="11819"/>
    <cellStyle name="_Row6_FT avec ristournes_Category Template_Actuals NEW_Biscuits Actual Results P01_P&amp;L_Sheet3" xfId="11820"/>
    <cellStyle name="_Row6_FT avec ristournes_Category Template_Actuals NEW_Biscuits Actual Results P01_VRAN YTD" xfId="11821"/>
    <cellStyle name="_Row6_FT avec ristournes_Category Template_Actuals NEW_Biscuits Actual Results P01_VRAN YTD_P&amp;L KFE" xfId="11822"/>
    <cellStyle name="_Row6_FT avec ristournes_Category Template_Actuals NEW_Biscuits Actual Results P02" xfId="11823"/>
    <cellStyle name="_Row6_FT avec ristournes_Category Template_Actuals NEW_Biscuits Actual Results P02 2" xfId="11824"/>
    <cellStyle name="_Row6_FT avec ristournes_Category Template_Actuals NEW_Biscuits Actual Results P02_Category Template_Actuals" xfId="11825"/>
    <cellStyle name="_Row6_FT avec ristournes_Category Template_Actuals NEW_Biscuits Actual Results P02_Category Template_Actuals_Biscuits Actual Results P04" xfId="11826"/>
    <cellStyle name="_Row6_FT avec ristournes_Category Template_Actuals NEW_Biscuits Actual Results P02_Category Template_Actuals_Biscuits Actual Results P04_P&amp;L KFE" xfId="11827"/>
    <cellStyle name="_Row6_FT avec ristournes_Category Template_Actuals NEW_Biscuits Actual Results P02_Category Template_Actuals_P&amp;L KFE" xfId="11828"/>
    <cellStyle name="_Row6_FT avec ristournes_Category Template_Actuals NEW_Biscuits Actual Results P02_Category Template_Actuals_P&amp;L P06 AFH AC US" xfId="11829"/>
    <cellStyle name="_Row6_FT avec ristournes_Category Template_Actuals NEW_Biscuits Actual Results P02_Category Template_Actuals_P&amp;L P06 AFH AC US_P&amp;L KFE" xfId="11830"/>
    <cellStyle name="_Row6_FT avec ristournes_Category Template_Actuals NEW_Biscuits Actual Results P02_P&amp;L" xfId="11831"/>
    <cellStyle name="_Row6_FT avec ristournes_Category Template_Actuals NEW_Biscuits Actual Results P02_P&amp;L KFE" xfId="11832"/>
    <cellStyle name="_Row6_FT avec ristournes_Category Template_Actuals NEW_Biscuits Actual Results P02_P&amp;L_P&amp;L KFE" xfId="11833"/>
    <cellStyle name="_Row6_FT avec ristournes_Category Template_Actuals NEW_Biscuits Actual Results P02_P&amp;L_Sheet3" xfId="11834"/>
    <cellStyle name="_Row6_FT avec ristournes_Category Template_Actuals NEW_Biscuits Actual Results P02_VRAN YTD" xfId="11835"/>
    <cellStyle name="_Row6_FT avec ristournes_Category Template_Actuals NEW_Biscuits Actual Results P02_VRAN YTD_P&amp;L KFE" xfId="11836"/>
    <cellStyle name="_Row6_FT avec ristournes_Category Template_Actuals NEW_Biscuits Actual Results P04" xfId="11837"/>
    <cellStyle name="_Row6_FT avec ristournes_Category Template_Actuals NEW_Biscuits Actual Results P04_P&amp;L KFE" xfId="11838"/>
    <cellStyle name="_Row6_FT avec ristournes_Category Template_Actuals NEW_Biscuits Actual Results P1 BIS" xfId="11839"/>
    <cellStyle name="_Row6_FT avec ristournes_Category Template_Actuals NEW_Biscuits Actual Results P1 BIS 2" xfId="11840"/>
    <cellStyle name="_Row6_FT avec ristournes_Category Template_Actuals NEW_Biscuits Actual Results P1 BIS_Category Template_Actuals" xfId="11841"/>
    <cellStyle name="_Row6_FT avec ristournes_Category Template_Actuals NEW_Biscuits Actual Results P1 BIS_Category Template_Actuals_Biscuits Actual Results P04" xfId="11842"/>
    <cellStyle name="_Row6_FT avec ristournes_Category Template_Actuals NEW_Biscuits Actual Results P1 BIS_Category Template_Actuals_Biscuits Actual Results P04_P&amp;L KFE" xfId="11843"/>
    <cellStyle name="_Row6_FT avec ristournes_Category Template_Actuals NEW_Biscuits Actual Results P1 BIS_Category Template_Actuals_P&amp;L KFE" xfId="11844"/>
    <cellStyle name="_Row6_FT avec ristournes_Category Template_Actuals NEW_Biscuits Actual Results P1 BIS_Category Template_Actuals_P&amp;L P06 AFH AC US" xfId="11845"/>
    <cellStyle name="_Row6_FT avec ristournes_Category Template_Actuals NEW_Biscuits Actual Results P1 BIS_Category Template_Actuals_P&amp;L P06 AFH AC US_P&amp;L KFE" xfId="11846"/>
    <cellStyle name="_Row6_FT avec ristournes_Category Template_Actuals NEW_Biscuits Actual Results P1 BIS_P&amp;L" xfId="11847"/>
    <cellStyle name="_Row6_FT avec ristournes_Category Template_Actuals NEW_Biscuits Actual Results P1 BIS_P&amp;L KFE" xfId="11848"/>
    <cellStyle name="_Row6_FT avec ristournes_Category Template_Actuals NEW_Biscuits Actual Results P1 BIS_P&amp;L_P&amp;L KFE" xfId="11849"/>
    <cellStyle name="_Row6_FT avec ristournes_Category Template_Actuals NEW_Biscuits Actual Results P1 BIS_P&amp;L_Sheet3" xfId="11850"/>
    <cellStyle name="_Row6_FT avec ristournes_Category Template_Actuals NEW_Biscuits Actual Results P1 BIS_VRAN YTD" xfId="11851"/>
    <cellStyle name="_Row6_FT avec ristournes_Category Template_Actuals NEW_Biscuits Actual Results P1 BIS_VRAN YTD_P&amp;L KFE" xfId="11852"/>
    <cellStyle name="_Row6_FT avec ristournes_Category Template_Actuals NEW_Biscuits Actual Results P12 161210" xfId="11853"/>
    <cellStyle name="_Row6_FT avec ristournes_Category Template_Actuals NEW_Biscuits Actual Results P12 161210 2" xfId="11854"/>
    <cellStyle name="_Row6_FT avec ristournes_Category Template_Actuals NEW_Biscuits Actual Results P12 161210_Category Template_Actuals" xfId="11855"/>
    <cellStyle name="_Row6_FT avec ristournes_Category Template_Actuals NEW_Biscuits Actual Results P12 161210_Category Template_Actuals 2" xfId="11856"/>
    <cellStyle name="_Row6_FT avec ristournes_Category Template_Actuals NEW_Biscuits Actual Results P12 161210_Category Template_Actuals_Biscuits Actual Results P02" xfId="11857"/>
    <cellStyle name="_Row6_FT avec ristournes_Category Template_Actuals NEW_Biscuits Actual Results P12 161210_Category Template_Actuals_Biscuits Actual Results P02 2" xfId="11858"/>
    <cellStyle name="_Row6_FT avec ristournes_Category Template_Actuals NEW_Biscuits Actual Results P12 161210_Category Template_Actuals_Biscuits Actual Results P02_Category Template_Actuals" xfId="11859"/>
    <cellStyle name="_Row6_FT avec ristournes_Category Template_Actuals NEW_Biscuits Actual Results P12 161210_Category Template_Actuals_Biscuits Actual Results P02_Category Template_Actuals_Biscuits Actual Results P04" xfId="11860"/>
    <cellStyle name="_Row6_FT avec ristournes_Category Template_Actuals NEW_Biscuits Actual Results P12 161210_Category Template_Actuals_Biscuits Actual Results P02_Category Template_Actuals_Biscuits Actual Results P04_P&amp;L KFE" xfId="11861"/>
    <cellStyle name="_Row6_FT avec ristournes_Category Template_Actuals NEW_Biscuits Actual Results P12 161210_Category Template_Actuals_Biscuits Actual Results P02_Category Template_Actuals_P&amp;L KFE" xfId="11862"/>
    <cellStyle name="_Row6_FT avec ristournes_Category Template_Actuals NEW_Biscuits Actual Results P12 161210_Category Template_Actuals_Biscuits Actual Results P02_Category Template_Actuals_P&amp;L P06 AFH AC US" xfId="11863"/>
    <cellStyle name="_Row6_FT avec ristournes_Category Template_Actuals NEW_Biscuits Actual Results P12 161210_Category Template_Actuals_Biscuits Actual Results P02_Category Template_Actuals_P&amp;L P06 AFH AC US_P&amp;L KFE" xfId="11864"/>
    <cellStyle name="_Row6_FT avec ristournes_Category Template_Actuals NEW_Biscuits Actual Results P12 161210_Category Template_Actuals_Biscuits Actual Results P02_P&amp;L" xfId="11865"/>
    <cellStyle name="_Row6_FT avec ristournes_Category Template_Actuals NEW_Biscuits Actual Results P12 161210_Category Template_Actuals_Biscuits Actual Results P02_P&amp;L KFE" xfId="11866"/>
    <cellStyle name="_Row6_FT avec ristournes_Category Template_Actuals NEW_Biscuits Actual Results P12 161210_Category Template_Actuals_Biscuits Actual Results P02_P&amp;L_P&amp;L KFE" xfId="11867"/>
    <cellStyle name="_Row6_FT avec ristournes_Category Template_Actuals NEW_Biscuits Actual Results P12 161210_Category Template_Actuals_Biscuits Actual Results P02_P&amp;L_Sheet3" xfId="11868"/>
    <cellStyle name="_Row6_FT avec ristournes_Category Template_Actuals NEW_Biscuits Actual Results P12 161210_Category Template_Actuals_Biscuits Actual Results P02_VRAN YTD" xfId="11869"/>
    <cellStyle name="_Row6_FT avec ristournes_Category Template_Actuals NEW_Biscuits Actual Results P12 161210_Category Template_Actuals_Biscuits Actual Results P02_VRAN YTD_P&amp;L KFE" xfId="11870"/>
    <cellStyle name="_Row6_FT avec ristournes_Category Template_Actuals NEW_Biscuits Actual Results P12 161210_Category Template_Actuals_Biscuits Actual Results P04" xfId="11871"/>
    <cellStyle name="_Row6_FT avec ristournes_Category Template_Actuals NEW_Biscuits Actual Results P12 161210_Category Template_Actuals_Biscuits Actual Results P04_P&amp;L KFE" xfId="11872"/>
    <cellStyle name="_Row6_FT avec ristournes_Category Template_Actuals NEW_Biscuits Actual Results P12 161210_Category Template_Actuals_P&amp;L" xfId="11873"/>
    <cellStyle name="_Row6_FT avec ristournes_Category Template_Actuals NEW_Biscuits Actual Results P12 161210_Category Template_Actuals_P&amp;L KFE" xfId="11874"/>
    <cellStyle name="_Row6_FT avec ristournes_Category Template_Actuals NEW_Biscuits Actual Results P12 161210_Category Template_Actuals_P&amp;L P06 AFH AC US" xfId="11875"/>
    <cellStyle name="_Row6_FT avec ristournes_Category Template_Actuals NEW_Biscuits Actual Results P12 161210_Category Template_Actuals_P&amp;L P06 AFH AC US_P&amp;L KFE" xfId="11876"/>
    <cellStyle name="_Row6_FT avec ristournes_Category Template_Actuals NEW_Biscuits Actual Results P12 161210_Category Template_Actuals_P&amp;L_P&amp;L KFE" xfId="11877"/>
    <cellStyle name="_Row6_FT avec ristournes_Category Template_Actuals NEW_Biscuits Actual Results P12 161210_Category Template_Actuals_P&amp;L_Sheet3" xfId="11878"/>
    <cellStyle name="_Row6_FT avec ristournes_Category Template_Actuals NEW_Biscuits Actual Results P12 161210_P&amp;L" xfId="11879"/>
    <cellStyle name="_Row6_FT avec ristournes_Category Template_Actuals NEW_Biscuits Actual Results P12 161210_P&amp;L KFE" xfId="11880"/>
    <cellStyle name="_Row6_FT avec ristournes_Category Template_Actuals NEW_Biscuits Actual Results P12 161210_P&amp;L_P&amp;L KFE" xfId="11881"/>
    <cellStyle name="_Row6_FT avec ristournes_Category Template_Actuals NEW_Biscuits Actual Results P12 161210_P&amp;L_Sheet3" xfId="11882"/>
    <cellStyle name="_Row6_FT avec ristournes_Category Template_Actuals NEW_Biscuits Actual Results P12 161210_VRAN YTD" xfId="11883"/>
    <cellStyle name="_Row6_FT avec ristournes_Category Template_Actuals NEW_Biscuits Actual Results P12 161210_VRAN YTD_P&amp;L KFE" xfId="11884"/>
    <cellStyle name="_Row6_FT avec ristournes_Category Template_Actuals NEW_P&amp;L" xfId="11885"/>
    <cellStyle name="_Row6_FT avec ristournes_Category Template_Actuals NEW_P&amp;L KFE" xfId="11886"/>
    <cellStyle name="_Row6_FT avec ristournes_Category Template_Actuals NEW_P&amp;L P06 AFH AC US" xfId="11887"/>
    <cellStyle name="_Row6_FT avec ristournes_Category Template_Actuals NEW_P&amp;L P06 AFH AC US_P&amp;L KFE" xfId="11888"/>
    <cellStyle name="_Row6_FT avec ristournes_Category Template_Actuals NEW_P&amp;L_P&amp;L KFE" xfId="11889"/>
    <cellStyle name="_Row6_FT avec ristournes_Category Template_Actuals NEW_P&amp;L_Sheet3" xfId="11890"/>
    <cellStyle name="_Row6_FT avec ristournes_Category Template_Actuals_Biscuits Actual Results P02" xfId="11891"/>
    <cellStyle name="_Row6_FT avec ristournes_Category Template_Actuals_Biscuits Actual Results P02 2" xfId="11892"/>
    <cellStyle name="_Row6_FT avec ristournes_Category Template_Actuals_Biscuits Actual Results P02_Category Template_Actuals" xfId="11893"/>
    <cellStyle name="_Row6_FT avec ristournes_Category Template_Actuals_Biscuits Actual Results P02_Category Template_Actuals_Biscuits Actual Results P04" xfId="11894"/>
    <cellStyle name="_Row6_FT avec ristournes_Category Template_Actuals_Biscuits Actual Results P02_Category Template_Actuals_Biscuits Actual Results P04_P&amp;L KFE" xfId="11895"/>
    <cellStyle name="_Row6_FT avec ristournes_Category Template_Actuals_Biscuits Actual Results P02_Category Template_Actuals_P&amp;L KFE" xfId="11896"/>
    <cellStyle name="_Row6_FT avec ristournes_Category Template_Actuals_Biscuits Actual Results P02_Category Template_Actuals_P&amp;L P06 AFH AC US" xfId="11897"/>
    <cellStyle name="_Row6_FT avec ristournes_Category Template_Actuals_Biscuits Actual Results P02_Category Template_Actuals_P&amp;L P06 AFH AC US_P&amp;L KFE" xfId="11898"/>
    <cellStyle name="_Row6_FT avec ristournes_Category Template_Actuals_Biscuits Actual Results P02_P&amp;L" xfId="11899"/>
    <cellStyle name="_Row6_FT avec ristournes_Category Template_Actuals_Biscuits Actual Results P02_P&amp;L KFE" xfId="11900"/>
    <cellStyle name="_Row6_FT avec ristournes_Category Template_Actuals_Biscuits Actual Results P02_P&amp;L_P&amp;L KFE" xfId="11901"/>
    <cellStyle name="_Row6_FT avec ristournes_Category Template_Actuals_Biscuits Actual Results P02_P&amp;L_Sheet3" xfId="11902"/>
    <cellStyle name="_Row6_FT avec ristournes_Category Template_Actuals_Biscuits Actual Results P02_VRAN YTD" xfId="11903"/>
    <cellStyle name="_Row6_FT avec ristournes_Category Template_Actuals_Biscuits Actual Results P02_VRAN YTD_P&amp;L KFE" xfId="11904"/>
    <cellStyle name="_Row6_FT avec ristournes_Category Template_Actuals_Biscuits Actual Results P04" xfId="11905"/>
    <cellStyle name="_Row6_FT avec ristournes_Category Template_Actuals_Biscuits Actual Results P04_P&amp;L KFE" xfId="11906"/>
    <cellStyle name="_Row6_FT avec ristournes_Category Template_Actuals_P&amp;L" xfId="11907"/>
    <cellStyle name="_Row6_FT avec ristournes_Category Template_Actuals_P&amp;L KFE" xfId="11908"/>
    <cellStyle name="_Row6_FT avec ristournes_Category Template_Actuals_P&amp;L P06 AFH AC US" xfId="11909"/>
    <cellStyle name="_Row6_FT avec ristournes_Category Template_Actuals_P&amp;L P06 AFH AC US_P&amp;L KFE" xfId="11910"/>
    <cellStyle name="_Row6_FT avec ristournes_Category Template_Actuals_P&amp;L_P&amp;L KFE" xfId="11911"/>
    <cellStyle name="_Row6_FT avec ristournes_Category Template_Actuals_P&amp;L_Sheet3" xfId="11912"/>
    <cellStyle name="_Row6_FT avec ristournes_KFE Category PnL template_Combined_P03 (2)" xfId="11913"/>
    <cellStyle name="_Row6_FT avec ristournes_KFE Category PnL template_Combined_P03 (2)_P&amp;L KFE" xfId="11914"/>
    <cellStyle name="_Row6_FT avec ristournes_KFE Category PnL template_Combined_P03 (2)_Sheet3" xfId="11915"/>
    <cellStyle name="_Row6_FT avec ristournes_KFE Category PnL template_Kraft Legacy (2)" xfId="11916"/>
    <cellStyle name="_Row6_FT avec ristournes_KFE Category PnL template_Kraft Legacy (2)_P&amp;L KFE" xfId="11917"/>
    <cellStyle name="_Row6_FT avec ristournes_KFE Category PnL template_Kraft Legacy (2)_Sheet3" xfId="11918"/>
    <cellStyle name="_Row6_FT avec ristournes_KFE Category PnL template_Kraft Legacy (4)" xfId="11919"/>
    <cellStyle name="_Row6_FT avec ristournes_KFE Category PnL template_Kraft Legacy (4)_P&amp;L KFE" xfId="11920"/>
    <cellStyle name="_Row6_FT avec ristournes_KFE Category PnL template_Kraft Legacy (4)_Sheet3" xfId="11921"/>
    <cellStyle name="_Row6_FT avec ristournes_OI Bridge 0" xfId="11922"/>
    <cellStyle name="_Row6_FT avec ristournes_OI Bridge 0_1" xfId="11923"/>
    <cellStyle name="_Row6_FT avec ristournes_OI Bridge 1" xfId="11924"/>
    <cellStyle name="_Row6_FT avec ristournes_P&amp;L" xfId="11925"/>
    <cellStyle name="_Row6_FT avec ristournes_P&amp;L KFE" xfId="11926"/>
    <cellStyle name="_Row6_FT avec ristournes_P&amp;L_P&amp;L KFE" xfId="11927"/>
    <cellStyle name="_Row6_FT avec ristournes_P&amp;L_Sheet3" xfId="11928"/>
    <cellStyle name="_Row6_FT avec ristournes_Sheet1" xfId="11929"/>
    <cellStyle name="_Row6_FT avec ristournes_VRAN YTD" xfId="11930"/>
    <cellStyle name="_Row6_FT avec ristournes_VRAN YTD 2" xfId="11931"/>
    <cellStyle name="_Row6_FT avec ristournes_VRAN YTD_Biscuits Actual Results P01" xfId="11932"/>
    <cellStyle name="_Row6_FT avec ristournes_VRAN YTD_Biscuits Actual Results P01 2" xfId="11933"/>
    <cellStyle name="_Row6_FT avec ristournes_VRAN YTD_Biscuits Actual Results P01_Category Template_Actuals" xfId="11934"/>
    <cellStyle name="_Row6_FT avec ristournes_VRAN YTD_Biscuits Actual Results P01_Category Template_Actuals 2" xfId="11935"/>
    <cellStyle name="_Row6_FT avec ristournes_VRAN YTD_Biscuits Actual Results P01_Category Template_Actuals_Biscuits Actual Results P02" xfId="11936"/>
    <cellStyle name="_Row6_FT avec ristournes_VRAN YTD_Biscuits Actual Results P01_Category Template_Actuals_Biscuits Actual Results P02 2" xfId="11937"/>
    <cellStyle name="_Row6_FT avec ristournes_VRAN YTD_Biscuits Actual Results P01_Category Template_Actuals_Biscuits Actual Results P02_Category Template_Actuals" xfId="11938"/>
    <cellStyle name="_Row6_FT avec ristournes_VRAN YTD_Biscuits Actual Results P01_Category Template_Actuals_Biscuits Actual Results P02_Category Template_Actuals_Biscuits Actual Results P04" xfId="11939"/>
    <cellStyle name="_Row6_FT avec ristournes_VRAN YTD_Biscuits Actual Results P01_Category Template_Actuals_Biscuits Actual Results P02_Category Template_Actuals_Biscuits Actual Results P04_P&amp;L KFE" xfId="11940"/>
    <cellStyle name="_Row6_FT avec ristournes_VRAN YTD_Biscuits Actual Results P01_Category Template_Actuals_Biscuits Actual Results P02_Category Template_Actuals_P&amp;L KFE" xfId="11941"/>
    <cellStyle name="_Row6_FT avec ristournes_VRAN YTD_Biscuits Actual Results P01_Category Template_Actuals_Biscuits Actual Results P02_Category Template_Actuals_P&amp;L P06 AFH AC US" xfId="11942"/>
    <cellStyle name="_Row6_FT avec ristournes_VRAN YTD_Biscuits Actual Results P01_Category Template_Actuals_Biscuits Actual Results P02_Category Template_Actuals_P&amp;L P06 AFH AC US_P&amp;L KFE" xfId="11943"/>
    <cellStyle name="_Row6_FT avec ristournes_VRAN YTD_Biscuits Actual Results P01_Category Template_Actuals_Biscuits Actual Results P02_P&amp;L" xfId="11944"/>
    <cellStyle name="_Row6_FT avec ristournes_VRAN YTD_Biscuits Actual Results P01_Category Template_Actuals_Biscuits Actual Results P02_P&amp;L KFE" xfId="11945"/>
    <cellStyle name="_Row6_FT avec ristournes_VRAN YTD_Biscuits Actual Results P01_Category Template_Actuals_Biscuits Actual Results P02_P&amp;L_P&amp;L KFE" xfId="11946"/>
    <cellStyle name="_Row6_FT avec ristournes_VRAN YTD_Biscuits Actual Results P01_Category Template_Actuals_Biscuits Actual Results P02_P&amp;L_Sheet3" xfId="11947"/>
    <cellStyle name="_Row6_FT avec ristournes_VRAN YTD_Biscuits Actual Results P01_Category Template_Actuals_Biscuits Actual Results P02_VRAN YTD" xfId="11948"/>
    <cellStyle name="_Row6_FT avec ristournes_VRAN YTD_Biscuits Actual Results P01_Category Template_Actuals_Biscuits Actual Results P02_VRAN YTD_P&amp;L KFE" xfId="11949"/>
    <cellStyle name="_Row6_FT avec ristournes_VRAN YTD_Biscuits Actual Results P01_Category Template_Actuals_Biscuits Actual Results P04" xfId="11950"/>
    <cellStyle name="_Row6_FT avec ristournes_VRAN YTD_Biscuits Actual Results P01_Category Template_Actuals_Biscuits Actual Results P04_P&amp;L KFE" xfId="11951"/>
    <cellStyle name="_Row6_FT avec ristournes_VRAN YTD_Biscuits Actual Results P01_Category Template_Actuals_P&amp;L" xfId="11952"/>
    <cellStyle name="_Row6_FT avec ristournes_VRAN YTD_Biscuits Actual Results P01_Category Template_Actuals_P&amp;L KFE" xfId="11953"/>
    <cellStyle name="_Row6_FT avec ristournes_VRAN YTD_Biscuits Actual Results P01_Category Template_Actuals_P&amp;L P06 AFH AC US" xfId="11954"/>
    <cellStyle name="_Row6_FT avec ristournes_VRAN YTD_Biscuits Actual Results P01_Category Template_Actuals_P&amp;L P06 AFH AC US_P&amp;L KFE" xfId="11955"/>
    <cellStyle name="_Row6_FT avec ristournes_VRAN YTD_Biscuits Actual Results P01_Category Template_Actuals_P&amp;L_P&amp;L KFE" xfId="11956"/>
    <cellStyle name="_Row6_FT avec ristournes_VRAN YTD_Biscuits Actual Results P01_Category Template_Actuals_P&amp;L_Sheet3" xfId="11957"/>
    <cellStyle name="_Row6_FT avec ristournes_VRAN YTD_Biscuits Actual Results P01_P&amp;L" xfId="11958"/>
    <cellStyle name="_Row6_FT avec ristournes_VRAN YTD_Biscuits Actual Results P01_P&amp;L KFE" xfId="11959"/>
    <cellStyle name="_Row6_FT avec ristournes_VRAN YTD_Biscuits Actual Results P01_P&amp;L_P&amp;L KFE" xfId="11960"/>
    <cellStyle name="_Row6_FT avec ristournes_VRAN YTD_Biscuits Actual Results P01_P&amp;L_Sheet3" xfId="11961"/>
    <cellStyle name="_Row6_FT avec ristournes_VRAN YTD_Biscuits Actual Results P01_VRAN YTD" xfId="11962"/>
    <cellStyle name="_Row6_FT avec ristournes_VRAN YTD_Biscuits Actual Results P01_VRAN YTD_P&amp;L KFE" xfId="11963"/>
    <cellStyle name="_Row6_FT avec ristournes_VRAN YTD_Biscuits Actual Results P02" xfId="11964"/>
    <cellStyle name="_Row6_FT avec ristournes_VRAN YTD_Biscuits Actual Results P02 2" xfId="11965"/>
    <cellStyle name="_Row6_FT avec ristournes_VRAN YTD_Biscuits Actual Results P02_Category Template_Actuals" xfId="11966"/>
    <cellStyle name="_Row6_FT avec ristournes_VRAN YTD_Biscuits Actual Results P02_Category Template_Actuals_Biscuits Actual Results P04" xfId="11967"/>
    <cellStyle name="_Row6_FT avec ristournes_VRAN YTD_Biscuits Actual Results P02_Category Template_Actuals_Biscuits Actual Results P04_P&amp;L KFE" xfId="11968"/>
    <cellStyle name="_Row6_FT avec ristournes_VRAN YTD_Biscuits Actual Results P02_Category Template_Actuals_P&amp;L KFE" xfId="11969"/>
    <cellStyle name="_Row6_FT avec ristournes_VRAN YTD_Biscuits Actual Results P02_Category Template_Actuals_P&amp;L P06 AFH AC US" xfId="11970"/>
    <cellStyle name="_Row6_FT avec ristournes_VRAN YTD_Biscuits Actual Results P02_Category Template_Actuals_P&amp;L P06 AFH AC US_P&amp;L KFE" xfId="11971"/>
    <cellStyle name="_Row6_FT avec ristournes_VRAN YTD_Biscuits Actual Results P02_P&amp;L" xfId="11972"/>
    <cellStyle name="_Row6_FT avec ristournes_VRAN YTD_Biscuits Actual Results P02_P&amp;L KFE" xfId="11973"/>
    <cellStyle name="_Row6_FT avec ristournes_VRAN YTD_Biscuits Actual Results P02_P&amp;L_P&amp;L KFE" xfId="11974"/>
    <cellStyle name="_Row6_FT avec ristournes_VRAN YTD_Biscuits Actual Results P02_P&amp;L_Sheet3" xfId="11975"/>
    <cellStyle name="_Row6_FT avec ristournes_VRAN YTD_Biscuits Actual Results P02_VRAN YTD" xfId="11976"/>
    <cellStyle name="_Row6_FT avec ristournes_VRAN YTD_Biscuits Actual Results P02_VRAN YTD_P&amp;L KFE" xfId="11977"/>
    <cellStyle name="_Row6_FT avec ristournes_VRAN YTD_Biscuits Actual Results P04" xfId="11978"/>
    <cellStyle name="_Row6_FT avec ristournes_VRAN YTD_Biscuits Actual Results P04_P&amp;L KFE" xfId="11979"/>
    <cellStyle name="_Row6_FT avec ristournes_VRAN YTD_Biscuits Actual Results P1 BIS" xfId="11980"/>
    <cellStyle name="_Row6_FT avec ristournes_VRAN YTD_Biscuits Actual Results P1 BIS 2" xfId="11981"/>
    <cellStyle name="_Row6_FT avec ristournes_VRAN YTD_Biscuits Actual Results P1 BIS_Category Template_Actuals" xfId="11982"/>
    <cellStyle name="_Row6_FT avec ristournes_VRAN YTD_Biscuits Actual Results P1 BIS_Category Template_Actuals_Biscuits Actual Results P04" xfId="11983"/>
    <cellStyle name="_Row6_FT avec ristournes_VRAN YTD_Biscuits Actual Results P1 BIS_Category Template_Actuals_Biscuits Actual Results P04_P&amp;L KFE" xfId="11984"/>
    <cellStyle name="_Row6_FT avec ristournes_VRAN YTD_Biscuits Actual Results P1 BIS_Category Template_Actuals_P&amp;L KFE" xfId="11985"/>
    <cellStyle name="_Row6_FT avec ristournes_VRAN YTD_Biscuits Actual Results P1 BIS_Category Template_Actuals_P&amp;L P06 AFH AC US" xfId="11986"/>
    <cellStyle name="_Row6_FT avec ristournes_VRAN YTD_Biscuits Actual Results P1 BIS_Category Template_Actuals_P&amp;L P06 AFH AC US_P&amp;L KFE" xfId="11987"/>
    <cellStyle name="_Row6_FT avec ristournes_VRAN YTD_Biscuits Actual Results P1 BIS_P&amp;L" xfId="11988"/>
    <cellStyle name="_Row6_FT avec ristournes_VRAN YTD_Biscuits Actual Results P1 BIS_P&amp;L KFE" xfId="11989"/>
    <cellStyle name="_Row6_FT avec ristournes_VRAN YTD_Biscuits Actual Results P1 BIS_P&amp;L_P&amp;L KFE" xfId="11990"/>
    <cellStyle name="_Row6_FT avec ristournes_VRAN YTD_Biscuits Actual Results P1 BIS_P&amp;L_Sheet3" xfId="11991"/>
    <cellStyle name="_Row6_FT avec ristournes_VRAN YTD_Biscuits Actual Results P1 BIS_VRAN YTD" xfId="11992"/>
    <cellStyle name="_Row6_FT avec ristournes_VRAN YTD_Biscuits Actual Results P1 BIS_VRAN YTD_P&amp;L KFE" xfId="11993"/>
    <cellStyle name="_Row6_FT avec ristournes_VRAN YTD_Biscuits Actual Results P12 161210" xfId="11994"/>
    <cellStyle name="_Row6_FT avec ristournes_VRAN YTD_Biscuits Actual Results P12 161210 2" xfId="11995"/>
    <cellStyle name="_Row6_FT avec ristournes_VRAN YTD_Biscuits Actual Results P12 161210_Category Template_Actuals" xfId="11996"/>
    <cellStyle name="_Row6_FT avec ristournes_VRAN YTD_Biscuits Actual Results P12 161210_Category Template_Actuals 2" xfId="11997"/>
    <cellStyle name="_Row6_FT avec ristournes_VRAN YTD_Biscuits Actual Results P12 161210_Category Template_Actuals_Biscuits Actual Results P02" xfId="11998"/>
    <cellStyle name="_Row6_FT avec ristournes_VRAN YTD_Biscuits Actual Results P12 161210_Category Template_Actuals_Biscuits Actual Results P02 2" xfId="11999"/>
    <cellStyle name="_Row6_FT avec ristournes_VRAN YTD_Biscuits Actual Results P12 161210_Category Template_Actuals_Biscuits Actual Results P02_Category Template_Actuals" xfId="12000"/>
    <cellStyle name="_Row6_FT avec ristournes_VRAN YTD_Biscuits Actual Results P12 161210_Category Template_Actuals_Biscuits Actual Results P02_Category Template_Actuals_Biscuits Actual Results P04" xfId="12001"/>
    <cellStyle name="_Row6_FT avec ristournes_VRAN YTD_Biscuits Actual Results P12 161210_Category Template_Actuals_Biscuits Actual Results P02_Category Template_Actuals_Biscuits Actual Results P04_P&amp;L KFE" xfId="12002"/>
    <cellStyle name="_Row6_FT avec ristournes_VRAN YTD_Biscuits Actual Results P12 161210_Category Template_Actuals_Biscuits Actual Results P02_Category Template_Actuals_P&amp;L KFE" xfId="12003"/>
    <cellStyle name="_Row6_FT avec ristournes_VRAN YTD_Biscuits Actual Results P12 161210_Category Template_Actuals_Biscuits Actual Results P02_Category Template_Actuals_P&amp;L P06 AFH AC US" xfId="12004"/>
    <cellStyle name="_Row6_FT avec ristournes_VRAN YTD_Biscuits Actual Results P12 161210_Category Template_Actuals_Biscuits Actual Results P02_Category Template_Actuals_P&amp;L P06 AFH AC US_P&amp;L KFE" xfId="12005"/>
    <cellStyle name="_Row6_FT avec ristournes_VRAN YTD_Biscuits Actual Results P12 161210_Category Template_Actuals_Biscuits Actual Results P02_P&amp;L" xfId="12006"/>
    <cellStyle name="_Row6_FT avec ristournes_VRAN YTD_Biscuits Actual Results P12 161210_Category Template_Actuals_Biscuits Actual Results P02_P&amp;L KFE" xfId="12007"/>
    <cellStyle name="_Row6_FT avec ristournes_VRAN YTD_Biscuits Actual Results P12 161210_Category Template_Actuals_Biscuits Actual Results P02_P&amp;L_P&amp;L KFE" xfId="12008"/>
    <cellStyle name="_Row6_FT avec ristournes_VRAN YTD_Biscuits Actual Results P12 161210_Category Template_Actuals_Biscuits Actual Results P02_P&amp;L_Sheet3" xfId="12009"/>
    <cellStyle name="_Row6_FT avec ristournes_VRAN YTD_Biscuits Actual Results P12 161210_Category Template_Actuals_Biscuits Actual Results P02_VRAN YTD" xfId="12010"/>
    <cellStyle name="_Row6_FT avec ristournes_VRAN YTD_Biscuits Actual Results P12 161210_Category Template_Actuals_Biscuits Actual Results P02_VRAN YTD_P&amp;L KFE" xfId="12011"/>
    <cellStyle name="_Row6_FT avec ristournes_VRAN YTD_Biscuits Actual Results P12 161210_Category Template_Actuals_Biscuits Actual Results P04" xfId="12012"/>
    <cellStyle name="_Row6_FT avec ristournes_VRAN YTD_Biscuits Actual Results P12 161210_Category Template_Actuals_Biscuits Actual Results P04_P&amp;L KFE" xfId="12013"/>
    <cellStyle name="_Row6_FT avec ristournes_VRAN YTD_Biscuits Actual Results P12 161210_Category Template_Actuals_P&amp;L" xfId="12014"/>
    <cellStyle name="_Row6_FT avec ristournes_VRAN YTD_Biscuits Actual Results P12 161210_Category Template_Actuals_P&amp;L KFE" xfId="12015"/>
    <cellStyle name="_Row6_FT avec ristournes_VRAN YTD_Biscuits Actual Results P12 161210_Category Template_Actuals_P&amp;L P06 AFH AC US" xfId="12016"/>
    <cellStyle name="_Row6_FT avec ristournes_VRAN YTD_Biscuits Actual Results P12 161210_Category Template_Actuals_P&amp;L P06 AFH AC US_P&amp;L KFE" xfId="12017"/>
    <cellStyle name="_Row6_FT avec ristournes_VRAN YTD_Biscuits Actual Results P12 161210_Category Template_Actuals_P&amp;L_P&amp;L KFE" xfId="12018"/>
    <cellStyle name="_Row6_FT avec ristournes_VRAN YTD_Biscuits Actual Results P12 161210_Category Template_Actuals_P&amp;L_Sheet3" xfId="12019"/>
    <cellStyle name="_Row6_FT avec ristournes_VRAN YTD_Biscuits Actual Results P12 161210_P&amp;L" xfId="12020"/>
    <cellStyle name="_Row6_FT avec ristournes_VRAN YTD_Biscuits Actual Results P12 161210_P&amp;L KFE" xfId="12021"/>
    <cellStyle name="_Row6_FT avec ristournes_VRAN YTD_Biscuits Actual Results P12 161210_P&amp;L_P&amp;L KFE" xfId="12022"/>
    <cellStyle name="_Row6_FT avec ristournes_VRAN YTD_Biscuits Actual Results P12 161210_P&amp;L_Sheet3" xfId="12023"/>
    <cellStyle name="_Row6_FT avec ristournes_VRAN YTD_Biscuits Actual Results P12 161210_VRAN YTD" xfId="12024"/>
    <cellStyle name="_Row6_FT avec ristournes_VRAN YTD_Biscuits Actual Results P12 161210_VRAN YTD_P&amp;L KFE" xfId="12025"/>
    <cellStyle name="_Row6_FT avec ristournes_VRAN YTD_P&amp;L" xfId="12026"/>
    <cellStyle name="_Row6_FT avec ristournes_VRAN YTD_P&amp;L KFE" xfId="12027"/>
    <cellStyle name="_Row6_FT avec ristournes_VRAN YTD_P&amp;L P06 AFH AC US" xfId="12028"/>
    <cellStyle name="_Row6_FT avec ristournes_VRAN YTD_P&amp;L P06 AFH AC US_P&amp;L KFE" xfId="12029"/>
    <cellStyle name="_Row6_FT avec ristournes_VRAN YTD_P&amp;L_P&amp;L KFE" xfId="12030"/>
    <cellStyle name="_Row6_FT avec ristournes_VRAN YTD_P&amp;L_Sheet3" xfId="12031"/>
    <cellStyle name="_Row6_Key drivers May Fc vs AOP 12-05-10" xfId="12032"/>
    <cellStyle name="_Row6_KFE Category PnL template_Combined_P03 (2)" xfId="12033"/>
    <cellStyle name="_Row6_KFE Category PnL template_Combined_P03 (2)_P&amp;L KFE" xfId="12034"/>
    <cellStyle name="_Row6_KFE Category PnL template_Combined_P03 (2)_Sheet3" xfId="12035"/>
    <cellStyle name="_Row6_KFE Category PnL template_Kraft Legacy (2)" xfId="12036"/>
    <cellStyle name="_Row6_KFE Category PnL template_Kraft Legacy (2)_P&amp;L KFE" xfId="12037"/>
    <cellStyle name="_Row6_KFE Category PnL template_Kraft Legacy (2)_Sheet3" xfId="12038"/>
    <cellStyle name="_Row6_KFE Category PnL template_Kraft Legacy (4)" xfId="12039"/>
    <cellStyle name="_Row6_KFE Category PnL template_Kraft Legacy (4)_P&amp;L KFE" xfId="12040"/>
    <cellStyle name="_Row6_KFE Category PnL template_Kraft Legacy (4)_Sheet3" xfId="12041"/>
    <cellStyle name="_Row6_Monthly report P04" xfId="12042"/>
    <cellStyle name="_Row6_Monthly report P04_P&amp;L KFE" xfId="12043"/>
    <cellStyle name="_Row6_Monthly report P04_Sheet3" xfId="12044"/>
    <cellStyle name="_Row6_OI Bridge 0" xfId="12045"/>
    <cellStyle name="_Row6_OI Bridge 0_1" xfId="12046"/>
    <cellStyle name="_Row6_OI Bridge 1" xfId="12047"/>
    <cellStyle name="_Row6_P&amp;L" xfId="12048"/>
    <cellStyle name="_Row6_P&amp;L KBE 2008-2011" xfId="12049"/>
    <cellStyle name="_Row6_P&amp;L KBE 2008-2011 2" xfId="12050"/>
    <cellStyle name="_Row6_P&amp;L KBE 2008-2011_P&amp;L KFE" xfId="12051"/>
    <cellStyle name="_Row6_P&amp;L KBE 2008-2011_Sheet3" xfId="12052"/>
    <cellStyle name="_Row6_P&amp;L_P&amp;L KFE" xfId="12053"/>
    <cellStyle name="_Row6_P&amp;L_Sheet3" xfId="12054"/>
    <cellStyle name="_Row6_Pricing bridge template" xfId="12055"/>
    <cellStyle name="_Row6_Pricing bridge template 2" xfId="12056"/>
    <cellStyle name="_Row6_Pricing bridge template_P&amp;L KFE" xfId="12057"/>
    <cellStyle name="_Row6_Pricing bridge template_Sheet3" xfId="12058"/>
    <cellStyle name="_Row6_RIG &amp; NC graphs" xfId="12059"/>
    <cellStyle name="_Row6_Sheet1" xfId="12060"/>
    <cellStyle name="_Row6_VRAN YTD" xfId="12061"/>
    <cellStyle name="_Row6_VRAN YTD 2" xfId="12062"/>
    <cellStyle name="_Row6_VRAN YTD_Biscuits Actual Results P01" xfId="12063"/>
    <cellStyle name="_Row6_VRAN YTD_Biscuits Actual Results P01 2" xfId="12064"/>
    <cellStyle name="_Row6_VRAN YTD_Biscuits Actual Results P01_Category Template_Actuals" xfId="12065"/>
    <cellStyle name="_Row6_VRAN YTD_Biscuits Actual Results P01_Category Template_Actuals 2" xfId="12066"/>
    <cellStyle name="_Row6_VRAN YTD_Biscuits Actual Results P01_Category Template_Actuals_Biscuits Actual Results P02" xfId="12067"/>
    <cellStyle name="_Row6_VRAN YTD_Biscuits Actual Results P01_Category Template_Actuals_Biscuits Actual Results P02 2" xfId="12068"/>
    <cellStyle name="_Row6_VRAN YTD_Biscuits Actual Results P01_Category Template_Actuals_Biscuits Actual Results P02_Category Template_Actuals" xfId="12069"/>
    <cellStyle name="_Row6_VRAN YTD_Biscuits Actual Results P01_Category Template_Actuals_Biscuits Actual Results P02_Category Template_Actuals_Biscuits Actual Results P04" xfId="12070"/>
    <cellStyle name="_Row6_VRAN YTD_Biscuits Actual Results P01_Category Template_Actuals_Biscuits Actual Results P02_Category Template_Actuals_Biscuits Actual Results P04_P&amp;L KFE" xfId="12071"/>
    <cellStyle name="_Row6_VRAN YTD_Biscuits Actual Results P01_Category Template_Actuals_Biscuits Actual Results P02_Category Template_Actuals_P&amp;L KFE" xfId="12072"/>
    <cellStyle name="_Row6_VRAN YTD_Biscuits Actual Results P01_Category Template_Actuals_Biscuits Actual Results P02_Category Template_Actuals_P&amp;L P06 AFH AC US" xfId="12073"/>
    <cellStyle name="_Row6_VRAN YTD_Biscuits Actual Results P01_Category Template_Actuals_Biscuits Actual Results P02_Category Template_Actuals_P&amp;L P06 AFH AC US_P&amp;L KFE" xfId="12074"/>
    <cellStyle name="_Row6_VRAN YTD_Biscuits Actual Results P01_Category Template_Actuals_Biscuits Actual Results P02_P&amp;L" xfId="12075"/>
    <cellStyle name="_Row6_VRAN YTD_Biscuits Actual Results P01_Category Template_Actuals_Biscuits Actual Results P02_P&amp;L KFE" xfId="12076"/>
    <cellStyle name="_Row6_VRAN YTD_Biscuits Actual Results P01_Category Template_Actuals_Biscuits Actual Results P02_P&amp;L_P&amp;L KFE" xfId="12077"/>
    <cellStyle name="_Row6_VRAN YTD_Biscuits Actual Results P01_Category Template_Actuals_Biscuits Actual Results P02_P&amp;L_Sheet3" xfId="12078"/>
    <cellStyle name="_Row6_VRAN YTD_Biscuits Actual Results P01_Category Template_Actuals_Biscuits Actual Results P02_VRAN YTD" xfId="12079"/>
    <cellStyle name="_Row6_VRAN YTD_Biscuits Actual Results P01_Category Template_Actuals_Biscuits Actual Results P02_VRAN YTD_P&amp;L KFE" xfId="12080"/>
    <cellStyle name="_Row6_VRAN YTD_Biscuits Actual Results P01_Category Template_Actuals_Biscuits Actual Results P04" xfId="12081"/>
    <cellStyle name="_Row6_VRAN YTD_Biscuits Actual Results P01_Category Template_Actuals_Biscuits Actual Results P04_P&amp;L KFE" xfId="12082"/>
    <cellStyle name="_Row6_VRAN YTD_Biscuits Actual Results P01_Category Template_Actuals_P&amp;L" xfId="12083"/>
    <cellStyle name="_Row6_VRAN YTD_Biscuits Actual Results P01_Category Template_Actuals_P&amp;L KFE" xfId="12084"/>
    <cellStyle name="_Row6_VRAN YTD_Biscuits Actual Results P01_Category Template_Actuals_P&amp;L P06 AFH AC US" xfId="12085"/>
    <cellStyle name="_Row6_VRAN YTD_Biscuits Actual Results P01_Category Template_Actuals_P&amp;L P06 AFH AC US_P&amp;L KFE" xfId="12086"/>
    <cellStyle name="_Row6_VRAN YTD_Biscuits Actual Results P01_Category Template_Actuals_P&amp;L_P&amp;L KFE" xfId="12087"/>
    <cellStyle name="_Row6_VRAN YTD_Biscuits Actual Results P01_Category Template_Actuals_P&amp;L_Sheet3" xfId="12088"/>
    <cellStyle name="_Row6_VRAN YTD_Biscuits Actual Results P01_P&amp;L" xfId="12089"/>
    <cellStyle name="_Row6_VRAN YTD_Biscuits Actual Results P01_P&amp;L KFE" xfId="12090"/>
    <cellStyle name="_Row6_VRAN YTD_Biscuits Actual Results P01_P&amp;L_P&amp;L KFE" xfId="12091"/>
    <cellStyle name="_Row6_VRAN YTD_Biscuits Actual Results P01_P&amp;L_Sheet3" xfId="12092"/>
    <cellStyle name="_Row6_VRAN YTD_Biscuits Actual Results P01_VRAN YTD" xfId="12093"/>
    <cellStyle name="_Row6_VRAN YTD_Biscuits Actual Results P01_VRAN YTD_P&amp;L KFE" xfId="12094"/>
    <cellStyle name="_Row6_VRAN YTD_Biscuits Actual Results P02" xfId="12095"/>
    <cellStyle name="_Row6_VRAN YTD_Biscuits Actual Results P02 2" xfId="12096"/>
    <cellStyle name="_Row6_VRAN YTD_Biscuits Actual Results P02_Category Template_Actuals" xfId="12097"/>
    <cellStyle name="_Row6_VRAN YTD_Biscuits Actual Results P02_Category Template_Actuals_Biscuits Actual Results P04" xfId="12098"/>
    <cellStyle name="_Row6_VRAN YTD_Biscuits Actual Results P02_Category Template_Actuals_Biscuits Actual Results P04_P&amp;L KFE" xfId="12099"/>
    <cellStyle name="_Row6_VRAN YTD_Biscuits Actual Results P02_Category Template_Actuals_P&amp;L KFE" xfId="12100"/>
    <cellStyle name="_Row6_VRAN YTD_Biscuits Actual Results P02_Category Template_Actuals_P&amp;L P06 AFH AC US" xfId="12101"/>
    <cellStyle name="_Row6_VRAN YTD_Biscuits Actual Results P02_Category Template_Actuals_P&amp;L P06 AFH AC US_P&amp;L KFE" xfId="12102"/>
    <cellStyle name="_Row6_VRAN YTD_Biscuits Actual Results P02_P&amp;L" xfId="12103"/>
    <cellStyle name="_Row6_VRAN YTD_Biscuits Actual Results P02_P&amp;L KFE" xfId="12104"/>
    <cellStyle name="_Row6_VRAN YTD_Biscuits Actual Results P02_P&amp;L_P&amp;L KFE" xfId="12105"/>
    <cellStyle name="_Row6_VRAN YTD_Biscuits Actual Results P02_P&amp;L_Sheet3" xfId="12106"/>
    <cellStyle name="_Row6_VRAN YTD_Biscuits Actual Results P02_VRAN YTD" xfId="12107"/>
    <cellStyle name="_Row6_VRAN YTD_Biscuits Actual Results P02_VRAN YTD_P&amp;L KFE" xfId="12108"/>
    <cellStyle name="_Row6_VRAN YTD_Biscuits Actual Results P04" xfId="12109"/>
    <cellStyle name="_Row6_VRAN YTD_Biscuits Actual Results P04_P&amp;L KFE" xfId="12110"/>
    <cellStyle name="_Row6_VRAN YTD_Biscuits Actual Results P1 BIS" xfId="12111"/>
    <cellStyle name="_Row6_VRAN YTD_Biscuits Actual Results P1 BIS 2" xfId="12112"/>
    <cellStyle name="_Row6_VRAN YTD_Biscuits Actual Results P1 BIS_Category Template_Actuals" xfId="12113"/>
    <cellStyle name="_Row6_VRAN YTD_Biscuits Actual Results P1 BIS_Category Template_Actuals_Biscuits Actual Results P04" xfId="12114"/>
    <cellStyle name="_Row6_VRAN YTD_Biscuits Actual Results P1 BIS_Category Template_Actuals_Biscuits Actual Results P04_P&amp;L KFE" xfId="12115"/>
    <cellStyle name="_Row6_VRAN YTD_Biscuits Actual Results P1 BIS_Category Template_Actuals_P&amp;L KFE" xfId="12116"/>
    <cellStyle name="_Row6_VRAN YTD_Biscuits Actual Results P1 BIS_Category Template_Actuals_P&amp;L P06 AFH AC US" xfId="12117"/>
    <cellStyle name="_Row6_VRAN YTD_Biscuits Actual Results P1 BIS_Category Template_Actuals_P&amp;L P06 AFH AC US_P&amp;L KFE" xfId="12118"/>
    <cellStyle name="_Row6_VRAN YTD_Biscuits Actual Results P1 BIS_P&amp;L" xfId="12119"/>
    <cellStyle name="_Row6_VRAN YTD_Biscuits Actual Results P1 BIS_P&amp;L KFE" xfId="12120"/>
    <cellStyle name="_Row6_VRAN YTD_Biscuits Actual Results P1 BIS_P&amp;L_P&amp;L KFE" xfId="12121"/>
    <cellStyle name="_Row6_VRAN YTD_Biscuits Actual Results P1 BIS_P&amp;L_Sheet3" xfId="12122"/>
    <cellStyle name="_Row6_VRAN YTD_Biscuits Actual Results P1 BIS_VRAN YTD" xfId="12123"/>
    <cellStyle name="_Row6_VRAN YTD_Biscuits Actual Results P1 BIS_VRAN YTD_P&amp;L KFE" xfId="12124"/>
    <cellStyle name="_Row6_VRAN YTD_Biscuits Actual Results P12 161210" xfId="12125"/>
    <cellStyle name="_Row6_VRAN YTD_Biscuits Actual Results P12 161210 2" xfId="12126"/>
    <cellStyle name="_Row6_VRAN YTD_Biscuits Actual Results P12 161210_Category Template_Actuals" xfId="12127"/>
    <cellStyle name="_Row6_VRAN YTD_Biscuits Actual Results P12 161210_Category Template_Actuals 2" xfId="12128"/>
    <cellStyle name="_Row6_VRAN YTD_Biscuits Actual Results P12 161210_Category Template_Actuals_Biscuits Actual Results P02" xfId="12129"/>
    <cellStyle name="_Row6_VRAN YTD_Biscuits Actual Results P12 161210_Category Template_Actuals_Biscuits Actual Results P02 2" xfId="12130"/>
    <cellStyle name="_Row6_VRAN YTD_Biscuits Actual Results P12 161210_Category Template_Actuals_Biscuits Actual Results P02_Category Template_Actuals" xfId="12131"/>
    <cellStyle name="_Row6_VRAN YTD_Biscuits Actual Results P12 161210_Category Template_Actuals_Biscuits Actual Results P02_Category Template_Actuals_Biscuits Actual Results P04" xfId="12132"/>
    <cellStyle name="_Row6_VRAN YTD_Biscuits Actual Results P12 161210_Category Template_Actuals_Biscuits Actual Results P02_Category Template_Actuals_Biscuits Actual Results P04_P&amp;L KFE" xfId="12133"/>
    <cellStyle name="_Row6_VRAN YTD_Biscuits Actual Results P12 161210_Category Template_Actuals_Biscuits Actual Results P02_Category Template_Actuals_P&amp;L KFE" xfId="12134"/>
    <cellStyle name="_Row6_VRAN YTD_Biscuits Actual Results P12 161210_Category Template_Actuals_Biscuits Actual Results P02_Category Template_Actuals_P&amp;L P06 AFH AC US" xfId="12135"/>
    <cellStyle name="_Row6_VRAN YTD_Biscuits Actual Results P12 161210_Category Template_Actuals_Biscuits Actual Results P02_Category Template_Actuals_P&amp;L P06 AFH AC US_P&amp;L KFE" xfId="12136"/>
    <cellStyle name="_Row6_VRAN YTD_Biscuits Actual Results P12 161210_Category Template_Actuals_Biscuits Actual Results P02_P&amp;L" xfId="12137"/>
    <cellStyle name="_Row6_VRAN YTD_Biscuits Actual Results P12 161210_Category Template_Actuals_Biscuits Actual Results P02_P&amp;L KFE" xfId="12138"/>
    <cellStyle name="_Row6_VRAN YTD_Biscuits Actual Results P12 161210_Category Template_Actuals_Biscuits Actual Results P02_P&amp;L_P&amp;L KFE" xfId="12139"/>
    <cellStyle name="_Row6_VRAN YTD_Biscuits Actual Results P12 161210_Category Template_Actuals_Biscuits Actual Results P02_P&amp;L_Sheet3" xfId="12140"/>
    <cellStyle name="_Row6_VRAN YTD_Biscuits Actual Results P12 161210_Category Template_Actuals_Biscuits Actual Results P02_VRAN YTD" xfId="12141"/>
    <cellStyle name="_Row6_VRAN YTD_Biscuits Actual Results P12 161210_Category Template_Actuals_Biscuits Actual Results P02_VRAN YTD_P&amp;L KFE" xfId="12142"/>
    <cellStyle name="_Row6_VRAN YTD_Biscuits Actual Results P12 161210_Category Template_Actuals_Biscuits Actual Results P04" xfId="12143"/>
    <cellStyle name="_Row6_VRAN YTD_Biscuits Actual Results P12 161210_Category Template_Actuals_Biscuits Actual Results P04_P&amp;L KFE" xfId="12144"/>
    <cellStyle name="_Row6_VRAN YTD_Biscuits Actual Results P12 161210_Category Template_Actuals_P&amp;L" xfId="12145"/>
    <cellStyle name="_Row6_VRAN YTD_Biscuits Actual Results P12 161210_Category Template_Actuals_P&amp;L KFE" xfId="12146"/>
    <cellStyle name="_Row6_VRAN YTD_Biscuits Actual Results P12 161210_Category Template_Actuals_P&amp;L P06 AFH AC US" xfId="12147"/>
    <cellStyle name="_Row6_VRAN YTD_Biscuits Actual Results P12 161210_Category Template_Actuals_P&amp;L P06 AFH AC US_P&amp;L KFE" xfId="12148"/>
    <cellStyle name="_Row6_VRAN YTD_Biscuits Actual Results P12 161210_Category Template_Actuals_P&amp;L_P&amp;L KFE" xfId="12149"/>
    <cellStyle name="_Row6_VRAN YTD_Biscuits Actual Results P12 161210_Category Template_Actuals_P&amp;L_Sheet3" xfId="12150"/>
    <cellStyle name="_Row6_VRAN YTD_Biscuits Actual Results P12 161210_P&amp;L" xfId="12151"/>
    <cellStyle name="_Row6_VRAN YTD_Biscuits Actual Results P12 161210_P&amp;L KFE" xfId="12152"/>
    <cellStyle name="_Row6_VRAN YTD_Biscuits Actual Results P12 161210_P&amp;L_P&amp;L KFE" xfId="12153"/>
    <cellStyle name="_Row6_VRAN YTD_Biscuits Actual Results P12 161210_P&amp;L_Sheet3" xfId="12154"/>
    <cellStyle name="_Row6_VRAN YTD_Biscuits Actual Results P12 161210_VRAN YTD" xfId="12155"/>
    <cellStyle name="_Row6_VRAN YTD_Biscuits Actual Results P12 161210_VRAN YTD_P&amp;L KFE" xfId="12156"/>
    <cellStyle name="_Row6_VRAN YTD_P&amp;L" xfId="12157"/>
    <cellStyle name="_Row6_VRAN YTD_P&amp;L KFE" xfId="12158"/>
    <cellStyle name="_Row6_VRAN YTD_P&amp;L P06 AFH AC US" xfId="12159"/>
    <cellStyle name="_Row6_VRAN YTD_P&amp;L P06 AFH AC US_P&amp;L KFE" xfId="12160"/>
    <cellStyle name="_Row6_VRAN YTD_P&amp;L_P&amp;L KFE" xfId="12161"/>
    <cellStyle name="_Row6_VRAN YTD_P&amp;L_Sheet3" xfId="12162"/>
    <cellStyle name="_Row6_WP_AC11 P&amp;L LFL 27.10.10" xfId="12163"/>
    <cellStyle name="_Row7" xfId="12164"/>
    <cellStyle name="_Row7 2" xfId="12165"/>
    <cellStyle name="_Row7 2_P&amp;L KFE" xfId="12166"/>
    <cellStyle name="_Row7 2_Sheet3" xfId="12167"/>
    <cellStyle name="_Row7 3" xfId="12168"/>
    <cellStyle name="_Row7__P09 - Key Drivers KBE" xfId="12169"/>
    <cellStyle name="_Row7__P09 - Key Drivers KBE 2" xfId="12170"/>
    <cellStyle name="_Row7__P09 - Key Drivers KBE_P&amp;L KFE" xfId="12171"/>
    <cellStyle name="_Row7__P09 - Key Drivers KBE_Sheet3" xfId="12172"/>
    <cellStyle name="_Row7__P10 - Key Drivers KBE" xfId="12173"/>
    <cellStyle name="_Row7__P10 - Key Drivers KBE 2" xfId="12174"/>
    <cellStyle name="_Row7__P10 - Key Drivers KBE_P&amp;L KFE" xfId="12175"/>
    <cellStyle name="_Row7__P10 - Key Drivers KBE_Sheet3" xfId="12176"/>
    <cellStyle name="_Row7_2011 Targets by Category" xfId="12177"/>
    <cellStyle name="_Row7_2011 Targets by category Aug 25" xfId="12178"/>
    <cellStyle name="_Row7_2011 Targets by Category Last OM" xfId="12179"/>
    <cellStyle name="_Row7_2011 Targets by Category Last OM.xls" xfId="12180"/>
    <cellStyle name="_Row7_2011 Targets by Category Oct 1 incl Cby adjustments" xfId="12181"/>
    <cellStyle name="_Row7_2011 Targets by Category Sep 06" xfId="12182"/>
    <cellStyle name="_Row7_2011 Targets by Category Sep 07" xfId="12183"/>
    <cellStyle name="_Row7_2011 Targets by Category Sep 07 incl. JK feedback" xfId="12184"/>
    <cellStyle name="_Row7_AC11 conso" xfId="12185"/>
    <cellStyle name="_Row7_AC11 conso @AC10 Fx" xfId="12186"/>
    <cellStyle name="_Row7_AC11 conso @AC10 Fx 2" xfId="12187"/>
    <cellStyle name="_Row7_AC11 conso @AC10 Fx_P&amp;L KFE" xfId="12188"/>
    <cellStyle name="_Row7_AC11 conso @AC10 Fx_Sheet3" xfId="12189"/>
    <cellStyle name="_Row7_AC11 conso @Cst Fx" xfId="12190"/>
    <cellStyle name="_Row7_AC11 conso @Cst Fx 2" xfId="12191"/>
    <cellStyle name="_Row7_AC11 conso @Cst Fx after LFL restatement" xfId="12192"/>
    <cellStyle name="_Row7_AC11 conso @Cst Fx after LFL restatement 2" xfId="12193"/>
    <cellStyle name="_Row7_AC11 conso @Cst Fx after LFL restatement_P&amp;L KFE" xfId="12194"/>
    <cellStyle name="_Row7_AC11 conso @Cst Fx after LFL restatement_Sheet3" xfId="12195"/>
    <cellStyle name="_Row7_AC11 conso @Cst Fx_P&amp;L KFE" xfId="12196"/>
    <cellStyle name="_Row7_AC11 conso @Cst Fx_Sheet3" xfId="12197"/>
    <cellStyle name="_Row7_AC11 conso 2" xfId="12198"/>
    <cellStyle name="_Row7_AC11 conso 3" xfId="12199"/>
    <cellStyle name="_Row7_AC11 conso_P&amp;L KFE" xfId="12200"/>
    <cellStyle name="_Row7_AC11 conso_Sheet3" xfId="12201"/>
    <cellStyle name="_Row7_Biscuits Actual Results P01" xfId="12202"/>
    <cellStyle name="_Row7_Biscuits Actual Results P01 2" xfId="12203"/>
    <cellStyle name="_Row7_Biscuits Actual Results P01_P&amp;L KFE" xfId="12204"/>
    <cellStyle name="_Row7_Biscuits Actual Results P01_Sheet3" xfId="12205"/>
    <cellStyle name="_Row7_Biscuits Actual Results P02" xfId="12206"/>
    <cellStyle name="_Row7_Biscuits Actual Results P02 2" xfId="12207"/>
    <cellStyle name="_Row7_Biscuits Actual Results P02_P&amp;L KFE" xfId="12208"/>
    <cellStyle name="_Row7_Biscuits Actual Results P02_Sheet3" xfId="12209"/>
    <cellStyle name="_Row7_Biscuits Actual Results P04" xfId="12210"/>
    <cellStyle name="_Row7_Biscuits Actual Results P04_P&amp;L KFE" xfId="12211"/>
    <cellStyle name="_Row7_Biscuits Actual Results P04_Sheet3" xfId="12212"/>
    <cellStyle name="_Row7_Biscuits Actual Results P1 BIS" xfId="12213"/>
    <cellStyle name="_Row7_Biscuits Actual Results P1 BIS 2" xfId="12214"/>
    <cellStyle name="_Row7_Biscuits Actual Results P1 BIS_P&amp;L KFE" xfId="12215"/>
    <cellStyle name="_Row7_Biscuits Actual Results P1 BIS_Sheet3" xfId="12216"/>
    <cellStyle name="_Row7_Biscuits Actual Results P10" xfId="12217"/>
    <cellStyle name="_Row7_Biscuits Actual Results P10 2" xfId="12218"/>
    <cellStyle name="_Row7_Biscuits Actual Results P10_NC Drivers P10 T1" xfId="12219"/>
    <cellStyle name="_Row7_Biscuits Actual Results P10_NC Drivers P10 T1 2" xfId="12220"/>
    <cellStyle name="_Row7_Biscuits Actual Results P10_NC Drivers P10 T1_P&amp;L KFE" xfId="12221"/>
    <cellStyle name="_Row7_Biscuits Actual Results P10_NC Drivers P10 T1_Sheet3" xfId="12222"/>
    <cellStyle name="_Row7_Biscuits Actual Results P10_O&amp;R Nov Fc conso" xfId="12223"/>
    <cellStyle name="_Row7_Biscuits Actual Results P10_O&amp;R Nov Fc conso 2" xfId="12224"/>
    <cellStyle name="_Row7_Biscuits Actual Results P10_O&amp;R Nov Fc conso_P&amp;L KFE" xfId="12225"/>
    <cellStyle name="_Row7_Biscuits Actual Results P10_O&amp;R Nov Fc conso_Sheet3" xfId="12226"/>
    <cellStyle name="_Row7_Biscuits Actual Results P10_Ourson" xfId="12227"/>
    <cellStyle name="_Row7_Biscuits Actual Results P10_P&amp;L KFE" xfId="12228"/>
    <cellStyle name="_Row7_Biscuits Actual Results P10_Prince" xfId="12229"/>
    <cellStyle name="_Row7_Biscuits Actual Results P10_Sheet3" xfId="12230"/>
    <cellStyle name="_Row7_Biscuits Actual Results P10_template simul Growth Platforms" xfId="12231"/>
    <cellStyle name="_Row7_Biscuits Actual Results P10_template simul Growth Platforms 08-02-11_v0" xfId="12232"/>
    <cellStyle name="_Row7_Biscuits Actual Results P10_template simul Growth Platforms 14-02-11_v1" xfId="12233"/>
    <cellStyle name="_Row7_Biscuits Actual Results P10_template simul Growth Platforms new" xfId="12234"/>
    <cellStyle name="_Row7_Biscuits Actual Results P10_template simul per country" xfId="12235"/>
    <cellStyle name="_Row7_Biscuits Actual Results P10_template simul per country 10-03-11_v3" xfId="12236"/>
    <cellStyle name="_Row7_Biscuits Actual Results P10_template simul per country 10-03-11_v4 &amp; central alloc" xfId="12237"/>
    <cellStyle name="_Row7_Biscuits Actual Results P10_template simul per country 14-02-11_v1" xfId="12238"/>
    <cellStyle name="_Row7_Biscuits Actual Results P10_template simul per country 17-03-11_v6 &amp; central alloc" xfId="12239"/>
    <cellStyle name="_Row7_Biscuits Actual Results P10_template simul per country 17-03-11_v8 &amp; central alloc" xfId="12240"/>
    <cellStyle name="_Row7_Biscuits Actual Results P10_template simul per country 24-02-11_v2 with LH brands &amp; CBY_test" xfId="12241"/>
    <cellStyle name="_Row7_Biscuits Actual Results P10_template simul per country new" xfId="12242"/>
    <cellStyle name="_Row7_Biscuits Actual Results P11" xfId="12243"/>
    <cellStyle name="_Row7_Biscuits Actual Results P11 2" xfId="12244"/>
    <cellStyle name="_Row7_Biscuits Actual Results P11_Ourson" xfId="12245"/>
    <cellStyle name="_Row7_Biscuits Actual Results P11_P&amp;L KFE" xfId="12246"/>
    <cellStyle name="_Row7_Biscuits Actual Results P11_Prince" xfId="12247"/>
    <cellStyle name="_Row7_Biscuits Actual Results P11_Sheet3" xfId="12248"/>
    <cellStyle name="_Row7_Biscuits Actual Results P11_template simul Growth Platforms" xfId="12249"/>
    <cellStyle name="_Row7_Biscuits Actual Results P11_template simul Growth Platforms 08-02-11_v0" xfId="12250"/>
    <cellStyle name="_Row7_Biscuits Actual Results P11_template simul Growth Platforms 14-02-11_v1" xfId="12251"/>
    <cellStyle name="_Row7_Biscuits Actual Results P11_template simul Growth Platforms new" xfId="12252"/>
    <cellStyle name="_Row7_Biscuits Actual Results P11_template simul per country" xfId="12253"/>
    <cellStyle name="_Row7_Biscuits Actual Results P11_template simul per country 10-03-11_v3" xfId="12254"/>
    <cellStyle name="_Row7_Biscuits Actual Results P11_template simul per country 10-03-11_v4 &amp; central alloc" xfId="12255"/>
    <cellStyle name="_Row7_Biscuits Actual Results P11_template simul per country 14-02-11_v1" xfId="12256"/>
    <cellStyle name="_Row7_Biscuits Actual Results P11_template simul per country 17-03-11_v6 &amp; central alloc" xfId="12257"/>
    <cellStyle name="_Row7_Biscuits Actual Results P11_template simul per country 17-03-11_v8 &amp; central alloc" xfId="12258"/>
    <cellStyle name="_Row7_Biscuits Actual Results P11_template simul per country 24-02-11_v2 with LH brands &amp; CBY_test" xfId="12259"/>
    <cellStyle name="_Row7_Biscuits Actual Results P11_template simul per country new" xfId="12260"/>
    <cellStyle name="_Row7_Biscuits Actual Results P12" xfId="12261"/>
    <cellStyle name="_Row7_Biscuits Actual Results P12 161210" xfId="12262"/>
    <cellStyle name="_Row7_Biscuits Actual Results P12 161210 2" xfId="12263"/>
    <cellStyle name="_Row7_Biscuits Actual Results P12 161210_Ourson" xfId="12264"/>
    <cellStyle name="_Row7_Biscuits Actual Results P12 161210_P&amp;L KFE" xfId="12265"/>
    <cellStyle name="_Row7_Biscuits Actual Results P12 161210_Prince" xfId="12266"/>
    <cellStyle name="_Row7_Biscuits Actual Results P12 161210_Sheet3" xfId="12267"/>
    <cellStyle name="_Row7_Biscuits Actual Results P12 161210_template simul Growth Platforms" xfId="12268"/>
    <cellStyle name="_Row7_Biscuits Actual Results P12 161210_template simul Growth Platforms 08-02-11_v0" xfId="12269"/>
    <cellStyle name="_Row7_Biscuits Actual Results P12 161210_template simul Growth Platforms 14-02-11_v1" xfId="12270"/>
    <cellStyle name="_Row7_Biscuits Actual Results P12 161210_template simul Growth Platforms new" xfId="12271"/>
    <cellStyle name="_Row7_Biscuits Actual Results P12 161210_template simul per country" xfId="12272"/>
    <cellStyle name="_Row7_Biscuits Actual Results P12 161210_template simul per country 10-03-11_v3" xfId="12273"/>
    <cellStyle name="_Row7_Biscuits Actual Results P12 161210_template simul per country 10-03-11_v4 &amp; central alloc" xfId="12274"/>
    <cellStyle name="_Row7_Biscuits Actual Results P12 161210_template simul per country 14-02-11_v1" xfId="12275"/>
    <cellStyle name="_Row7_Biscuits Actual Results P12 161210_template simul per country 17-03-11_v6 &amp; central alloc" xfId="12276"/>
    <cellStyle name="_Row7_Biscuits Actual Results P12 161210_template simul per country 17-03-11_v8 &amp; central alloc" xfId="12277"/>
    <cellStyle name="_Row7_Biscuits Actual Results P12 161210_template simul per country 24-02-11_v2 with LH brands &amp; CBY_test" xfId="12278"/>
    <cellStyle name="_Row7_Biscuits Actual Results P12 161210_template simul per country new" xfId="12279"/>
    <cellStyle name="_Row7_Biscuits Actual Results P12 2" xfId="12280"/>
    <cellStyle name="_Row7_Biscuits Actual Results P12 Conso T2" xfId="12281"/>
    <cellStyle name="_Row7_Biscuits Actual Results P12 Conso T2 2" xfId="12282"/>
    <cellStyle name="_Row7_Biscuits Actual Results P12 Conso T2_Ourson" xfId="12283"/>
    <cellStyle name="_Row7_Biscuits Actual Results P12 Conso T2_P&amp;L KFE" xfId="12284"/>
    <cellStyle name="_Row7_Biscuits Actual Results P12 Conso T2_Prince" xfId="12285"/>
    <cellStyle name="_Row7_Biscuits Actual Results P12 Conso T2_Sheet3" xfId="12286"/>
    <cellStyle name="_Row7_Biscuits Actual Results P12 Conso T2_template simul Growth Platforms" xfId="12287"/>
    <cellStyle name="_Row7_Biscuits Actual Results P12 Conso T2_template simul Growth Platforms 08-02-11_v0" xfId="12288"/>
    <cellStyle name="_Row7_Biscuits Actual Results P12 Conso T2_template simul Growth Platforms 14-02-11_v1" xfId="12289"/>
    <cellStyle name="_Row7_Biscuits Actual Results P12 Conso T2_template simul Growth Platforms new" xfId="12290"/>
    <cellStyle name="_Row7_Biscuits Actual Results P12 Conso T2_template simul per country" xfId="12291"/>
    <cellStyle name="_Row7_Biscuits Actual Results P12 Conso T2_template simul per country 10-03-11_v3" xfId="12292"/>
    <cellStyle name="_Row7_Biscuits Actual Results P12 Conso T2_template simul per country 10-03-11_v4 &amp; central alloc" xfId="12293"/>
    <cellStyle name="_Row7_Biscuits Actual Results P12 Conso T2_template simul per country 14-02-11_v1" xfId="12294"/>
    <cellStyle name="_Row7_Biscuits Actual Results P12 Conso T2_template simul per country 17-03-11_v6 &amp; central alloc" xfId="12295"/>
    <cellStyle name="_Row7_Biscuits Actual Results P12 Conso T2_template simul per country 17-03-11_v8 &amp; central alloc" xfId="12296"/>
    <cellStyle name="_Row7_Biscuits Actual Results P12 Conso T2_template simul per country 24-02-11_v2 with LH brands &amp; CBY_test" xfId="12297"/>
    <cellStyle name="_Row7_Biscuits Actual Results P12 Conso T2_template simul per country new" xfId="12298"/>
    <cellStyle name="_Row7_Biscuits Actual Results P12_Ourson" xfId="12299"/>
    <cellStyle name="_Row7_Biscuits Actual Results P12_P&amp;L KFE" xfId="12300"/>
    <cellStyle name="_Row7_Biscuits Actual Results P12_Prince" xfId="12301"/>
    <cellStyle name="_Row7_Biscuits Actual Results P12_Sheet3" xfId="12302"/>
    <cellStyle name="_Row7_Biscuits Actual Results P12_template simul Growth Platforms" xfId="12303"/>
    <cellStyle name="_Row7_Biscuits Actual Results P12_template simul Growth Platforms 08-02-11_v0" xfId="12304"/>
    <cellStyle name="_Row7_Biscuits Actual Results P12_template simul Growth Platforms 14-02-11_v1" xfId="12305"/>
    <cellStyle name="_Row7_Biscuits Actual Results P12_template simul Growth Platforms new" xfId="12306"/>
    <cellStyle name="_Row7_Biscuits Actual Results P12_template simul per country" xfId="12307"/>
    <cellStyle name="_Row7_Biscuits Actual Results P12_template simul per country 10-03-11_v3" xfId="12308"/>
    <cellStyle name="_Row7_Biscuits Actual Results P12_template simul per country 10-03-11_v4 &amp; central alloc" xfId="12309"/>
    <cellStyle name="_Row7_Biscuits Actual Results P12_template simul per country 14-02-11_v1" xfId="12310"/>
    <cellStyle name="_Row7_Biscuits Actual Results P12_template simul per country 17-03-11_v6 &amp; central alloc" xfId="12311"/>
    <cellStyle name="_Row7_Biscuits Actual Results P12_template simul per country 17-03-11_v8 &amp; central alloc" xfId="12312"/>
    <cellStyle name="_Row7_Biscuits Actual Results P12_template simul per country 24-02-11_v2 with LH brands &amp; CBY_test" xfId="12313"/>
    <cellStyle name="_Row7_Biscuits Actual Results P12_template simul per country new" xfId="12314"/>
    <cellStyle name="_Row7_Biscuits Actual Results P9" xfId="12315"/>
    <cellStyle name="_Row7_Biscuits Actual Results P9 2" xfId="12316"/>
    <cellStyle name="_Row7_Biscuits Actual Results P9_NC Drivers P10 T1" xfId="12317"/>
    <cellStyle name="_Row7_Biscuits Actual Results P9_NC Drivers P10 T1 2" xfId="12318"/>
    <cellStyle name="_Row7_Biscuits Actual Results P9_NC Drivers P10 T1_P&amp;L KFE" xfId="12319"/>
    <cellStyle name="_Row7_Biscuits Actual Results P9_NC Drivers P10 T1_Sheet3" xfId="12320"/>
    <cellStyle name="_Row7_Biscuits Actual Results P9_O&amp;R Nov Fc conso" xfId="12321"/>
    <cellStyle name="_Row7_Biscuits Actual Results P9_O&amp;R Nov Fc conso 2" xfId="12322"/>
    <cellStyle name="_Row7_Biscuits Actual Results P9_O&amp;R Nov Fc conso_P&amp;L KFE" xfId="12323"/>
    <cellStyle name="_Row7_Biscuits Actual Results P9_O&amp;R Nov Fc conso_Sheet3" xfId="12324"/>
    <cellStyle name="_Row7_Biscuits Actual Results P9_Ourson" xfId="12325"/>
    <cellStyle name="_Row7_Biscuits Actual Results P9_P&amp;L KFE" xfId="12326"/>
    <cellStyle name="_Row7_Biscuits Actual Results P9_Prince" xfId="12327"/>
    <cellStyle name="_Row7_Biscuits Actual Results P9_Sheet3" xfId="12328"/>
    <cellStyle name="_Row7_Biscuits Actual Results P9_template simul Growth Platforms" xfId="12329"/>
    <cellStyle name="_Row7_Biscuits Actual Results P9_template simul Growth Platforms 08-02-11_v0" xfId="12330"/>
    <cellStyle name="_Row7_Biscuits Actual Results P9_template simul Growth Platforms 14-02-11_v1" xfId="12331"/>
    <cellStyle name="_Row7_Biscuits Actual Results P9_template simul Growth Platforms new" xfId="12332"/>
    <cellStyle name="_Row7_Biscuits Actual Results P9_template simul per country" xfId="12333"/>
    <cellStyle name="_Row7_Biscuits Actual Results P9_template simul per country 10-03-11_v3" xfId="12334"/>
    <cellStyle name="_Row7_Biscuits Actual Results P9_template simul per country 10-03-11_v4 &amp; central alloc" xfId="12335"/>
    <cellStyle name="_Row7_Biscuits Actual Results P9_template simul per country 14-02-11_v1" xfId="12336"/>
    <cellStyle name="_Row7_Biscuits Actual Results P9_template simul per country 17-03-11_v6 &amp; central alloc" xfId="12337"/>
    <cellStyle name="_Row7_Biscuits Actual Results P9_template simul per country 17-03-11_v8 &amp; central alloc" xfId="12338"/>
    <cellStyle name="_Row7_Biscuits Actual Results P9_template simul per country 24-02-11_v2 with LH brands &amp; CBY_test" xfId="12339"/>
    <cellStyle name="_Row7_Biscuits Actual Results P9_template simul per country new" xfId="12340"/>
    <cellStyle name="_Row7_bridge" xfId="12341"/>
    <cellStyle name="_Row7_Category PnL" xfId="12342"/>
    <cellStyle name="_Row7_Category PnL 2" xfId="12343"/>
    <cellStyle name="_Row7_Category PnL Template_140910" xfId="12344"/>
    <cellStyle name="_Row7_Category PnL Template_140910 2" xfId="12345"/>
    <cellStyle name="_Row7_Category PnL Template_140910_NC Drivers P10 T1" xfId="12346"/>
    <cellStyle name="_Row7_Category PnL Template_140910_NC Drivers P10 T1 2" xfId="12347"/>
    <cellStyle name="_Row7_Category PnL Template_140910_NC Drivers P10 T1_P&amp;L KFE" xfId="12348"/>
    <cellStyle name="_Row7_Category PnL Template_140910_NC Drivers P10 T1_Sheet3" xfId="12349"/>
    <cellStyle name="_Row7_Category PnL Template_140910_O&amp;R Nov Fc conso" xfId="12350"/>
    <cellStyle name="_Row7_Category PnL Template_140910_O&amp;R Nov Fc conso 2" xfId="12351"/>
    <cellStyle name="_Row7_Category PnL Template_140910_O&amp;R Nov Fc conso_P&amp;L KFE" xfId="12352"/>
    <cellStyle name="_Row7_Category PnL Template_140910_O&amp;R Nov Fc conso_Sheet3" xfId="12353"/>
    <cellStyle name="_Row7_Category PnL Template_140910_Ourson" xfId="12354"/>
    <cellStyle name="_Row7_Category PnL Template_140910_P&amp;L KFE" xfId="12355"/>
    <cellStyle name="_Row7_Category PnL Template_140910_Prince" xfId="12356"/>
    <cellStyle name="_Row7_Category PnL Template_140910_Sheet3" xfId="12357"/>
    <cellStyle name="_Row7_Category PnL Template_140910_template simul Growth Platforms" xfId="12358"/>
    <cellStyle name="_Row7_Category PnL Template_140910_template simul Growth Platforms 08-02-11_v0" xfId="12359"/>
    <cellStyle name="_Row7_Category PnL Template_140910_template simul Growth Platforms 14-02-11_v1" xfId="12360"/>
    <cellStyle name="_Row7_Category PnL Template_140910_template simul Growth Platforms new" xfId="12361"/>
    <cellStyle name="_Row7_Category PnL Template_140910_template simul per country" xfId="12362"/>
    <cellStyle name="_Row7_Category PnL Template_140910_template simul per country 10-03-11_v3" xfId="12363"/>
    <cellStyle name="_Row7_Category PnL Template_140910_template simul per country 10-03-11_v4 &amp; central alloc" xfId="12364"/>
    <cellStyle name="_Row7_Category PnL Template_140910_template simul per country 14-02-11_v1" xfId="12365"/>
    <cellStyle name="_Row7_Category PnL Template_140910_template simul per country 17-03-11_v6 &amp; central alloc" xfId="12366"/>
    <cellStyle name="_Row7_Category PnL Template_140910_template simul per country 17-03-11_v8 &amp; central alloc" xfId="12367"/>
    <cellStyle name="_Row7_Category PnL Template_140910_template simul per country 24-02-11_v2 with LH brands &amp; CBY_test" xfId="12368"/>
    <cellStyle name="_Row7_Category PnL Template_140910_template simul per country new" xfId="12369"/>
    <cellStyle name="_Row7_Category PnL Template_201010 (4)" xfId="12370"/>
    <cellStyle name="_Row7_Category PnL Template_201010 (4) 2" xfId="12371"/>
    <cellStyle name="_Row7_Category PnL Template_201010 (4)_NC Drivers P10 T1" xfId="12372"/>
    <cellStyle name="_Row7_Category PnL Template_201010 (4)_NC Drivers P10 T1 2" xfId="12373"/>
    <cellStyle name="_Row7_Category PnL Template_201010 (4)_NC Drivers P10 T1_P&amp;L KFE" xfId="12374"/>
    <cellStyle name="_Row7_Category PnL Template_201010 (4)_NC Drivers P10 T1_Sheet3" xfId="12375"/>
    <cellStyle name="_Row7_Category PnL Template_201010 (4)_O&amp;R Nov Fc conso" xfId="12376"/>
    <cellStyle name="_Row7_Category PnL Template_201010 (4)_O&amp;R Nov Fc conso 2" xfId="12377"/>
    <cellStyle name="_Row7_Category PnL Template_201010 (4)_O&amp;R Nov Fc conso_P&amp;L KFE" xfId="12378"/>
    <cellStyle name="_Row7_Category PnL Template_201010 (4)_O&amp;R Nov Fc conso_Sheet3" xfId="12379"/>
    <cellStyle name="_Row7_Category PnL Template_201010 (4)_Ourson" xfId="12380"/>
    <cellStyle name="_Row7_Category PnL Template_201010 (4)_P&amp;L KFE" xfId="12381"/>
    <cellStyle name="_Row7_Category PnL Template_201010 (4)_Prince" xfId="12382"/>
    <cellStyle name="_Row7_Category PnL Template_201010 (4)_Sheet3" xfId="12383"/>
    <cellStyle name="_Row7_Category PnL Template_201010 (4)_template simul Growth Platforms" xfId="12384"/>
    <cellStyle name="_Row7_Category PnL Template_201010 (4)_template simul Growth Platforms 08-02-11_v0" xfId="12385"/>
    <cellStyle name="_Row7_Category PnL Template_201010 (4)_template simul Growth Platforms 14-02-11_v1" xfId="12386"/>
    <cellStyle name="_Row7_Category PnL Template_201010 (4)_template simul Growth Platforms new" xfId="12387"/>
    <cellStyle name="_Row7_Category PnL Template_201010 (4)_template simul per country" xfId="12388"/>
    <cellStyle name="_Row7_Category PnL Template_201010 (4)_template simul per country 10-03-11_v3" xfId="12389"/>
    <cellStyle name="_Row7_Category PnL Template_201010 (4)_template simul per country 10-03-11_v4 &amp; central alloc" xfId="12390"/>
    <cellStyle name="_Row7_Category PnL Template_201010 (4)_template simul per country 14-02-11_v1" xfId="12391"/>
    <cellStyle name="_Row7_Category PnL Template_201010 (4)_template simul per country 17-03-11_v6 &amp; central alloc" xfId="12392"/>
    <cellStyle name="_Row7_Category PnL Template_201010 (4)_template simul per country 17-03-11_v8 &amp; central alloc" xfId="12393"/>
    <cellStyle name="_Row7_Category PnL Template_201010 (4)_template simul per country 24-02-11_v2 with LH brands &amp; CBY_test" xfId="12394"/>
    <cellStyle name="_Row7_Category PnL Template_201010 (4)_template simul per country new" xfId="12395"/>
    <cellStyle name="_Row7_Category PnL_Ourson" xfId="12396"/>
    <cellStyle name="_Row7_Category PnL_P&amp;L KFE" xfId="12397"/>
    <cellStyle name="_Row7_Category PnL_Prince" xfId="12398"/>
    <cellStyle name="_Row7_Category PnL_Sheet3" xfId="12399"/>
    <cellStyle name="_Row7_Category PnL_template simul Growth Platforms" xfId="12400"/>
    <cellStyle name="_Row7_Category PnL_template simul Growth Platforms 08-02-11_v0" xfId="12401"/>
    <cellStyle name="_Row7_Category PnL_template simul Growth Platforms 14-02-11_v1" xfId="12402"/>
    <cellStyle name="_Row7_Category PnL_template simul Growth Platforms new" xfId="12403"/>
    <cellStyle name="_Row7_Category PnL_template simul per country" xfId="12404"/>
    <cellStyle name="_Row7_Category PnL_template simul per country 10-03-11_v3" xfId="12405"/>
    <cellStyle name="_Row7_Category PnL_template simul per country 10-03-11_v4 &amp; central alloc" xfId="12406"/>
    <cellStyle name="_Row7_Category PnL_template simul per country 14-02-11_v1" xfId="12407"/>
    <cellStyle name="_Row7_Category PnL_template simul per country 17-03-11_v6 &amp; central alloc" xfId="12408"/>
    <cellStyle name="_Row7_Category PnL_template simul per country 17-03-11_v8 &amp; central alloc" xfId="12409"/>
    <cellStyle name="_Row7_Category PnL_template simul per country 24-02-11_v2 with LH brands &amp; CBY_test" xfId="12410"/>
    <cellStyle name="_Row7_Category PnL_template simul per country new" xfId="12411"/>
    <cellStyle name="_Row7_Category Targets 2011_1.2" xfId="12412"/>
    <cellStyle name="_Row7_Category Template AC'11 @Cst Fx 52W vs 53W" xfId="12413"/>
    <cellStyle name="_Row7_Category Template AC'11 @Cst Fx 52W vs 53W 2" xfId="12414"/>
    <cellStyle name="_Row7_Category Template AC'11 @Cst Fx 52W vs 53W_P&amp;L KFE" xfId="12415"/>
    <cellStyle name="_Row7_Category Template AC'11 @Cst Fx 52W vs 53W_Sheet3" xfId="12416"/>
    <cellStyle name="_Row7_Category Template AC'11 28092010" xfId="12417"/>
    <cellStyle name="_Row7_Category Template AC'11 30092010v4" xfId="12418"/>
    <cellStyle name="_Row7_Category Template AC'11_sent to countries" xfId="12419"/>
    <cellStyle name="_Row7_Category Template AC'11_sent to countries ( euro )" xfId="12420"/>
    <cellStyle name="_Row7_Category Template AC'11_sent to countries à modifier" xfId="12421"/>
    <cellStyle name="_Row7_Category Template_Actuals" xfId="12422"/>
    <cellStyle name="_Row7_Category Template_Actuals 2" xfId="12423"/>
    <cellStyle name="_Row7_Category Template_Actuals NEW" xfId="12424"/>
    <cellStyle name="_Row7_Category Template_Actuals NEW 2" xfId="12425"/>
    <cellStyle name="_Row7_Category Template_Actuals NEW_Ourson" xfId="12426"/>
    <cellStyle name="_Row7_Category Template_Actuals NEW_P&amp;L KFE" xfId="12427"/>
    <cellStyle name="_Row7_Category Template_Actuals NEW_Prince" xfId="12428"/>
    <cellStyle name="_Row7_Category Template_Actuals NEW_Sheet3" xfId="12429"/>
    <cellStyle name="_Row7_Category Template_Actuals NEW_template simul Growth Platforms" xfId="12430"/>
    <cellStyle name="_Row7_Category Template_Actuals NEW_template simul Growth Platforms 08-02-11_v0" xfId="12431"/>
    <cellStyle name="_Row7_Category Template_Actuals NEW_template simul Growth Platforms 14-02-11_v1" xfId="12432"/>
    <cellStyle name="_Row7_Category Template_Actuals NEW_template simul Growth Platforms new" xfId="12433"/>
    <cellStyle name="_Row7_Category Template_Actuals NEW_template simul per country" xfId="12434"/>
    <cellStyle name="_Row7_Category Template_Actuals NEW_template simul per country 10-03-11_v3" xfId="12435"/>
    <cellStyle name="_Row7_Category Template_Actuals NEW_template simul per country 10-03-11_v4 &amp; central alloc" xfId="12436"/>
    <cellStyle name="_Row7_Category Template_Actuals NEW_template simul per country 14-02-11_v1" xfId="12437"/>
    <cellStyle name="_Row7_Category Template_Actuals NEW_template simul per country 17-03-11_v6 &amp; central alloc" xfId="12438"/>
    <cellStyle name="_Row7_Category Template_Actuals NEW_template simul per country 17-03-11_v8 &amp; central alloc" xfId="12439"/>
    <cellStyle name="_Row7_Category Template_Actuals NEW_template simul per country 24-02-11_v2 with LH brands &amp; CBY_test" xfId="12440"/>
    <cellStyle name="_Row7_Category Template_Actuals NEW_template simul per country new" xfId="12441"/>
    <cellStyle name="_Row7_Category Template_Actuals_P&amp;L KFE" xfId="12442"/>
    <cellStyle name="_Row7_Category Template_Actuals_Sheet3" xfId="12443"/>
    <cellStyle name="_Row7_Cost bridge" xfId="12444"/>
    <cellStyle name="_Row7_KFE Category PnL template_Combined_P03 (2)" xfId="12445"/>
    <cellStyle name="_Row7_KFE Category PnL template_Combined_P03 (2)_P&amp;L KFE" xfId="12446"/>
    <cellStyle name="_Row7_KFE Category PnL template_Combined_P03 (2)_Sheet3" xfId="12447"/>
    <cellStyle name="_Row7_KFE Category PnL template_Kraft Legacy (2)" xfId="12448"/>
    <cellStyle name="_Row7_KFE Category PnL template_Kraft Legacy (2)_P&amp;L KFE" xfId="12449"/>
    <cellStyle name="_Row7_KFE Category PnL template_Kraft Legacy (2)_Sheet3" xfId="12450"/>
    <cellStyle name="_Row7_KFE Category PnL template_Kraft Legacy (4)" xfId="12451"/>
    <cellStyle name="_Row7_KFE Category PnL template_Kraft Legacy (4)_P&amp;L KFE" xfId="12452"/>
    <cellStyle name="_Row7_KFE Category PnL template_Kraft Legacy (4)_Sheet3" xfId="12453"/>
    <cellStyle name="_Row7_Mgmt bridge AC'11 vs Aug Fc_Spain" xfId="12454"/>
    <cellStyle name="_Row7_NC Drivers P10 T1" xfId="12455"/>
    <cellStyle name="_Row7_NC Drivers P10 T1 2" xfId="12456"/>
    <cellStyle name="_Row7_NC Drivers P10 T1_P&amp;L KFE" xfId="12457"/>
    <cellStyle name="_Row7_NC Drivers P10 T1_Sheet3" xfId="12458"/>
    <cellStyle name="_Row7_NC Drivers PY Qrt excl Cadbury" xfId="12459"/>
    <cellStyle name="_Row7_O&amp;R Nov Fc conso" xfId="12460"/>
    <cellStyle name="_Row7_O&amp;R Nov Fc conso 2" xfId="12461"/>
    <cellStyle name="_Row7_O&amp;R Nov Fc conso_P&amp;L KFE" xfId="12462"/>
    <cellStyle name="_Row7_O&amp;R Nov Fc conso_Sheet3" xfId="12463"/>
    <cellStyle name="_Row7_OI Bridge 0" xfId="12464"/>
    <cellStyle name="_Row7_OI Bridge 1" xfId="12465"/>
    <cellStyle name="_Row7_Ourson" xfId="12466"/>
    <cellStyle name="_Row7_P&amp;L KBE 2008-2011" xfId="12467"/>
    <cellStyle name="_Row7_P&amp;L KBE 2008-2011 2" xfId="12468"/>
    <cellStyle name="_Row7_P&amp;L KBE 2008-2011_P&amp;L KFE" xfId="12469"/>
    <cellStyle name="_Row7_P&amp;L KBE 2008-2011_Sheet3" xfId="12470"/>
    <cellStyle name="_Row7_P&amp;L KFE" xfId="12471"/>
    <cellStyle name="_Row7_P&amp;L P06 AFH AC US" xfId="12472"/>
    <cellStyle name="_Row7_P&amp;L P06 AFH AC US_P&amp;L KFE" xfId="12473"/>
    <cellStyle name="_Row7_P&amp;L P06 AFH AC US_Sheet3" xfId="12474"/>
    <cellStyle name="_Row7_P&amp;L Qrt" xfId="12475"/>
    <cellStyle name="_Row7_PA" xfId="12476"/>
    <cellStyle name="_Row7_Pricing Bridge" xfId="12477"/>
    <cellStyle name="_Row7_Prince" xfId="12478"/>
    <cellStyle name="_Row7_Sheet3" xfId="12479"/>
    <cellStyle name="_Row7_template simul Growth Platforms" xfId="12480"/>
    <cellStyle name="_Row7_template simul Growth Platforms 08-02-11_v0" xfId="12481"/>
    <cellStyle name="_Row7_template simul Growth Platforms 14-02-11_v1" xfId="12482"/>
    <cellStyle name="_Row7_template simul Growth Platforms new" xfId="12483"/>
    <cellStyle name="_Row7_template simul per country" xfId="12484"/>
    <cellStyle name="_Row7_template simul per country 10-03-11_v3" xfId="12485"/>
    <cellStyle name="_Row7_template simul per country 10-03-11_v4 &amp; central alloc" xfId="12486"/>
    <cellStyle name="_Row7_template simul per country 14-02-11_v1" xfId="12487"/>
    <cellStyle name="_Row7_template simul per country 17-03-11_v6 &amp; central alloc" xfId="12488"/>
    <cellStyle name="_Row7_template simul per country 17-03-11_v8 &amp; central alloc" xfId="12489"/>
    <cellStyle name="_Row7_template simul per country 24-02-11_v2 with LH brands &amp; CBY_test" xfId="12490"/>
    <cellStyle name="_Row7_template simul per country new" xfId="12491"/>
    <cellStyle name="_Row7_VRAN YTD" xfId="12492"/>
    <cellStyle name="_Row7_VRAN YTD 2" xfId="12493"/>
    <cellStyle name="_Row7_VRAN YTD_Ourson" xfId="12494"/>
    <cellStyle name="_Row7_VRAN YTD_P&amp;L KFE" xfId="12495"/>
    <cellStyle name="_Row7_VRAN YTD_Prince" xfId="12496"/>
    <cellStyle name="_Row7_VRAN YTD_Sheet3" xfId="12497"/>
    <cellStyle name="_Row7_VRAN YTD_template simul Growth Platforms" xfId="12498"/>
    <cellStyle name="_Row7_VRAN YTD_template simul Growth Platforms 08-02-11_v0" xfId="12499"/>
    <cellStyle name="_Row7_VRAN YTD_template simul Growth Platforms 14-02-11_v1" xfId="12500"/>
    <cellStyle name="_Row7_VRAN YTD_template simul Growth Platforms new" xfId="12501"/>
    <cellStyle name="_Row7_VRAN YTD_template simul per country" xfId="12502"/>
    <cellStyle name="_Row7_VRAN YTD_template simul per country 10-03-11_v3" xfId="12503"/>
    <cellStyle name="_Row7_VRAN YTD_template simul per country 10-03-11_v4 &amp; central alloc" xfId="12504"/>
    <cellStyle name="_Row7_VRAN YTD_template simul per country 14-02-11_v1" xfId="12505"/>
    <cellStyle name="_Row7_VRAN YTD_template simul per country 17-03-11_v6 &amp; central alloc" xfId="12506"/>
    <cellStyle name="_Row7_VRAN YTD_template simul per country 17-03-11_v8 &amp; central alloc" xfId="12507"/>
    <cellStyle name="_Row7_VRAN YTD_template simul per country 24-02-11_v2 with LH brands &amp; CBY_test" xfId="12508"/>
    <cellStyle name="_Row7_VRAN YTD_template simul per country new" xfId="12509"/>
    <cellStyle name="_Row7_WP_AC11 P&amp;L LFL 27.10.10" xfId="12510"/>
    <cellStyle name="_Russia Bridges COST &amp; MNGMT V" xfId="12511"/>
    <cellStyle name="_S2 Cost" xfId="12512"/>
    <cellStyle name="_S3 Pricing" xfId="12513"/>
    <cellStyle name="_S3. Sept MU3 - Cost Bridge KFE Region Consolidation" xfId="12514"/>
    <cellStyle name="_S3. Sept MU3 - Cost Bridge KFE Region Consolidation 2" xfId="12515"/>
    <cellStyle name="_S3. Sept MU3 - Cost Bridge KFE Region Consolidation_AC11 conso @Cst Fx after LFL restatement" xfId="12516"/>
    <cellStyle name="_S3. Sept MU3 - Cost Bridge KFE Region Consolidation_AC11 conso @Cst Fx after LFL restatement 2" xfId="12517"/>
    <cellStyle name="_S3. Sept MU3 - Cost Bridge KFE Region Consolidation_AC11 conso @Cst Fx after LFL restatement_P&amp;L KFE" xfId="12518"/>
    <cellStyle name="_S3. Sept MU3 - Cost Bridge KFE Region Consolidation_AC11 conso @Cst Fx after LFL restatement_Sheet3" xfId="12519"/>
    <cellStyle name="_S3. Sept MU3 - Cost Bridge KFE Region Consolidation_P&amp;L" xfId="12520"/>
    <cellStyle name="_S3. Sept MU3 - Cost Bridge KFE Region Consolidation_P&amp;L KFE" xfId="12521"/>
    <cellStyle name="_S3. Sept MU3 - Cost Bridge KFE Region Consolidation_P&amp;L_P&amp;L KFE" xfId="12522"/>
    <cellStyle name="_S3. Sept MU3 - Cost Bridge KFE Region Consolidation_P&amp;L_Sheet3" xfId="12523"/>
    <cellStyle name="_S3. Sept MU3 - Cost Bridge KFE Region Consolidation_Sheet1" xfId="12524"/>
    <cellStyle name="_S8 OIOE" xfId="12525"/>
    <cellStyle name="_Sample table for write up pralines AR Krasimir request TOTAL BU" xfId="12526"/>
    <cellStyle name="_Sample table for write up pralines AR Krasimir request TOTAL BU_AR_TUC new line_Szekes v10" xfId="12527"/>
    <cellStyle name="_SAP Depreciation - 5 to 7yrs v2" xfId="12528"/>
    <cellStyle name="_SAP Depreciation - 5 to 7yrs v2 - for feedback" xfId="12529"/>
    <cellStyle name="_SAP Depreciation - 5 to 7yrs v2 - for feedback_P&amp;L KFE" xfId="12530"/>
    <cellStyle name="_SAP Depreciation - 5 to 7yrs v2 - for feedback_Sheet3" xfId="12531"/>
    <cellStyle name="_SAP Depreciation - 5 to 7yrs v2_P&amp;L KFE" xfId="12532"/>
    <cellStyle name="_SAP Depreciation - 5 to 7yrs v2_Sheet3" xfId="12533"/>
    <cellStyle name="_SAP Forecast Recharge 2008 - vFinal" xfId="12534"/>
    <cellStyle name="_Saturn Depreciation (2)" xfId="12535"/>
    <cellStyle name="_Saturn Depreciation (2)_P&amp;L KFE" xfId="12536"/>
    <cellStyle name="_Saturn Depreciation (2)_Sheet3" xfId="12537"/>
    <cellStyle name="_SAVORBusCase_MKTNA10005_b_20090828 adj" xfId="12538"/>
    <cellStyle name="_SAVORBusCase_MKTNA10005_b_20090828 adj 2" xfId="12539"/>
    <cellStyle name="_SAVORBusCase_MKTNA10005_b_20090828 adj_FY O&amp;R  @ AC" xfId="12540"/>
    <cellStyle name="_SAVORBusCase_MKTNA10005_b_20090828 adj_FY O&amp;R  @ AC 2" xfId="12541"/>
    <cellStyle name="_SAVORBusCase_MKTNA10005_b_20090828 adj_FY O&amp;R  @ AC_1" xfId="12542"/>
    <cellStyle name="_SAVORBusCase_MKTNA10005_b_20090828 adj_FY O&amp;R  @ AC_1 2" xfId="12543"/>
    <cellStyle name="_SAVORBusCase_MKTNA10005_b_20090828 adj_FY O&amp;R  @ AC_Opps&amp;Risks" xfId="12544"/>
    <cellStyle name="_SAVORBusCase_MKTNA10005_b_20090828 adj_FY O&amp;R  @ AC_Opps&amp;Risks 2" xfId="12545"/>
    <cellStyle name="_SAVORBusCase_MKTNA10005_b_20090828 adj_Opps&amp;Risks" xfId="12546"/>
    <cellStyle name="_SAVORBusCase_MKTNA10005_b_20090828 adj_Opps&amp;Risks 2" xfId="12547"/>
    <cellStyle name="_SAVORBusCase_MKTNA10005_b_20090828 adj_Q1 O&amp;R  @ AC" xfId="12548"/>
    <cellStyle name="_SAVORBusCase_MKTNA10005_b_20090828 adj_Q1 O&amp;R  @ AC 2" xfId="12549"/>
    <cellStyle name="_SAVORBusCase_MKTNA10005_b_20090828 adj_Q1 O&amp;R  @ AC_1" xfId="12550"/>
    <cellStyle name="_SAVORBusCase_MKTNA10005_b_20090828 adj_Q1 O&amp;R  @ AC_1 2" xfId="12551"/>
    <cellStyle name="_SAVORBusCase_MKTNA10005_b_20090828 adj_Q1 O&amp;R  @ AC_Opps&amp;Risks" xfId="12552"/>
    <cellStyle name="_SAVORBusCase_MKTNA10005_b_20090828 adj_Q1 O&amp;R  @ AC_Opps&amp;Risks 2" xfId="12553"/>
    <cellStyle name="_SAVORBusCase_MKTNA10005_b_20090914" xfId="12554"/>
    <cellStyle name="_SAVORBusCase_MKTNA10005_b_20090914 2" xfId="12555"/>
    <cellStyle name="_SAVORBusCase_MKTNA10005_b_20090914_FY O&amp;R  @ AC" xfId="12556"/>
    <cellStyle name="_SAVORBusCase_MKTNA10005_b_20090914_FY O&amp;R  @ AC 2" xfId="12557"/>
    <cellStyle name="_SAVORBusCase_MKTNA10005_b_20090914_FY O&amp;R  @ AC_1" xfId="12558"/>
    <cellStyle name="_SAVORBusCase_MKTNA10005_b_20090914_FY O&amp;R  @ AC_1 2" xfId="12559"/>
    <cellStyle name="_SAVORBusCase_MKTNA10005_b_20090914_FY O&amp;R  @ AC_Opps&amp;Risks" xfId="12560"/>
    <cellStyle name="_SAVORBusCase_MKTNA10005_b_20090914_FY O&amp;R  @ AC_Opps&amp;Risks 2" xfId="12561"/>
    <cellStyle name="_SAVORBusCase_MKTNA10005_b_20090914_Opps&amp;Risks" xfId="12562"/>
    <cellStyle name="_SAVORBusCase_MKTNA10005_b_20090914_Opps&amp;Risks 2" xfId="12563"/>
    <cellStyle name="_SAVORBusCase_MKTNA10005_b_20090914_Q1 O&amp;R  @ AC" xfId="12564"/>
    <cellStyle name="_SAVORBusCase_MKTNA10005_b_20090914_Q1 O&amp;R  @ AC 2" xfId="12565"/>
    <cellStyle name="_SAVORBusCase_MKTNA10005_b_20090914_Q1 O&amp;R  @ AC_1" xfId="12566"/>
    <cellStyle name="_SAVORBusCase_MKTNA10005_b_20090914_Q1 O&amp;R  @ AC_1 2" xfId="12567"/>
    <cellStyle name="_SAVORBusCase_MKTNA10005_b_20090914_Q1 O&amp;R  @ AC_Opps&amp;Risks" xfId="12568"/>
    <cellStyle name="_SAVORBusCase_MKTNA10005_b_20090914_Q1 O&amp;R  @ AC_Opps&amp;Risks 2" xfId="12569"/>
    <cellStyle name="_SC ORI for 30EURCESA" xfId="12570"/>
    <cellStyle name="_Service Mang Fee" xfId="12571"/>
    <cellStyle name="_Severance Savings Ratio" xfId="12572"/>
    <cellStyle name="_Sheet1" xfId="12573"/>
    <cellStyle name="_Sheet1 2" xfId="12574"/>
    <cellStyle name="_Sheet1 2_P&amp;L KFE" xfId="12575"/>
    <cellStyle name="_Sheet1 2_Sheet3" xfId="12576"/>
    <cellStyle name="_Sheet1_P&amp;L KFE" xfId="12577"/>
    <cellStyle name="_Sheet1_Sheet3" xfId="12578"/>
    <cellStyle name="_Sheet2" xfId="12579"/>
    <cellStyle name="_Sheet2 2" xfId="12580"/>
    <cellStyle name="_Sheet4" xfId="12581"/>
    <cellStyle name="_Sheet4 2" xfId="12582"/>
    <cellStyle name="_Sheet4 2_P&amp;L KFE" xfId="12583"/>
    <cellStyle name="_Sheet4 2_Sheet3" xfId="12584"/>
    <cellStyle name="_Sheet4_P&amp;L KFE" xfId="12585"/>
    <cellStyle name="_Sheet4_Sheet3" xfId="12586"/>
    <cellStyle name="_Sheet5" xfId="12587"/>
    <cellStyle name="_Sheet5 2" xfId="12588"/>
    <cellStyle name="_Sheet5 2_P&amp;L KFE" xfId="12589"/>
    <cellStyle name="_Sheet5 2_Sheet3" xfId="12590"/>
    <cellStyle name="_Sheet5_P&amp;L KFE" xfId="12591"/>
    <cellStyle name="_Sheet5_Sheet3" xfId="12592"/>
    <cellStyle name="_Sheet6" xfId="12593"/>
    <cellStyle name="_Sheet6 2" xfId="12594"/>
    <cellStyle name="_Sheet6 2_P&amp;L KFE" xfId="12595"/>
    <cellStyle name="_Sheet6 2_Sheet3" xfId="12596"/>
    <cellStyle name="_Sheet6_P&amp;L KFE" xfId="12597"/>
    <cellStyle name="_Sheet6_Sheet3" xfId="12598"/>
    <cellStyle name="_simple chart 050321 (128MMSSU)" xfId="12599"/>
    <cellStyle name="_simple chart 050321 (128MMSSU) 2" xfId="12600"/>
    <cellStyle name="_simple chart 050321 (128MMSSU)_Book5" xfId="12601"/>
    <cellStyle name="_simple chart 050321 (128MMSSU)_Book5 2" xfId="12602"/>
    <cellStyle name="_simple chart 050321 (128MMSSU)_Book5_Category Template AC'11 @Cst Fx 52W vs 53W" xfId="12603"/>
    <cellStyle name="_simple chart 050321 (128MMSSU)_Book5_Category Template AC'11 @Cst Fx 52W vs 53W 2" xfId="12604"/>
    <cellStyle name="_simple chart 050321 (128MMSSU)_Book5_Category Template AC'11 @Cst Fx 52W vs 53W_P&amp;L KFE" xfId="12605"/>
    <cellStyle name="_simple chart 050321 (128MMSSU)_Book5_Category Template AC'11 @Cst Fx 52W vs 53W_Sheet3" xfId="12606"/>
    <cellStyle name="_simple chart 050321 (128MMSSU)_Book5_P&amp;L KFE" xfId="12607"/>
    <cellStyle name="_simple chart 050321 (128MMSSU)_Book5_Sheet3" xfId="12608"/>
    <cellStyle name="_simple chart 050321 (128MMSSU)_CA Masterflow June 15a" xfId="12609"/>
    <cellStyle name="_simple chart 050321 (128MMSSU)_CA Masterflow June 15a 2" xfId="12610"/>
    <cellStyle name="_simple chart 050321 (128MMSSU)_CA Masterflow June 15a_Book5" xfId="12611"/>
    <cellStyle name="_simple chart 050321 (128MMSSU)_CA Masterflow June 15a_Book5 2" xfId="12612"/>
    <cellStyle name="_simple chart 050321 (128MMSSU)_CA Masterflow June 15a_Book5_Category Template AC'11 @Cst Fx 52W vs 53W" xfId="12613"/>
    <cellStyle name="_simple chart 050321 (128MMSSU)_CA Masterflow June 15a_Book5_Category Template AC'11 @Cst Fx 52W vs 53W 2" xfId="12614"/>
    <cellStyle name="_simple chart 050321 (128MMSSU)_CA Masterflow June 15a_Book5_Category Template AC'11 @Cst Fx 52W vs 53W_P&amp;L KFE" xfId="12615"/>
    <cellStyle name="_simple chart 050321 (128MMSSU)_CA Masterflow June 15a_Book5_Category Template AC'11 @Cst Fx 52W vs 53W_Sheet3" xfId="12616"/>
    <cellStyle name="_simple chart 050321 (128MMSSU)_CA Masterflow June 15a_Book5_P&amp;L KFE" xfId="12617"/>
    <cellStyle name="_simple chart 050321 (128MMSSU)_CA Masterflow June 15a_Book5_Sheet3" xfId="12618"/>
    <cellStyle name="_simple chart 050321 (128MMSSU)_CA Masterflow June 15a_Category Template AC'11 @Cst Fx 52W vs 53W" xfId="12619"/>
    <cellStyle name="_simple chart 050321 (128MMSSU)_CA Masterflow June 15a_Category Template AC'11 @Cst Fx 52W vs 53W 2" xfId="12620"/>
    <cellStyle name="_simple chart 050321 (128MMSSU)_CA Masterflow June 15a_Category Template AC'11 @Cst Fx 52W vs 53W_P&amp;L KFE" xfId="12621"/>
    <cellStyle name="_simple chart 050321 (128MMSSU)_CA Masterflow June 15a_Category Template AC'11 @Cst Fx 52W vs 53W_Sheet3" xfId="12622"/>
    <cellStyle name="_simple chart 050321 (128MMSSU)_CA Masterflow June 15a_P&amp;L KFE" xfId="12623"/>
    <cellStyle name="_simple chart 050321 (128MMSSU)_CA Masterflow June 15a_Sheet3" xfId="12624"/>
    <cellStyle name="_simple chart 050321 (128MMSSU)_CA Masterflow June 15a_Wrigley - 05 budget&amp;calendar LE 050728 (25I)" xfId="12625"/>
    <cellStyle name="_simple chart 050321 (128MMSSU)_CA Masterflow June 15a_Wrigley - 05 budget&amp;calendar LE 050728 (25I) 2" xfId="12626"/>
    <cellStyle name="_simple chart 050321 (128MMSSU)_CA Masterflow June 15a_Wrigley - 05 budget&amp;calendar LE 050728 (25I)_Category Template AC'11 @Cst Fx 52W vs 53W" xfId="12627"/>
    <cellStyle name="_simple chart 050321 (128MMSSU)_CA Masterflow June 15a_Wrigley - 05 budget&amp;calendar LE 050728 (25I)_Category Template AC'11 @Cst Fx 52W vs 53W 2" xfId="12628"/>
    <cellStyle name="_simple chart 050321 (128MMSSU)_CA Masterflow June 15a_Wrigley - 05 budget&amp;calendar LE 050728 (25I)_Category Template AC'11 @Cst Fx 52W vs 53W_P&amp;L KFE" xfId="12629"/>
    <cellStyle name="_simple chart 050321 (128MMSSU)_CA Masterflow June 15a_Wrigley - 05 budget&amp;calendar LE 050728 (25I)_Category Template AC'11 @Cst Fx 52W vs 53W_Sheet3" xfId="12630"/>
    <cellStyle name="_simple chart 050321 (128MMSSU)_CA Masterflow June 15a_Wrigley - 05 budget&amp;calendar LE 050728 (25I)_P&amp;L KFE" xfId="12631"/>
    <cellStyle name="_simple chart 050321 (128MMSSU)_CA Masterflow June 15a_Wrigley - 05 budget&amp;calendar LE 050728 (25I)_Sheet3" xfId="12632"/>
    <cellStyle name="_simple chart 050321 (128MMSSU)_CA Masterflow June 15a_Wrigley - 05 budget&amp;calendar LE 050728 (25I)_Wrigley - 06 simple chart Sep 14" xfId="12633"/>
    <cellStyle name="_simple chart 050321 (128MMSSU)_CA Masterflow June 15a_Wrigley - 05 budget&amp;calendar LE 050728 (25I)_Wrigley - 06 simple chart Sep 14 2" xfId="12634"/>
    <cellStyle name="_simple chart 050321 (128MMSSU)_CA Masterflow June 15a_Wrigley - 05 budget&amp;calendar LE 050728 (25I)_Wrigley - 06 simple chart Sep 14_Category Template AC'11 @Cst Fx 52W vs 53W" xfId="12635"/>
    <cellStyle name="_simple chart 050321 (128MMSSU)_CA Masterflow June 15a_Wrigley - 05 budget&amp;calendar LE 050728 (25I)_Wrigley - 06 simple chart Sep 14_Category Template AC'11 @Cst Fx 52W vs 53W 2" xfId="12636"/>
    <cellStyle name="_simple chart 050321 (128MMSSU)_CA Masterflow June 15a_Wrigley - 05 budget&amp;calendar LE 050728 (25I)_Wrigley - 06 simple chart Sep 14_Category Template AC'11 @Cst Fx 52W vs 53W_P&amp;L KFE" xfId="12637"/>
    <cellStyle name="_simple chart 050321 (128MMSSU)_CA Masterflow June 15a_Wrigley - 05 budget&amp;calendar LE 050728 (25I)_Wrigley - 06 simple chart Sep 14_Category Template AC'11 @Cst Fx 52W vs 53W_Sheet3" xfId="12638"/>
    <cellStyle name="_simple chart 050321 (128MMSSU)_CA Masterflow June 15a_Wrigley - 05 budget&amp;calendar LE 050728 (25I)_Wrigley - 06 simple chart Sep 14_P&amp;L KFE" xfId="12639"/>
    <cellStyle name="_simple chart 050321 (128MMSSU)_CA Masterflow June 15a_Wrigley - 05 budget&amp;calendar LE 050728 (25I)_Wrigley - 06 simple chart Sep 14_Sheet3" xfId="12640"/>
    <cellStyle name="_simple chart 050321 (128MMSSU)_CA Masterflow June 15a_Wrigley - 05 budget&amp;calendar LE 050824 (25F)" xfId="12641"/>
    <cellStyle name="_simple chart 050321 (128MMSSU)_CA Masterflow June 15a_Wrigley - 05 budget&amp;calendar LE 050824 (25F) 2" xfId="12642"/>
    <cellStyle name="_simple chart 050321 (128MMSSU)_CA Masterflow June 15a_Wrigley - 05 budget&amp;calendar LE 050824 (25F)_Category Template AC'11 @Cst Fx 52W vs 53W" xfId="12643"/>
    <cellStyle name="_simple chart 050321 (128MMSSU)_CA Masterflow June 15a_Wrigley - 05 budget&amp;calendar LE 050824 (25F)_Category Template AC'11 @Cst Fx 52W vs 53W 2" xfId="12644"/>
    <cellStyle name="_simple chart 050321 (128MMSSU)_CA Masterflow June 15a_Wrigley - 05 budget&amp;calendar LE 050824 (25F)_Category Template AC'11 @Cst Fx 52W vs 53W_P&amp;L KFE" xfId="12645"/>
    <cellStyle name="_simple chart 050321 (128MMSSU)_CA Masterflow June 15a_Wrigley - 05 budget&amp;calendar LE 050824 (25F)_Category Template AC'11 @Cst Fx 52W vs 53W_Sheet3" xfId="12646"/>
    <cellStyle name="_simple chart 050321 (128MMSSU)_CA Masterflow June 15a_Wrigley - 05 budget&amp;calendar LE 050824 (25F)_P&amp;L KFE" xfId="12647"/>
    <cellStyle name="_simple chart 050321 (128MMSSU)_CA Masterflow June 15a_Wrigley - 05 budget&amp;calendar LE 050824 (25F)_Sheet3" xfId="12648"/>
    <cellStyle name="_simple chart 050321 (128MMSSU)_CA Masterflow June 15a_Wrigley - 05 budget&amp;calendar LE 050824 (25F)_Wrigley - 06 simple chart Sep 14" xfId="12649"/>
    <cellStyle name="_simple chart 050321 (128MMSSU)_CA Masterflow June 15a_Wrigley - 05 budget&amp;calendar LE 050824 (25F)_Wrigley - 06 simple chart Sep 14 2" xfId="12650"/>
    <cellStyle name="_simple chart 050321 (128MMSSU)_CA Masterflow June 15a_Wrigley - 05 budget&amp;calendar LE 050824 (25F)_Wrigley - 06 simple chart Sep 14_Category Template AC'11 @Cst Fx 52W vs 53W" xfId="12651"/>
    <cellStyle name="_simple chart 050321 (128MMSSU)_CA Masterflow June 15a_Wrigley - 05 budget&amp;calendar LE 050824 (25F)_Wrigley - 06 simple chart Sep 14_Category Template AC'11 @Cst Fx 52W vs 53W 2" xfId="12652"/>
    <cellStyle name="_simple chart 050321 (128MMSSU)_CA Masterflow June 15a_Wrigley - 05 budget&amp;calendar LE 050824 (25F)_Wrigley - 06 simple chart Sep 14_Category Template AC'11 @Cst Fx 52W vs 53W_P&amp;L KFE" xfId="12653"/>
    <cellStyle name="_simple chart 050321 (128MMSSU)_CA Masterflow June 15a_Wrigley - 05 budget&amp;calendar LE 050824 (25F)_Wrigley - 06 simple chart Sep 14_Category Template AC'11 @Cst Fx 52W vs 53W_Sheet3" xfId="12654"/>
    <cellStyle name="_simple chart 050321 (128MMSSU)_CA Masterflow June 15a_Wrigley - 05 budget&amp;calendar LE 050824 (25F)_Wrigley - 06 simple chart Sep 14_P&amp;L KFE" xfId="12655"/>
    <cellStyle name="_simple chart 050321 (128MMSSU)_CA Masterflow June 15a_Wrigley - 05 budget&amp;calendar LE 050824 (25F)_Wrigley - 06 simple chart Sep 14_Sheet3" xfId="12656"/>
    <cellStyle name="_simple chart 050321 (128MMSSU)_CA Masterflow June 15a_Wrigley - 05 budget&amp;calendar LE 050824 (25I)" xfId="12657"/>
    <cellStyle name="_simple chart 050321 (128MMSSU)_CA Masterflow June 15a_Wrigley - 05 budget&amp;calendar LE 050824 (25I) 2" xfId="12658"/>
    <cellStyle name="_simple chart 050321 (128MMSSU)_CA Masterflow June 15a_Wrigley - 05 budget&amp;calendar LE 050824 (25I)_Category Template AC'11 @Cst Fx 52W vs 53W" xfId="12659"/>
    <cellStyle name="_simple chart 050321 (128MMSSU)_CA Masterflow June 15a_Wrigley - 05 budget&amp;calendar LE 050824 (25I)_Category Template AC'11 @Cst Fx 52W vs 53W 2" xfId="12660"/>
    <cellStyle name="_simple chart 050321 (128MMSSU)_CA Masterflow June 15a_Wrigley - 05 budget&amp;calendar LE 050824 (25I)_Category Template AC'11 @Cst Fx 52W vs 53W_P&amp;L KFE" xfId="12661"/>
    <cellStyle name="_simple chart 050321 (128MMSSU)_CA Masterflow June 15a_Wrigley - 05 budget&amp;calendar LE 050824 (25I)_Category Template AC'11 @Cst Fx 52W vs 53W_Sheet3" xfId="12662"/>
    <cellStyle name="_simple chart 050321 (128MMSSU)_CA Masterflow June 15a_Wrigley - 05 budget&amp;calendar LE 050824 (25I)_P&amp;L KFE" xfId="12663"/>
    <cellStyle name="_simple chart 050321 (128MMSSU)_CA Masterflow June 15a_Wrigley - 05 budget&amp;calendar LE 050824 (25I)_Sheet3" xfId="12664"/>
    <cellStyle name="_simple chart 050321 (128MMSSU)_CA Masterflow June 15a_Wrigley - 05 budget&amp;calendar LE 050824 (25I)_Wrigley - 06 simple chart Sep 14" xfId="12665"/>
    <cellStyle name="_simple chart 050321 (128MMSSU)_CA Masterflow June 15a_Wrigley - 05 budget&amp;calendar LE 050824 (25I)_Wrigley - 06 simple chart Sep 14 2" xfId="12666"/>
    <cellStyle name="_simple chart 050321 (128MMSSU)_CA Masterflow June 15a_Wrigley - 05 budget&amp;calendar LE 050824 (25I)_Wrigley - 06 simple chart Sep 14_Category Template AC'11 @Cst Fx 52W vs 53W" xfId="12667"/>
    <cellStyle name="_simple chart 050321 (128MMSSU)_CA Masterflow June 15a_Wrigley - 05 budget&amp;calendar LE 050824 (25I)_Wrigley - 06 simple chart Sep 14_Category Template AC'11 @Cst Fx 52W vs 53W 2" xfId="12668"/>
    <cellStyle name="_simple chart 050321 (128MMSSU)_CA Masterflow June 15a_Wrigley - 05 budget&amp;calendar LE 050824 (25I)_Wrigley - 06 simple chart Sep 14_Category Template AC'11 @Cst Fx 52W vs 53W_P&amp;L KFE" xfId="12669"/>
    <cellStyle name="_simple chart 050321 (128MMSSU)_CA Masterflow June 15a_Wrigley - 05 budget&amp;calendar LE 050824 (25I)_Wrigley - 06 simple chart Sep 14_Category Template AC'11 @Cst Fx 52W vs 53W_Sheet3" xfId="12670"/>
    <cellStyle name="_simple chart 050321 (128MMSSU)_CA Masterflow June 15a_Wrigley - 05 budget&amp;calendar LE 050824 (25I)_Wrigley - 06 simple chart Sep 14_P&amp;L KFE" xfId="12671"/>
    <cellStyle name="_simple chart 050321 (128MMSSU)_CA Masterflow June 15a_Wrigley - 05 budget&amp;calendar LE 050824 (25I)_Wrigley - 06 simple chart Sep 14_Sheet3" xfId="12672"/>
    <cellStyle name="_simple chart 050321 (128MMSSU)_CA Masterflow June 15a_Wrigley - 06 simple chart Sep 14" xfId="12673"/>
    <cellStyle name="_simple chart 050321 (128MMSSU)_CA Masterflow June 15a_Wrigley - 06 simple chart Sep 14 2" xfId="12674"/>
    <cellStyle name="_simple chart 050321 (128MMSSU)_CA Masterflow June 15a_Wrigley - 06 simple chart Sep 14_Category Template AC'11 @Cst Fx 52W vs 53W" xfId="12675"/>
    <cellStyle name="_simple chart 050321 (128MMSSU)_CA Masterflow June 15a_Wrigley - 06 simple chart Sep 14_Category Template AC'11 @Cst Fx 52W vs 53W 2" xfId="12676"/>
    <cellStyle name="_simple chart 050321 (128MMSSU)_CA Masterflow June 15a_Wrigley - 06 simple chart Sep 14_Category Template AC'11 @Cst Fx 52W vs 53W_P&amp;L KFE" xfId="12677"/>
    <cellStyle name="_simple chart 050321 (128MMSSU)_CA Masterflow June 15a_Wrigley - 06 simple chart Sep 14_Category Template AC'11 @Cst Fx 52W vs 53W_Sheet3" xfId="12678"/>
    <cellStyle name="_simple chart 050321 (128MMSSU)_CA Masterflow June 15a_Wrigley - 06 simple chart Sep 14_P&amp;L KFE" xfId="12679"/>
    <cellStyle name="_simple chart 050321 (128MMSSU)_CA Masterflow June 15a_Wrigley - 06 simple chart Sep 14_Sheet3" xfId="12680"/>
    <cellStyle name="_simple chart 050321 (128MMSSU)_Category Template AC'11 @Cst Fx 52W vs 53W" xfId="12681"/>
    <cellStyle name="_simple chart 050321 (128MMSSU)_Category Template AC'11 @Cst Fx 52W vs 53W 2" xfId="12682"/>
    <cellStyle name="_simple chart 050321 (128MMSSU)_Category Template AC'11 @Cst Fx 52W vs 53W_P&amp;L KFE" xfId="12683"/>
    <cellStyle name="_simple chart 050321 (128MMSSU)_Category Template AC'11 @Cst Fx 52W vs 53W_Sheet3" xfId="12684"/>
    <cellStyle name="_simple chart 050321 (128MMSSU)_CG Masterflow June 15a" xfId="12685"/>
    <cellStyle name="_simple chart 050321 (128MMSSU)_CG Masterflow June 15a 2" xfId="12686"/>
    <cellStyle name="_simple chart 050321 (128MMSSU)_CG Masterflow June 15a_Book5" xfId="12687"/>
    <cellStyle name="_simple chart 050321 (128MMSSU)_CG Masterflow June 15a_Book5 2" xfId="12688"/>
    <cellStyle name="_simple chart 050321 (128MMSSU)_CG Masterflow June 15a_Book5_Category Template AC'11 @Cst Fx 52W vs 53W" xfId="12689"/>
    <cellStyle name="_simple chart 050321 (128MMSSU)_CG Masterflow June 15a_Book5_Category Template AC'11 @Cst Fx 52W vs 53W 2" xfId="12690"/>
    <cellStyle name="_simple chart 050321 (128MMSSU)_CG Masterflow June 15a_Book5_Category Template AC'11 @Cst Fx 52W vs 53W_P&amp;L KFE" xfId="12691"/>
    <cellStyle name="_simple chart 050321 (128MMSSU)_CG Masterflow June 15a_Book5_Category Template AC'11 @Cst Fx 52W vs 53W_Sheet3" xfId="12692"/>
    <cellStyle name="_simple chart 050321 (128MMSSU)_CG Masterflow June 15a_Book5_P&amp;L KFE" xfId="12693"/>
    <cellStyle name="_simple chart 050321 (128MMSSU)_CG Masterflow June 15a_Book5_Sheet3" xfId="12694"/>
    <cellStyle name="_simple chart 050321 (128MMSSU)_CG Masterflow June 15a_Category Template AC'11 @Cst Fx 52W vs 53W" xfId="12695"/>
    <cellStyle name="_simple chart 050321 (128MMSSU)_CG Masterflow June 15a_Category Template AC'11 @Cst Fx 52W vs 53W 2" xfId="12696"/>
    <cellStyle name="_simple chart 050321 (128MMSSU)_CG Masterflow June 15a_Category Template AC'11 @Cst Fx 52W vs 53W_P&amp;L KFE" xfId="12697"/>
    <cellStyle name="_simple chart 050321 (128MMSSU)_CG Masterflow June 15a_Category Template AC'11 @Cst Fx 52W vs 53W_Sheet3" xfId="12698"/>
    <cellStyle name="_simple chart 050321 (128MMSSU)_CG Masterflow June 15a_P&amp;L KFE" xfId="12699"/>
    <cellStyle name="_simple chart 050321 (128MMSSU)_CG Masterflow June 15a_Sheet3" xfId="12700"/>
    <cellStyle name="_simple chart 050321 (128MMSSU)_CG Masterflow June 15a_Wrigley - 05 budget&amp;calendar LE 050728 (25I)" xfId="12701"/>
    <cellStyle name="_simple chart 050321 (128MMSSU)_CG Masterflow June 15a_Wrigley - 05 budget&amp;calendar LE 050728 (25I) 2" xfId="12702"/>
    <cellStyle name="_simple chart 050321 (128MMSSU)_CG Masterflow June 15a_Wrigley - 05 budget&amp;calendar LE 050728 (25I)_Category Template AC'11 @Cst Fx 52W vs 53W" xfId="12703"/>
    <cellStyle name="_simple chart 050321 (128MMSSU)_CG Masterflow June 15a_Wrigley - 05 budget&amp;calendar LE 050728 (25I)_Category Template AC'11 @Cst Fx 52W vs 53W 2" xfId="12704"/>
    <cellStyle name="_simple chart 050321 (128MMSSU)_CG Masterflow June 15a_Wrigley - 05 budget&amp;calendar LE 050728 (25I)_Category Template AC'11 @Cst Fx 52W vs 53W_P&amp;L KFE" xfId="12705"/>
    <cellStyle name="_simple chart 050321 (128MMSSU)_CG Masterflow June 15a_Wrigley - 05 budget&amp;calendar LE 050728 (25I)_Category Template AC'11 @Cst Fx 52W vs 53W_Sheet3" xfId="12706"/>
    <cellStyle name="_simple chart 050321 (128MMSSU)_CG Masterflow June 15a_Wrigley - 05 budget&amp;calendar LE 050728 (25I)_P&amp;L KFE" xfId="12707"/>
    <cellStyle name="_simple chart 050321 (128MMSSU)_CG Masterflow June 15a_Wrigley - 05 budget&amp;calendar LE 050728 (25I)_Sheet3" xfId="12708"/>
    <cellStyle name="_simple chart 050321 (128MMSSU)_CG Masterflow June 15a_Wrigley - 05 budget&amp;calendar LE 050728 (25I)_Wrigley - 06 simple chart Sep 14" xfId="12709"/>
    <cellStyle name="_simple chart 050321 (128MMSSU)_CG Masterflow June 15a_Wrigley - 05 budget&amp;calendar LE 050728 (25I)_Wrigley - 06 simple chart Sep 14 2" xfId="12710"/>
    <cellStyle name="_simple chart 050321 (128MMSSU)_CG Masterflow June 15a_Wrigley - 05 budget&amp;calendar LE 050728 (25I)_Wrigley - 06 simple chart Sep 14_Category Template AC'11 @Cst Fx 52W vs 53W" xfId="12711"/>
    <cellStyle name="_simple chart 050321 (128MMSSU)_CG Masterflow June 15a_Wrigley - 05 budget&amp;calendar LE 050728 (25I)_Wrigley - 06 simple chart Sep 14_Category Template AC'11 @Cst Fx 52W vs 53W 2" xfId="12712"/>
    <cellStyle name="_simple chart 050321 (128MMSSU)_CG Masterflow June 15a_Wrigley - 05 budget&amp;calendar LE 050728 (25I)_Wrigley - 06 simple chart Sep 14_Category Template AC'11 @Cst Fx 52W vs 53W_P&amp;L KFE" xfId="12713"/>
    <cellStyle name="_simple chart 050321 (128MMSSU)_CG Masterflow June 15a_Wrigley - 05 budget&amp;calendar LE 050728 (25I)_Wrigley - 06 simple chart Sep 14_Category Template AC'11 @Cst Fx 52W vs 53W_Sheet3" xfId="12714"/>
    <cellStyle name="_simple chart 050321 (128MMSSU)_CG Masterflow June 15a_Wrigley - 05 budget&amp;calendar LE 050728 (25I)_Wrigley - 06 simple chart Sep 14_P&amp;L KFE" xfId="12715"/>
    <cellStyle name="_simple chart 050321 (128MMSSU)_CG Masterflow June 15a_Wrigley - 05 budget&amp;calendar LE 050728 (25I)_Wrigley - 06 simple chart Sep 14_Sheet3" xfId="12716"/>
    <cellStyle name="_simple chart 050321 (128MMSSU)_CG Masterflow June 15a_Wrigley - 05 budget&amp;calendar LE 050824 (25F)" xfId="12717"/>
    <cellStyle name="_simple chart 050321 (128MMSSU)_CG Masterflow June 15a_Wrigley - 05 budget&amp;calendar LE 050824 (25F) 2" xfId="12718"/>
    <cellStyle name="_simple chart 050321 (128MMSSU)_CG Masterflow June 15a_Wrigley - 05 budget&amp;calendar LE 050824 (25F)_Category Template AC'11 @Cst Fx 52W vs 53W" xfId="12719"/>
    <cellStyle name="_simple chart 050321 (128MMSSU)_CG Masterflow June 15a_Wrigley - 05 budget&amp;calendar LE 050824 (25F)_Category Template AC'11 @Cst Fx 52W vs 53W 2" xfId="12720"/>
    <cellStyle name="_simple chart 050321 (128MMSSU)_CG Masterflow June 15a_Wrigley - 05 budget&amp;calendar LE 050824 (25F)_Category Template AC'11 @Cst Fx 52W vs 53W_P&amp;L KFE" xfId="12721"/>
    <cellStyle name="_simple chart 050321 (128MMSSU)_CG Masterflow June 15a_Wrigley - 05 budget&amp;calendar LE 050824 (25F)_Category Template AC'11 @Cst Fx 52W vs 53W_Sheet3" xfId="12722"/>
    <cellStyle name="_simple chart 050321 (128MMSSU)_CG Masterflow June 15a_Wrigley - 05 budget&amp;calendar LE 050824 (25F)_P&amp;L KFE" xfId="12723"/>
    <cellStyle name="_simple chart 050321 (128MMSSU)_CG Masterflow June 15a_Wrigley - 05 budget&amp;calendar LE 050824 (25F)_Sheet3" xfId="12724"/>
    <cellStyle name="_simple chart 050321 (128MMSSU)_CG Masterflow June 15a_Wrigley - 05 budget&amp;calendar LE 050824 (25F)_Wrigley - 06 simple chart Sep 14" xfId="12725"/>
    <cellStyle name="_simple chart 050321 (128MMSSU)_CG Masterflow June 15a_Wrigley - 05 budget&amp;calendar LE 050824 (25F)_Wrigley - 06 simple chart Sep 14 2" xfId="12726"/>
    <cellStyle name="_simple chart 050321 (128MMSSU)_CG Masterflow June 15a_Wrigley - 05 budget&amp;calendar LE 050824 (25F)_Wrigley - 06 simple chart Sep 14_Category Template AC'11 @Cst Fx 52W vs 53W" xfId="12727"/>
    <cellStyle name="_simple chart 050321 (128MMSSU)_CG Masterflow June 15a_Wrigley - 05 budget&amp;calendar LE 050824 (25F)_Wrigley - 06 simple chart Sep 14_Category Template AC'11 @Cst Fx 52W vs 53W 2" xfId="12728"/>
    <cellStyle name="_simple chart 050321 (128MMSSU)_CG Masterflow June 15a_Wrigley - 05 budget&amp;calendar LE 050824 (25F)_Wrigley - 06 simple chart Sep 14_Category Template AC'11 @Cst Fx 52W vs 53W_P&amp;L KFE" xfId="12729"/>
    <cellStyle name="_simple chart 050321 (128MMSSU)_CG Masterflow June 15a_Wrigley - 05 budget&amp;calendar LE 050824 (25F)_Wrigley - 06 simple chart Sep 14_Category Template AC'11 @Cst Fx 52W vs 53W_Sheet3" xfId="12730"/>
    <cellStyle name="_simple chart 050321 (128MMSSU)_CG Masterflow June 15a_Wrigley - 05 budget&amp;calendar LE 050824 (25F)_Wrigley - 06 simple chart Sep 14_P&amp;L KFE" xfId="12731"/>
    <cellStyle name="_simple chart 050321 (128MMSSU)_CG Masterflow June 15a_Wrigley - 05 budget&amp;calendar LE 050824 (25F)_Wrigley - 06 simple chart Sep 14_Sheet3" xfId="12732"/>
    <cellStyle name="_simple chart 050321 (128MMSSU)_CG Masterflow June 15a_Wrigley - 05 budget&amp;calendar LE 050824 (25I)" xfId="12733"/>
    <cellStyle name="_simple chart 050321 (128MMSSU)_CG Masterflow June 15a_Wrigley - 05 budget&amp;calendar LE 050824 (25I) 2" xfId="12734"/>
    <cellStyle name="_simple chart 050321 (128MMSSU)_CG Masterflow June 15a_Wrigley - 05 budget&amp;calendar LE 050824 (25I)_Category Template AC'11 @Cst Fx 52W vs 53W" xfId="12735"/>
    <cellStyle name="_simple chart 050321 (128MMSSU)_CG Masterflow June 15a_Wrigley - 05 budget&amp;calendar LE 050824 (25I)_Category Template AC'11 @Cst Fx 52W vs 53W 2" xfId="12736"/>
    <cellStyle name="_simple chart 050321 (128MMSSU)_CG Masterflow June 15a_Wrigley - 05 budget&amp;calendar LE 050824 (25I)_Category Template AC'11 @Cst Fx 52W vs 53W_P&amp;L KFE" xfId="12737"/>
    <cellStyle name="_simple chart 050321 (128MMSSU)_CG Masterflow June 15a_Wrigley - 05 budget&amp;calendar LE 050824 (25I)_Category Template AC'11 @Cst Fx 52W vs 53W_Sheet3" xfId="12738"/>
    <cellStyle name="_simple chart 050321 (128MMSSU)_CG Masterflow June 15a_Wrigley - 05 budget&amp;calendar LE 050824 (25I)_P&amp;L KFE" xfId="12739"/>
    <cellStyle name="_simple chart 050321 (128MMSSU)_CG Masterflow June 15a_Wrigley - 05 budget&amp;calendar LE 050824 (25I)_Sheet3" xfId="12740"/>
    <cellStyle name="_simple chart 050321 (128MMSSU)_CG Masterflow June 15a_Wrigley - 05 budget&amp;calendar LE 050824 (25I)_Wrigley - 06 simple chart Sep 14" xfId="12741"/>
    <cellStyle name="_simple chart 050321 (128MMSSU)_CG Masterflow June 15a_Wrigley - 05 budget&amp;calendar LE 050824 (25I)_Wrigley - 06 simple chart Sep 14 2" xfId="12742"/>
    <cellStyle name="_simple chart 050321 (128MMSSU)_CG Masterflow June 15a_Wrigley - 05 budget&amp;calendar LE 050824 (25I)_Wrigley - 06 simple chart Sep 14_Category Template AC'11 @Cst Fx 52W vs 53W" xfId="12743"/>
    <cellStyle name="_simple chart 050321 (128MMSSU)_CG Masterflow June 15a_Wrigley - 05 budget&amp;calendar LE 050824 (25I)_Wrigley - 06 simple chart Sep 14_Category Template AC'11 @Cst Fx 52W vs 53W 2" xfId="12744"/>
    <cellStyle name="_simple chart 050321 (128MMSSU)_CG Masterflow June 15a_Wrigley - 05 budget&amp;calendar LE 050824 (25I)_Wrigley - 06 simple chart Sep 14_Category Template AC'11 @Cst Fx 52W vs 53W_P&amp;L KFE" xfId="12745"/>
    <cellStyle name="_simple chart 050321 (128MMSSU)_CG Masterflow June 15a_Wrigley - 05 budget&amp;calendar LE 050824 (25I)_Wrigley - 06 simple chart Sep 14_Category Template AC'11 @Cst Fx 52W vs 53W_Sheet3" xfId="12746"/>
    <cellStyle name="_simple chart 050321 (128MMSSU)_CG Masterflow June 15a_Wrigley - 05 budget&amp;calendar LE 050824 (25I)_Wrigley - 06 simple chart Sep 14_P&amp;L KFE" xfId="12747"/>
    <cellStyle name="_simple chart 050321 (128MMSSU)_CG Masterflow June 15a_Wrigley - 05 budget&amp;calendar LE 050824 (25I)_Wrigley - 06 simple chart Sep 14_Sheet3" xfId="12748"/>
    <cellStyle name="_simple chart 050321 (128MMSSU)_CG Masterflow June 15a_Wrigley - 06 simple chart Sep 14" xfId="12749"/>
    <cellStyle name="_simple chart 050321 (128MMSSU)_CG Masterflow June 15a_Wrigley - 06 simple chart Sep 14 2" xfId="12750"/>
    <cellStyle name="_simple chart 050321 (128MMSSU)_CG Masterflow June 15a_Wrigley - 06 simple chart Sep 14_Category Template AC'11 @Cst Fx 52W vs 53W" xfId="12751"/>
    <cellStyle name="_simple chart 050321 (128MMSSU)_CG Masterflow June 15a_Wrigley - 06 simple chart Sep 14_Category Template AC'11 @Cst Fx 52W vs 53W 2" xfId="12752"/>
    <cellStyle name="_simple chart 050321 (128MMSSU)_CG Masterflow June 15a_Wrigley - 06 simple chart Sep 14_Category Template AC'11 @Cst Fx 52W vs 53W_P&amp;L KFE" xfId="12753"/>
    <cellStyle name="_simple chart 050321 (128MMSSU)_CG Masterflow June 15a_Wrigley - 06 simple chart Sep 14_Category Template AC'11 @Cst Fx 52W vs 53W_Sheet3" xfId="12754"/>
    <cellStyle name="_simple chart 050321 (128MMSSU)_CG Masterflow June 15a_Wrigley - 06 simple chart Sep 14_P&amp;L KFE" xfId="12755"/>
    <cellStyle name="_simple chart 050321 (128MMSSU)_CG Masterflow June 15a_Wrigley - 06 simple chart Sep 14_Sheet3" xfId="12756"/>
    <cellStyle name="_simple chart 050321 (128MMSSU)_Copy of DM Masterflow - Jun 15a" xfId="12757"/>
    <cellStyle name="_simple chart 050321 (128MMSSU)_Copy of DM Masterflow - Jun 15a 2" xfId="12758"/>
    <cellStyle name="_simple chart 050321 (128MMSSU)_Copy of DM Masterflow - Jun 15a_Book5" xfId="12759"/>
    <cellStyle name="_simple chart 050321 (128MMSSU)_Copy of DM Masterflow - Jun 15a_Book5 2" xfId="12760"/>
    <cellStyle name="_simple chart 050321 (128MMSSU)_Copy of DM Masterflow - Jun 15a_Book5_Category Template AC'11 @Cst Fx 52W vs 53W" xfId="12761"/>
    <cellStyle name="_simple chart 050321 (128MMSSU)_Copy of DM Masterflow - Jun 15a_Book5_Category Template AC'11 @Cst Fx 52W vs 53W 2" xfId="12762"/>
    <cellStyle name="_simple chart 050321 (128MMSSU)_Copy of DM Masterflow - Jun 15a_Book5_Category Template AC'11 @Cst Fx 52W vs 53W_P&amp;L KFE" xfId="12763"/>
    <cellStyle name="_simple chart 050321 (128MMSSU)_Copy of DM Masterflow - Jun 15a_Book5_Category Template AC'11 @Cst Fx 52W vs 53W_Sheet3" xfId="12764"/>
    <cellStyle name="_simple chart 050321 (128MMSSU)_Copy of DM Masterflow - Jun 15a_Book5_P&amp;L KFE" xfId="12765"/>
    <cellStyle name="_simple chart 050321 (128MMSSU)_Copy of DM Masterflow - Jun 15a_Book5_Sheet3" xfId="12766"/>
    <cellStyle name="_simple chart 050321 (128MMSSU)_Copy of DM Masterflow - Jun 15a_Category Template AC'11 @Cst Fx 52W vs 53W" xfId="12767"/>
    <cellStyle name="_simple chart 050321 (128MMSSU)_Copy of DM Masterflow - Jun 15a_Category Template AC'11 @Cst Fx 52W vs 53W 2" xfId="12768"/>
    <cellStyle name="_simple chart 050321 (128MMSSU)_Copy of DM Masterflow - Jun 15a_Category Template AC'11 @Cst Fx 52W vs 53W_P&amp;L KFE" xfId="12769"/>
    <cellStyle name="_simple chart 050321 (128MMSSU)_Copy of DM Masterflow - Jun 15a_Category Template AC'11 @Cst Fx 52W vs 53W_Sheet3" xfId="12770"/>
    <cellStyle name="_simple chart 050321 (128MMSSU)_Copy of DM Masterflow - Jun 15a_P&amp;L KFE" xfId="12771"/>
    <cellStyle name="_simple chart 050321 (128MMSSU)_Copy of DM Masterflow - Jun 15a_Sheet3" xfId="12772"/>
    <cellStyle name="_simple chart 050321 (128MMSSU)_Copy of DM Masterflow - Jun 15a_Wrigley - 05 budget&amp;calendar LE 050728 (25I)" xfId="12773"/>
    <cellStyle name="_simple chart 050321 (128MMSSU)_Copy of DM Masterflow - Jun 15a_Wrigley - 05 budget&amp;calendar LE 050728 (25I) 2" xfId="12774"/>
    <cellStyle name="_simple chart 050321 (128MMSSU)_Copy of DM Masterflow - Jun 15a_Wrigley - 05 budget&amp;calendar LE 050728 (25I)_Category Template AC'11 @Cst Fx 52W vs 53W" xfId="12775"/>
    <cellStyle name="_simple chart 050321 (128MMSSU)_Copy of DM Masterflow - Jun 15a_Wrigley - 05 budget&amp;calendar LE 050728 (25I)_Category Template AC'11 @Cst Fx 52W vs 53W 2" xfId="12776"/>
    <cellStyle name="_simple chart 050321 (128MMSSU)_Copy of DM Masterflow - Jun 15a_Wrigley - 05 budget&amp;calendar LE 050728 (25I)_Category Template AC'11 @Cst Fx 52W vs 53W_P&amp;L KFE" xfId="12777"/>
    <cellStyle name="_simple chart 050321 (128MMSSU)_Copy of DM Masterflow - Jun 15a_Wrigley - 05 budget&amp;calendar LE 050728 (25I)_Category Template AC'11 @Cst Fx 52W vs 53W_Sheet3" xfId="12778"/>
    <cellStyle name="_simple chart 050321 (128MMSSU)_Copy of DM Masterflow - Jun 15a_Wrigley - 05 budget&amp;calendar LE 050728 (25I)_P&amp;L KFE" xfId="12779"/>
    <cellStyle name="_simple chart 050321 (128MMSSU)_Copy of DM Masterflow - Jun 15a_Wrigley - 05 budget&amp;calendar LE 050728 (25I)_Sheet3" xfId="12780"/>
    <cellStyle name="_simple chart 050321 (128MMSSU)_Copy of DM Masterflow - Jun 15a_Wrigley - 05 budget&amp;calendar LE 050728 (25I)_Wrigley - 06 simple chart Sep 14" xfId="12781"/>
    <cellStyle name="_simple chart 050321 (128MMSSU)_Copy of DM Masterflow - Jun 15a_Wrigley - 05 budget&amp;calendar LE 050728 (25I)_Wrigley - 06 simple chart Sep 14 2" xfId="12782"/>
    <cellStyle name="_simple chart 050321 (128MMSSU)_Copy of DM Masterflow - Jun 15a_Wrigley - 05 budget&amp;calendar LE 050728 (25I)_Wrigley - 06 simple chart Sep 14_Category Template AC'11 @Cst Fx 52W vs 53W" xfId="12783"/>
    <cellStyle name="_simple chart 050321 (128MMSSU)_Copy of DM Masterflow - Jun 15a_Wrigley - 05 budget&amp;calendar LE 050728 (25I)_Wrigley - 06 simple chart Sep 14_Category Template AC'11 @Cst Fx 52W vs 53W 2" xfId="12784"/>
    <cellStyle name="_simple chart 050321 (128MMSSU)_Copy of DM Masterflow - Jun 15a_Wrigley - 05 budget&amp;calendar LE 050728 (25I)_Wrigley - 06 simple chart Sep 14_Category Template AC'11 @Cst Fx 52W vs 53W_P&amp;L KFE" xfId="12785"/>
    <cellStyle name="_simple chart 050321 (128MMSSU)_Copy of DM Masterflow - Jun 15a_Wrigley - 05 budget&amp;calendar LE 050728 (25I)_Wrigley - 06 simple chart Sep 14_Category Template AC'11 @Cst Fx 52W vs 53W_Sheet3" xfId="12786"/>
    <cellStyle name="_simple chart 050321 (128MMSSU)_Copy of DM Masterflow - Jun 15a_Wrigley - 05 budget&amp;calendar LE 050728 (25I)_Wrigley - 06 simple chart Sep 14_P&amp;L KFE" xfId="12787"/>
    <cellStyle name="_simple chart 050321 (128MMSSU)_Copy of DM Masterflow - Jun 15a_Wrigley - 05 budget&amp;calendar LE 050728 (25I)_Wrigley - 06 simple chart Sep 14_Sheet3" xfId="12788"/>
    <cellStyle name="_simple chart 050321 (128MMSSU)_Copy of DM Masterflow - Jun 15a_Wrigley - 05 budget&amp;calendar LE 050824 (25F)" xfId="12789"/>
    <cellStyle name="_simple chart 050321 (128MMSSU)_Copy of DM Masterflow - Jun 15a_Wrigley - 05 budget&amp;calendar LE 050824 (25F) 2" xfId="12790"/>
    <cellStyle name="_simple chart 050321 (128MMSSU)_Copy of DM Masterflow - Jun 15a_Wrigley - 05 budget&amp;calendar LE 050824 (25F)_Category Template AC'11 @Cst Fx 52W vs 53W" xfId="12791"/>
    <cellStyle name="_simple chart 050321 (128MMSSU)_Copy of DM Masterflow - Jun 15a_Wrigley - 05 budget&amp;calendar LE 050824 (25F)_Category Template AC'11 @Cst Fx 52W vs 53W 2" xfId="12792"/>
    <cellStyle name="_simple chart 050321 (128MMSSU)_Copy of DM Masterflow - Jun 15a_Wrigley - 05 budget&amp;calendar LE 050824 (25F)_Category Template AC'11 @Cst Fx 52W vs 53W_P&amp;L KFE" xfId="12793"/>
    <cellStyle name="_simple chart 050321 (128MMSSU)_Copy of DM Masterflow - Jun 15a_Wrigley - 05 budget&amp;calendar LE 050824 (25F)_Category Template AC'11 @Cst Fx 52W vs 53W_Sheet3" xfId="12794"/>
    <cellStyle name="_simple chart 050321 (128MMSSU)_Copy of DM Masterflow - Jun 15a_Wrigley - 05 budget&amp;calendar LE 050824 (25F)_P&amp;L KFE" xfId="12795"/>
    <cellStyle name="_simple chart 050321 (128MMSSU)_Copy of DM Masterflow - Jun 15a_Wrigley - 05 budget&amp;calendar LE 050824 (25F)_Sheet3" xfId="12796"/>
    <cellStyle name="_simple chart 050321 (128MMSSU)_Copy of DM Masterflow - Jun 15a_Wrigley - 05 budget&amp;calendar LE 050824 (25F)_Wrigley - 06 simple chart Sep 14" xfId="12797"/>
    <cellStyle name="_simple chart 050321 (128MMSSU)_Copy of DM Masterflow - Jun 15a_Wrigley - 05 budget&amp;calendar LE 050824 (25F)_Wrigley - 06 simple chart Sep 14 2" xfId="12798"/>
    <cellStyle name="_simple chart 050321 (128MMSSU)_Copy of DM Masterflow - Jun 15a_Wrigley - 05 budget&amp;calendar LE 050824 (25F)_Wrigley - 06 simple chart Sep 14_Category Template AC'11 @Cst Fx 52W vs 53W" xfId="12799"/>
    <cellStyle name="_simple chart 050321 (128MMSSU)_Copy of DM Masterflow - Jun 15a_Wrigley - 05 budget&amp;calendar LE 050824 (25F)_Wrigley - 06 simple chart Sep 14_Category Template AC'11 @Cst Fx 52W vs 53W 2" xfId="12800"/>
    <cellStyle name="_simple chart 050321 (128MMSSU)_Copy of DM Masterflow - Jun 15a_Wrigley - 05 budget&amp;calendar LE 050824 (25F)_Wrigley - 06 simple chart Sep 14_Category Template AC'11 @Cst Fx 52W vs 53W_P&amp;L KFE" xfId="12801"/>
    <cellStyle name="_simple chart 050321 (128MMSSU)_Copy of DM Masterflow - Jun 15a_Wrigley - 05 budget&amp;calendar LE 050824 (25F)_Wrigley - 06 simple chart Sep 14_Category Template AC'11 @Cst Fx 52W vs 53W_Sheet3" xfId="12802"/>
    <cellStyle name="_simple chart 050321 (128MMSSU)_Copy of DM Masterflow - Jun 15a_Wrigley - 05 budget&amp;calendar LE 050824 (25F)_Wrigley - 06 simple chart Sep 14_P&amp;L KFE" xfId="12803"/>
    <cellStyle name="_simple chart 050321 (128MMSSU)_Copy of DM Masterflow - Jun 15a_Wrigley - 05 budget&amp;calendar LE 050824 (25F)_Wrigley - 06 simple chart Sep 14_Sheet3" xfId="12804"/>
    <cellStyle name="_simple chart 050321 (128MMSSU)_Copy of DM Masterflow - Jun 15a_Wrigley - 05 budget&amp;calendar LE 050824 (25I)" xfId="12805"/>
    <cellStyle name="_simple chart 050321 (128MMSSU)_Copy of DM Masterflow - Jun 15a_Wrigley - 05 budget&amp;calendar LE 050824 (25I) 2" xfId="12806"/>
    <cellStyle name="_simple chart 050321 (128MMSSU)_Copy of DM Masterflow - Jun 15a_Wrigley - 05 budget&amp;calendar LE 050824 (25I)_Category Template AC'11 @Cst Fx 52W vs 53W" xfId="12807"/>
    <cellStyle name="_simple chart 050321 (128MMSSU)_Copy of DM Masterflow - Jun 15a_Wrigley - 05 budget&amp;calendar LE 050824 (25I)_Category Template AC'11 @Cst Fx 52W vs 53W 2" xfId="12808"/>
    <cellStyle name="_simple chart 050321 (128MMSSU)_Copy of DM Masterflow - Jun 15a_Wrigley - 05 budget&amp;calendar LE 050824 (25I)_Category Template AC'11 @Cst Fx 52W vs 53W_P&amp;L KFE" xfId="12809"/>
    <cellStyle name="_simple chart 050321 (128MMSSU)_Copy of DM Masterflow - Jun 15a_Wrigley - 05 budget&amp;calendar LE 050824 (25I)_Category Template AC'11 @Cst Fx 52W vs 53W_Sheet3" xfId="12810"/>
    <cellStyle name="_simple chart 050321 (128MMSSU)_Copy of DM Masterflow - Jun 15a_Wrigley - 05 budget&amp;calendar LE 050824 (25I)_P&amp;L KFE" xfId="12811"/>
    <cellStyle name="_simple chart 050321 (128MMSSU)_Copy of DM Masterflow - Jun 15a_Wrigley - 05 budget&amp;calendar LE 050824 (25I)_Sheet3" xfId="12812"/>
    <cellStyle name="_simple chart 050321 (128MMSSU)_Copy of DM Masterflow - Jun 15a_Wrigley - 05 budget&amp;calendar LE 050824 (25I)_Wrigley - 06 simple chart Sep 14" xfId="12813"/>
    <cellStyle name="_simple chart 050321 (128MMSSU)_Copy of DM Masterflow - Jun 15a_Wrigley - 05 budget&amp;calendar LE 050824 (25I)_Wrigley - 06 simple chart Sep 14 2" xfId="12814"/>
    <cellStyle name="_simple chart 050321 (128MMSSU)_Copy of DM Masterflow - Jun 15a_Wrigley - 05 budget&amp;calendar LE 050824 (25I)_Wrigley - 06 simple chart Sep 14_Category Template AC'11 @Cst Fx 52W vs 53W" xfId="12815"/>
    <cellStyle name="_simple chart 050321 (128MMSSU)_Copy of DM Masterflow - Jun 15a_Wrigley - 05 budget&amp;calendar LE 050824 (25I)_Wrigley - 06 simple chart Sep 14_Category Template AC'11 @Cst Fx 52W vs 53W 2" xfId="12816"/>
    <cellStyle name="_simple chart 050321 (128MMSSU)_Copy of DM Masterflow - Jun 15a_Wrigley - 05 budget&amp;calendar LE 050824 (25I)_Wrigley - 06 simple chart Sep 14_Category Template AC'11 @Cst Fx 52W vs 53W_P&amp;L KFE" xfId="12817"/>
    <cellStyle name="_simple chart 050321 (128MMSSU)_Copy of DM Masterflow - Jun 15a_Wrigley - 05 budget&amp;calendar LE 050824 (25I)_Wrigley - 06 simple chart Sep 14_Category Template AC'11 @Cst Fx 52W vs 53W_Sheet3" xfId="12818"/>
    <cellStyle name="_simple chart 050321 (128MMSSU)_Copy of DM Masterflow - Jun 15a_Wrigley - 05 budget&amp;calendar LE 050824 (25I)_Wrigley - 06 simple chart Sep 14_P&amp;L KFE" xfId="12819"/>
    <cellStyle name="_simple chart 050321 (128MMSSU)_Copy of DM Masterflow - Jun 15a_Wrigley - 05 budget&amp;calendar LE 050824 (25I)_Wrigley - 06 simple chart Sep 14_Sheet3" xfId="12820"/>
    <cellStyle name="_simple chart 050321 (128MMSSU)_Copy of DM Masterflow - Jun 15a_Wrigley - 06 simple chart Sep 14" xfId="12821"/>
    <cellStyle name="_simple chart 050321 (128MMSSU)_Copy of DM Masterflow - Jun 15a_Wrigley - 06 simple chart Sep 14 2" xfId="12822"/>
    <cellStyle name="_simple chart 050321 (128MMSSU)_Copy of DM Masterflow - Jun 15a_Wrigley - 06 simple chart Sep 14_Category Template AC'11 @Cst Fx 52W vs 53W" xfId="12823"/>
    <cellStyle name="_simple chart 050321 (128MMSSU)_Copy of DM Masterflow - Jun 15a_Wrigley - 06 simple chart Sep 14_Category Template AC'11 @Cst Fx 52W vs 53W 2" xfId="12824"/>
    <cellStyle name="_simple chart 050321 (128MMSSU)_Copy of DM Masterflow - Jun 15a_Wrigley - 06 simple chart Sep 14_Category Template AC'11 @Cst Fx 52W vs 53W_P&amp;L KFE" xfId="12825"/>
    <cellStyle name="_simple chart 050321 (128MMSSU)_Copy of DM Masterflow - Jun 15a_Wrigley - 06 simple chart Sep 14_Category Template AC'11 @Cst Fx 52W vs 53W_Sheet3" xfId="12826"/>
    <cellStyle name="_simple chart 050321 (128MMSSU)_Copy of DM Masterflow - Jun 15a_Wrigley - 06 simple chart Sep 14_P&amp;L KFE" xfId="12827"/>
    <cellStyle name="_simple chart 050321 (128MMSSU)_Copy of DM Masterflow - Jun 15a_Wrigley - 06 simple chart Sep 14_Sheet3" xfId="12828"/>
    <cellStyle name="_simple chart 050321 (128MMSSU)_Copy of TR Masterflow June 15-a" xfId="12829"/>
    <cellStyle name="_simple chart 050321 (128MMSSU)_Copy of TR Masterflow June 15-a 2" xfId="12830"/>
    <cellStyle name="_simple chart 050321 (128MMSSU)_Copy of TR Masterflow June 15-a_Book5" xfId="12831"/>
    <cellStyle name="_simple chart 050321 (128MMSSU)_Copy of TR Masterflow June 15-a_Book5 2" xfId="12832"/>
    <cellStyle name="_simple chart 050321 (128MMSSU)_Copy of TR Masterflow June 15-a_Book5_Category Template AC'11 @Cst Fx 52W vs 53W" xfId="12833"/>
    <cellStyle name="_simple chart 050321 (128MMSSU)_Copy of TR Masterflow June 15-a_Book5_Category Template AC'11 @Cst Fx 52W vs 53W 2" xfId="12834"/>
    <cellStyle name="_simple chart 050321 (128MMSSU)_Copy of TR Masterflow June 15-a_Book5_Category Template AC'11 @Cst Fx 52W vs 53W_P&amp;L KFE" xfId="12835"/>
    <cellStyle name="_simple chart 050321 (128MMSSU)_Copy of TR Masterflow June 15-a_Book5_Category Template AC'11 @Cst Fx 52W vs 53W_Sheet3" xfId="12836"/>
    <cellStyle name="_simple chart 050321 (128MMSSU)_Copy of TR Masterflow June 15-a_Book5_P&amp;L KFE" xfId="12837"/>
    <cellStyle name="_simple chart 050321 (128MMSSU)_Copy of TR Masterflow June 15-a_Book5_Sheet3" xfId="12838"/>
    <cellStyle name="_simple chart 050321 (128MMSSU)_Copy of TR Masterflow June 15-a_Category Template AC'11 @Cst Fx 52W vs 53W" xfId="12839"/>
    <cellStyle name="_simple chart 050321 (128MMSSU)_Copy of TR Masterflow June 15-a_Category Template AC'11 @Cst Fx 52W vs 53W 2" xfId="12840"/>
    <cellStyle name="_simple chart 050321 (128MMSSU)_Copy of TR Masterflow June 15-a_Category Template AC'11 @Cst Fx 52W vs 53W_P&amp;L KFE" xfId="12841"/>
    <cellStyle name="_simple chart 050321 (128MMSSU)_Copy of TR Masterflow June 15-a_Category Template AC'11 @Cst Fx 52W vs 53W_Sheet3" xfId="12842"/>
    <cellStyle name="_simple chart 050321 (128MMSSU)_Copy of TR Masterflow June 15-a_P&amp;L KFE" xfId="12843"/>
    <cellStyle name="_simple chart 050321 (128MMSSU)_Copy of TR Masterflow June 15-a_Sheet3" xfId="12844"/>
    <cellStyle name="_simple chart 050321 (128MMSSU)_Copy of TR Masterflow June 15-a_Wrigley - 05 budget&amp;calendar LE 050728 (25I)" xfId="12845"/>
    <cellStyle name="_simple chart 050321 (128MMSSU)_Copy of TR Masterflow June 15-a_Wrigley - 05 budget&amp;calendar LE 050728 (25I) 2" xfId="12846"/>
    <cellStyle name="_simple chart 050321 (128MMSSU)_Copy of TR Masterflow June 15-a_Wrigley - 05 budget&amp;calendar LE 050728 (25I)_Category Template AC'11 @Cst Fx 52W vs 53W" xfId="12847"/>
    <cellStyle name="_simple chart 050321 (128MMSSU)_Copy of TR Masterflow June 15-a_Wrigley - 05 budget&amp;calendar LE 050728 (25I)_Category Template AC'11 @Cst Fx 52W vs 53W 2" xfId="12848"/>
    <cellStyle name="_simple chart 050321 (128MMSSU)_Copy of TR Masterflow June 15-a_Wrigley - 05 budget&amp;calendar LE 050728 (25I)_Category Template AC'11 @Cst Fx 52W vs 53W_P&amp;L KFE" xfId="12849"/>
    <cellStyle name="_simple chart 050321 (128MMSSU)_Copy of TR Masterflow June 15-a_Wrigley - 05 budget&amp;calendar LE 050728 (25I)_Category Template AC'11 @Cst Fx 52W vs 53W_Sheet3" xfId="12850"/>
    <cellStyle name="_simple chart 050321 (128MMSSU)_Copy of TR Masterflow June 15-a_Wrigley - 05 budget&amp;calendar LE 050728 (25I)_P&amp;L KFE" xfId="12851"/>
    <cellStyle name="_simple chart 050321 (128MMSSU)_Copy of TR Masterflow June 15-a_Wrigley - 05 budget&amp;calendar LE 050728 (25I)_Sheet3" xfId="12852"/>
    <cellStyle name="_simple chart 050321 (128MMSSU)_Copy of TR Masterflow June 15-a_Wrigley - 05 budget&amp;calendar LE 050728 (25I)_Wrigley - 06 simple chart Sep 14" xfId="12853"/>
    <cellStyle name="_simple chart 050321 (128MMSSU)_Copy of TR Masterflow June 15-a_Wrigley - 05 budget&amp;calendar LE 050728 (25I)_Wrigley - 06 simple chart Sep 14 2" xfId="12854"/>
    <cellStyle name="_simple chart 050321 (128MMSSU)_Copy of TR Masterflow June 15-a_Wrigley - 05 budget&amp;calendar LE 050728 (25I)_Wrigley - 06 simple chart Sep 14_Category Template AC'11 @Cst Fx 52W vs 53W" xfId="12855"/>
    <cellStyle name="_simple chart 050321 (128MMSSU)_Copy of TR Masterflow June 15-a_Wrigley - 05 budget&amp;calendar LE 050728 (25I)_Wrigley - 06 simple chart Sep 14_Category Template AC'11 @Cst Fx 52W vs 53W 2" xfId="12856"/>
    <cellStyle name="_simple chart 050321 (128MMSSU)_Copy of TR Masterflow June 15-a_Wrigley - 05 budget&amp;calendar LE 050728 (25I)_Wrigley - 06 simple chart Sep 14_Category Template AC'11 @Cst Fx 52W vs 53W_P&amp;L KFE" xfId="12857"/>
    <cellStyle name="_simple chart 050321 (128MMSSU)_Copy of TR Masterflow June 15-a_Wrigley - 05 budget&amp;calendar LE 050728 (25I)_Wrigley - 06 simple chart Sep 14_Category Template AC'11 @Cst Fx 52W vs 53W_Sheet3" xfId="12858"/>
    <cellStyle name="_simple chart 050321 (128MMSSU)_Copy of TR Masterflow June 15-a_Wrigley - 05 budget&amp;calendar LE 050728 (25I)_Wrigley - 06 simple chart Sep 14_P&amp;L KFE" xfId="12859"/>
    <cellStyle name="_simple chart 050321 (128MMSSU)_Copy of TR Masterflow June 15-a_Wrigley - 05 budget&amp;calendar LE 050728 (25I)_Wrigley - 06 simple chart Sep 14_Sheet3" xfId="12860"/>
    <cellStyle name="_simple chart 050321 (128MMSSU)_Copy of TR Masterflow June 15-a_Wrigley - 05 budget&amp;calendar LE 050824 (25F)" xfId="12861"/>
    <cellStyle name="_simple chart 050321 (128MMSSU)_Copy of TR Masterflow June 15-a_Wrigley - 05 budget&amp;calendar LE 050824 (25F) 2" xfId="12862"/>
    <cellStyle name="_simple chart 050321 (128MMSSU)_Copy of TR Masterflow June 15-a_Wrigley - 05 budget&amp;calendar LE 050824 (25F)_Category Template AC'11 @Cst Fx 52W vs 53W" xfId="12863"/>
    <cellStyle name="_simple chart 050321 (128MMSSU)_Copy of TR Masterflow June 15-a_Wrigley - 05 budget&amp;calendar LE 050824 (25F)_Category Template AC'11 @Cst Fx 52W vs 53W 2" xfId="12864"/>
    <cellStyle name="_simple chart 050321 (128MMSSU)_Copy of TR Masterflow June 15-a_Wrigley - 05 budget&amp;calendar LE 050824 (25F)_Category Template AC'11 @Cst Fx 52W vs 53W_P&amp;L KFE" xfId="12865"/>
    <cellStyle name="_simple chart 050321 (128MMSSU)_Copy of TR Masterflow June 15-a_Wrigley - 05 budget&amp;calendar LE 050824 (25F)_Category Template AC'11 @Cst Fx 52W vs 53W_Sheet3" xfId="12866"/>
    <cellStyle name="_simple chart 050321 (128MMSSU)_Copy of TR Masterflow June 15-a_Wrigley - 05 budget&amp;calendar LE 050824 (25F)_P&amp;L KFE" xfId="12867"/>
    <cellStyle name="_simple chart 050321 (128MMSSU)_Copy of TR Masterflow June 15-a_Wrigley - 05 budget&amp;calendar LE 050824 (25F)_Sheet3" xfId="12868"/>
    <cellStyle name="_simple chart 050321 (128MMSSU)_Copy of TR Masterflow June 15-a_Wrigley - 05 budget&amp;calendar LE 050824 (25F)_Wrigley - 06 simple chart Sep 14" xfId="12869"/>
    <cellStyle name="_simple chart 050321 (128MMSSU)_Copy of TR Masterflow June 15-a_Wrigley - 05 budget&amp;calendar LE 050824 (25F)_Wrigley - 06 simple chart Sep 14 2" xfId="12870"/>
    <cellStyle name="_simple chart 050321 (128MMSSU)_Copy of TR Masterflow June 15-a_Wrigley - 05 budget&amp;calendar LE 050824 (25F)_Wrigley - 06 simple chart Sep 14_Category Template AC'11 @Cst Fx 52W vs 53W" xfId="12871"/>
    <cellStyle name="_simple chart 050321 (128MMSSU)_Copy of TR Masterflow June 15-a_Wrigley - 05 budget&amp;calendar LE 050824 (25F)_Wrigley - 06 simple chart Sep 14_Category Template AC'11 @Cst Fx 52W vs 53W 2" xfId="12872"/>
    <cellStyle name="_simple chart 050321 (128MMSSU)_Copy of TR Masterflow June 15-a_Wrigley - 05 budget&amp;calendar LE 050824 (25F)_Wrigley - 06 simple chart Sep 14_Category Template AC'11 @Cst Fx 52W vs 53W_P&amp;L KFE" xfId="12873"/>
    <cellStyle name="_simple chart 050321 (128MMSSU)_Copy of TR Masterflow June 15-a_Wrigley - 05 budget&amp;calendar LE 050824 (25F)_Wrigley - 06 simple chart Sep 14_Category Template AC'11 @Cst Fx 52W vs 53W_Sheet3" xfId="12874"/>
    <cellStyle name="_simple chart 050321 (128MMSSU)_Copy of TR Masterflow June 15-a_Wrigley - 05 budget&amp;calendar LE 050824 (25F)_Wrigley - 06 simple chart Sep 14_P&amp;L KFE" xfId="12875"/>
    <cellStyle name="_simple chart 050321 (128MMSSU)_Copy of TR Masterflow June 15-a_Wrigley - 05 budget&amp;calendar LE 050824 (25F)_Wrigley - 06 simple chart Sep 14_Sheet3" xfId="12876"/>
    <cellStyle name="_simple chart 050321 (128MMSSU)_Copy of TR Masterflow June 15-a_Wrigley - 05 budget&amp;calendar LE 050824 (25I)" xfId="12877"/>
    <cellStyle name="_simple chart 050321 (128MMSSU)_Copy of TR Masterflow June 15-a_Wrigley - 05 budget&amp;calendar LE 050824 (25I) 2" xfId="12878"/>
    <cellStyle name="_simple chart 050321 (128MMSSU)_Copy of TR Masterflow June 15-a_Wrigley - 05 budget&amp;calendar LE 050824 (25I)_Category Template AC'11 @Cst Fx 52W vs 53W" xfId="12879"/>
    <cellStyle name="_simple chart 050321 (128MMSSU)_Copy of TR Masterflow June 15-a_Wrigley - 05 budget&amp;calendar LE 050824 (25I)_Category Template AC'11 @Cst Fx 52W vs 53W 2" xfId="12880"/>
    <cellStyle name="_simple chart 050321 (128MMSSU)_Copy of TR Masterflow June 15-a_Wrigley - 05 budget&amp;calendar LE 050824 (25I)_Category Template AC'11 @Cst Fx 52W vs 53W_P&amp;L KFE" xfId="12881"/>
    <cellStyle name="_simple chart 050321 (128MMSSU)_Copy of TR Masterflow June 15-a_Wrigley - 05 budget&amp;calendar LE 050824 (25I)_Category Template AC'11 @Cst Fx 52W vs 53W_Sheet3" xfId="12882"/>
    <cellStyle name="_simple chart 050321 (128MMSSU)_Copy of TR Masterflow June 15-a_Wrigley - 05 budget&amp;calendar LE 050824 (25I)_P&amp;L KFE" xfId="12883"/>
    <cellStyle name="_simple chart 050321 (128MMSSU)_Copy of TR Masterflow June 15-a_Wrigley - 05 budget&amp;calendar LE 050824 (25I)_Sheet3" xfId="12884"/>
    <cellStyle name="_simple chart 050321 (128MMSSU)_Copy of TR Masterflow June 15-a_Wrigley - 05 budget&amp;calendar LE 050824 (25I)_Wrigley - 06 simple chart Sep 14" xfId="12885"/>
    <cellStyle name="_simple chart 050321 (128MMSSU)_Copy of TR Masterflow June 15-a_Wrigley - 05 budget&amp;calendar LE 050824 (25I)_Wrigley - 06 simple chart Sep 14 2" xfId="12886"/>
    <cellStyle name="_simple chart 050321 (128MMSSU)_Copy of TR Masterflow June 15-a_Wrigley - 05 budget&amp;calendar LE 050824 (25I)_Wrigley - 06 simple chart Sep 14_Category Template AC'11 @Cst Fx 52W vs 53W" xfId="12887"/>
    <cellStyle name="_simple chart 050321 (128MMSSU)_Copy of TR Masterflow June 15-a_Wrigley - 05 budget&amp;calendar LE 050824 (25I)_Wrigley - 06 simple chart Sep 14_Category Template AC'11 @Cst Fx 52W vs 53W 2" xfId="12888"/>
    <cellStyle name="_simple chart 050321 (128MMSSU)_Copy of TR Masterflow June 15-a_Wrigley - 05 budget&amp;calendar LE 050824 (25I)_Wrigley - 06 simple chart Sep 14_Category Template AC'11 @Cst Fx 52W vs 53W_P&amp;L KFE" xfId="12889"/>
    <cellStyle name="_simple chart 050321 (128MMSSU)_Copy of TR Masterflow June 15-a_Wrigley - 05 budget&amp;calendar LE 050824 (25I)_Wrigley - 06 simple chart Sep 14_Category Template AC'11 @Cst Fx 52W vs 53W_Sheet3" xfId="12890"/>
    <cellStyle name="_simple chart 050321 (128MMSSU)_Copy of TR Masterflow June 15-a_Wrigley - 05 budget&amp;calendar LE 050824 (25I)_Wrigley - 06 simple chart Sep 14_P&amp;L KFE" xfId="12891"/>
    <cellStyle name="_simple chart 050321 (128MMSSU)_Copy of TR Masterflow June 15-a_Wrigley - 05 budget&amp;calendar LE 050824 (25I)_Wrigley - 06 simple chart Sep 14_Sheet3" xfId="12892"/>
    <cellStyle name="_simple chart 050321 (128MMSSU)_Copy of TR Masterflow June 15-a_Wrigley - 06 simple chart Sep 14" xfId="12893"/>
    <cellStyle name="_simple chart 050321 (128MMSSU)_Copy of TR Masterflow June 15-a_Wrigley - 06 simple chart Sep 14 2" xfId="12894"/>
    <cellStyle name="_simple chart 050321 (128MMSSU)_Copy of TR Masterflow June 15-a_Wrigley - 06 simple chart Sep 14_Category Template AC'11 @Cst Fx 52W vs 53W" xfId="12895"/>
    <cellStyle name="_simple chart 050321 (128MMSSU)_Copy of TR Masterflow June 15-a_Wrigley - 06 simple chart Sep 14_Category Template AC'11 @Cst Fx 52W vs 53W 2" xfId="12896"/>
    <cellStyle name="_simple chart 050321 (128MMSSU)_Copy of TR Masterflow June 15-a_Wrigley - 06 simple chart Sep 14_Category Template AC'11 @Cst Fx 52W vs 53W_P&amp;L KFE" xfId="12897"/>
    <cellStyle name="_simple chart 050321 (128MMSSU)_Copy of TR Masterflow June 15-a_Wrigley - 06 simple chart Sep 14_Category Template AC'11 @Cst Fx 52W vs 53W_Sheet3" xfId="12898"/>
    <cellStyle name="_simple chart 050321 (128MMSSU)_Copy of TR Masterflow June 15-a_Wrigley - 06 simple chart Sep 14_P&amp;L KFE" xfId="12899"/>
    <cellStyle name="_simple chart 050321 (128MMSSU)_Copy of TR Masterflow June 15-a_Wrigley - 06 simple chart Sep 14_Sheet3" xfId="12900"/>
    <cellStyle name="_simple chart 050321 (128MMSSU)_EX Master Flowchart June 15a" xfId="12901"/>
    <cellStyle name="_simple chart 050321 (128MMSSU)_EX Master Flowchart June 15a 2" xfId="12902"/>
    <cellStyle name="_simple chart 050321 (128MMSSU)_EX Master Flowchart June 15a_Book5" xfId="12903"/>
    <cellStyle name="_simple chart 050321 (128MMSSU)_EX Master Flowchart June 15a_Book5 2" xfId="12904"/>
    <cellStyle name="_simple chart 050321 (128MMSSU)_EX Master Flowchart June 15a_Book5_Category Template AC'11 @Cst Fx 52W vs 53W" xfId="12905"/>
    <cellStyle name="_simple chart 050321 (128MMSSU)_EX Master Flowchart June 15a_Book5_Category Template AC'11 @Cst Fx 52W vs 53W 2" xfId="12906"/>
    <cellStyle name="_simple chart 050321 (128MMSSU)_EX Master Flowchart June 15a_Book5_Category Template AC'11 @Cst Fx 52W vs 53W_P&amp;L KFE" xfId="12907"/>
    <cellStyle name="_simple chart 050321 (128MMSSU)_EX Master Flowchart June 15a_Book5_Category Template AC'11 @Cst Fx 52W vs 53W_Sheet3" xfId="12908"/>
    <cellStyle name="_simple chart 050321 (128MMSSU)_EX Master Flowchart June 15a_Book5_P&amp;L KFE" xfId="12909"/>
    <cellStyle name="_simple chart 050321 (128MMSSU)_EX Master Flowchart June 15a_Book5_Sheet3" xfId="12910"/>
    <cellStyle name="_simple chart 050321 (128MMSSU)_EX Master Flowchart June 15a_Category Template AC'11 @Cst Fx 52W vs 53W" xfId="12911"/>
    <cellStyle name="_simple chart 050321 (128MMSSU)_EX Master Flowchart June 15a_Category Template AC'11 @Cst Fx 52W vs 53W 2" xfId="12912"/>
    <cellStyle name="_simple chart 050321 (128MMSSU)_EX Master Flowchart June 15a_Category Template AC'11 @Cst Fx 52W vs 53W_P&amp;L KFE" xfId="12913"/>
    <cellStyle name="_simple chart 050321 (128MMSSU)_EX Master Flowchart June 15a_Category Template AC'11 @Cst Fx 52W vs 53W_Sheet3" xfId="12914"/>
    <cellStyle name="_simple chart 050321 (128MMSSU)_EX Master Flowchart June 15a_P&amp;L KFE" xfId="12915"/>
    <cellStyle name="_simple chart 050321 (128MMSSU)_EX Master Flowchart June 15a_Sheet3" xfId="12916"/>
    <cellStyle name="_simple chart 050321 (128MMSSU)_EX Master Flowchart June 15a_Wrigley - 05 budget&amp;calendar LE 050728 (25I)" xfId="12917"/>
    <cellStyle name="_simple chart 050321 (128MMSSU)_EX Master Flowchart June 15a_Wrigley - 05 budget&amp;calendar LE 050728 (25I) 2" xfId="12918"/>
    <cellStyle name="_simple chart 050321 (128MMSSU)_EX Master Flowchart June 15a_Wrigley - 05 budget&amp;calendar LE 050728 (25I)_Category Template AC'11 @Cst Fx 52W vs 53W" xfId="12919"/>
    <cellStyle name="_simple chart 050321 (128MMSSU)_EX Master Flowchart June 15a_Wrigley - 05 budget&amp;calendar LE 050728 (25I)_Category Template AC'11 @Cst Fx 52W vs 53W 2" xfId="12920"/>
    <cellStyle name="_simple chart 050321 (128MMSSU)_EX Master Flowchart June 15a_Wrigley - 05 budget&amp;calendar LE 050728 (25I)_Category Template AC'11 @Cst Fx 52W vs 53W_P&amp;L KFE" xfId="12921"/>
    <cellStyle name="_simple chart 050321 (128MMSSU)_EX Master Flowchart June 15a_Wrigley - 05 budget&amp;calendar LE 050728 (25I)_Category Template AC'11 @Cst Fx 52W vs 53W_Sheet3" xfId="12922"/>
    <cellStyle name="_simple chart 050321 (128MMSSU)_EX Master Flowchart June 15a_Wrigley - 05 budget&amp;calendar LE 050728 (25I)_P&amp;L KFE" xfId="12923"/>
    <cellStyle name="_simple chart 050321 (128MMSSU)_EX Master Flowchart June 15a_Wrigley - 05 budget&amp;calendar LE 050728 (25I)_Sheet3" xfId="12924"/>
    <cellStyle name="_simple chart 050321 (128MMSSU)_EX Master Flowchart June 15a_Wrigley - 05 budget&amp;calendar LE 050728 (25I)_Wrigley - 06 simple chart Sep 14" xfId="12925"/>
    <cellStyle name="_simple chart 050321 (128MMSSU)_EX Master Flowchart June 15a_Wrigley - 05 budget&amp;calendar LE 050728 (25I)_Wrigley - 06 simple chart Sep 14 2" xfId="12926"/>
    <cellStyle name="_simple chart 050321 (128MMSSU)_EX Master Flowchart June 15a_Wrigley - 05 budget&amp;calendar LE 050728 (25I)_Wrigley - 06 simple chart Sep 14_Category Template AC'11 @Cst Fx 52W vs 53W" xfId="12927"/>
    <cellStyle name="_simple chart 050321 (128MMSSU)_EX Master Flowchart June 15a_Wrigley - 05 budget&amp;calendar LE 050728 (25I)_Wrigley - 06 simple chart Sep 14_Category Template AC'11 @Cst Fx 52W vs 53W 2" xfId="12928"/>
    <cellStyle name="_simple chart 050321 (128MMSSU)_EX Master Flowchart June 15a_Wrigley - 05 budget&amp;calendar LE 050728 (25I)_Wrigley - 06 simple chart Sep 14_Category Template AC'11 @Cst Fx 52W vs 53W_P&amp;L KFE" xfId="12929"/>
    <cellStyle name="_simple chart 050321 (128MMSSU)_EX Master Flowchart June 15a_Wrigley - 05 budget&amp;calendar LE 050728 (25I)_Wrigley - 06 simple chart Sep 14_Category Template AC'11 @Cst Fx 52W vs 53W_Sheet3" xfId="12930"/>
    <cellStyle name="_simple chart 050321 (128MMSSU)_EX Master Flowchart June 15a_Wrigley - 05 budget&amp;calendar LE 050728 (25I)_Wrigley - 06 simple chart Sep 14_P&amp;L KFE" xfId="12931"/>
    <cellStyle name="_simple chart 050321 (128MMSSU)_EX Master Flowchart June 15a_Wrigley - 05 budget&amp;calendar LE 050728 (25I)_Wrigley - 06 simple chart Sep 14_Sheet3" xfId="12932"/>
    <cellStyle name="_simple chart 050321 (128MMSSU)_EX Master Flowchart June 15a_Wrigley - 05 budget&amp;calendar LE 050824 (25F)" xfId="12933"/>
    <cellStyle name="_simple chart 050321 (128MMSSU)_EX Master Flowchart June 15a_Wrigley - 05 budget&amp;calendar LE 050824 (25F) 2" xfId="12934"/>
    <cellStyle name="_simple chart 050321 (128MMSSU)_EX Master Flowchart June 15a_Wrigley - 05 budget&amp;calendar LE 050824 (25F)_Category Template AC'11 @Cst Fx 52W vs 53W" xfId="12935"/>
    <cellStyle name="_simple chart 050321 (128MMSSU)_EX Master Flowchart June 15a_Wrigley - 05 budget&amp;calendar LE 050824 (25F)_Category Template AC'11 @Cst Fx 52W vs 53W 2" xfId="12936"/>
    <cellStyle name="_simple chart 050321 (128MMSSU)_EX Master Flowchart June 15a_Wrigley - 05 budget&amp;calendar LE 050824 (25F)_Category Template AC'11 @Cst Fx 52W vs 53W_P&amp;L KFE" xfId="12937"/>
    <cellStyle name="_simple chart 050321 (128MMSSU)_EX Master Flowchart June 15a_Wrigley - 05 budget&amp;calendar LE 050824 (25F)_Category Template AC'11 @Cst Fx 52W vs 53W_Sheet3" xfId="12938"/>
    <cellStyle name="_simple chart 050321 (128MMSSU)_EX Master Flowchart June 15a_Wrigley - 05 budget&amp;calendar LE 050824 (25F)_P&amp;L KFE" xfId="12939"/>
    <cellStyle name="_simple chart 050321 (128MMSSU)_EX Master Flowchart June 15a_Wrigley - 05 budget&amp;calendar LE 050824 (25F)_Sheet3" xfId="12940"/>
    <cellStyle name="_simple chart 050321 (128MMSSU)_EX Master Flowchart June 15a_Wrigley - 05 budget&amp;calendar LE 050824 (25F)_Wrigley - 06 simple chart Sep 14" xfId="12941"/>
    <cellStyle name="_simple chart 050321 (128MMSSU)_EX Master Flowchart June 15a_Wrigley - 05 budget&amp;calendar LE 050824 (25F)_Wrigley - 06 simple chart Sep 14 2" xfId="12942"/>
    <cellStyle name="_simple chart 050321 (128MMSSU)_EX Master Flowchart June 15a_Wrigley - 05 budget&amp;calendar LE 050824 (25F)_Wrigley - 06 simple chart Sep 14_Category Template AC'11 @Cst Fx 52W vs 53W" xfId="12943"/>
    <cellStyle name="_simple chart 050321 (128MMSSU)_EX Master Flowchart June 15a_Wrigley - 05 budget&amp;calendar LE 050824 (25F)_Wrigley - 06 simple chart Sep 14_Category Template AC'11 @Cst Fx 52W vs 53W 2" xfId="12944"/>
    <cellStyle name="_simple chart 050321 (128MMSSU)_EX Master Flowchart June 15a_Wrigley - 05 budget&amp;calendar LE 050824 (25F)_Wrigley - 06 simple chart Sep 14_Category Template AC'11 @Cst Fx 52W vs 53W_P&amp;L KFE" xfId="12945"/>
    <cellStyle name="_simple chart 050321 (128MMSSU)_EX Master Flowchart June 15a_Wrigley - 05 budget&amp;calendar LE 050824 (25F)_Wrigley - 06 simple chart Sep 14_Category Template AC'11 @Cst Fx 52W vs 53W_Sheet3" xfId="12946"/>
    <cellStyle name="_simple chart 050321 (128MMSSU)_EX Master Flowchart June 15a_Wrigley - 05 budget&amp;calendar LE 050824 (25F)_Wrigley - 06 simple chart Sep 14_P&amp;L KFE" xfId="12947"/>
    <cellStyle name="_simple chart 050321 (128MMSSU)_EX Master Flowchart June 15a_Wrigley - 05 budget&amp;calendar LE 050824 (25F)_Wrigley - 06 simple chart Sep 14_Sheet3" xfId="12948"/>
    <cellStyle name="_simple chart 050321 (128MMSSU)_EX Master Flowchart June 15a_Wrigley - 05 budget&amp;calendar LE 050824 (25I)" xfId="12949"/>
    <cellStyle name="_simple chart 050321 (128MMSSU)_EX Master Flowchart June 15a_Wrigley - 05 budget&amp;calendar LE 050824 (25I) 2" xfId="12950"/>
    <cellStyle name="_simple chart 050321 (128MMSSU)_EX Master Flowchart June 15a_Wrigley - 05 budget&amp;calendar LE 050824 (25I)_Category Template AC'11 @Cst Fx 52W vs 53W" xfId="12951"/>
    <cellStyle name="_simple chart 050321 (128MMSSU)_EX Master Flowchart June 15a_Wrigley - 05 budget&amp;calendar LE 050824 (25I)_Category Template AC'11 @Cst Fx 52W vs 53W 2" xfId="12952"/>
    <cellStyle name="_simple chart 050321 (128MMSSU)_EX Master Flowchart June 15a_Wrigley - 05 budget&amp;calendar LE 050824 (25I)_Category Template AC'11 @Cst Fx 52W vs 53W_P&amp;L KFE" xfId="12953"/>
    <cellStyle name="_simple chart 050321 (128MMSSU)_EX Master Flowchart June 15a_Wrigley - 05 budget&amp;calendar LE 050824 (25I)_Category Template AC'11 @Cst Fx 52W vs 53W_Sheet3" xfId="12954"/>
    <cellStyle name="_simple chart 050321 (128MMSSU)_EX Master Flowchart June 15a_Wrigley - 05 budget&amp;calendar LE 050824 (25I)_P&amp;L KFE" xfId="12955"/>
    <cellStyle name="_simple chart 050321 (128MMSSU)_EX Master Flowchart June 15a_Wrigley - 05 budget&amp;calendar LE 050824 (25I)_Sheet3" xfId="12956"/>
    <cellStyle name="_simple chart 050321 (128MMSSU)_EX Master Flowchart June 15a_Wrigley - 05 budget&amp;calendar LE 050824 (25I)_Wrigley - 06 simple chart Sep 14" xfId="12957"/>
    <cellStyle name="_simple chart 050321 (128MMSSU)_EX Master Flowchart June 15a_Wrigley - 05 budget&amp;calendar LE 050824 (25I)_Wrigley - 06 simple chart Sep 14 2" xfId="12958"/>
    <cellStyle name="_simple chart 050321 (128MMSSU)_EX Master Flowchart June 15a_Wrigley - 05 budget&amp;calendar LE 050824 (25I)_Wrigley - 06 simple chart Sep 14_Category Template AC'11 @Cst Fx 52W vs 53W" xfId="12959"/>
    <cellStyle name="_simple chart 050321 (128MMSSU)_EX Master Flowchart June 15a_Wrigley - 05 budget&amp;calendar LE 050824 (25I)_Wrigley - 06 simple chart Sep 14_Category Template AC'11 @Cst Fx 52W vs 53W 2" xfId="12960"/>
    <cellStyle name="_simple chart 050321 (128MMSSU)_EX Master Flowchart June 15a_Wrigley - 05 budget&amp;calendar LE 050824 (25I)_Wrigley - 06 simple chart Sep 14_Category Template AC'11 @Cst Fx 52W vs 53W_P&amp;L KFE" xfId="12961"/>
    <cellStyle name="_simple chart 050321 (128MMSSU)_EX Master Flowchart June 15a_Wrigley - 05 budget&amp;calendar LE 050824 (25I)_Wrigley - 06 simple chart Sep 14_Category Template AC'11 @Cst Fx 52W vs 53W_Sheet3" xfId="12962"/>
    <cellStyle name="_simple chart 050321 (128MMSSU)_EX Master Flowchart June 15a_Wrigley - 05 budget&amp;calendar LE 050824 (25I)_Wrigley - 06 simple chart Sep 14_P&amp;L KFE" xfId="12963"/>
    <cellStyle name="_simple chart 050321 (128MMSSU)_EX Master Flowchart June 15a_Wrigley - 05 budget&amp;calendar LE 050824 (25I)_Wrigley - 06 simple chart Sep 14_Sheet3" xfId="12964"/>
    <cellStyle name="_simple chart 050321 (128MMSSU)_EX Master Flowchart June 15a_Wrigley - 06 simple chart Sep 14" xfId="12965"/>
    <cellStyle name="_simple chart 050321 (128MMSSU)_EX Master Flowchart June 15a_Wrigley - 06 simple chart Sep 14 2" xfId="12966"/>
    <cellStyle name="_simple chart 050321 (128MMSSU)_EX Master Flowchart June 15a_Wrigley - 06 simple chart Sep 14_Category Template AC'11 @Cst Fx 52W vs 53W" xfId="12967"/>
    <cellStyle name="_simple chart 050321 (128MMSSU)_EX Master Flowchart June 15a_Wrigley - 06 simple chart Sep 14_Category Template AC'11 @Cst Fx 52W vs 53W 2" xfId="12968"/>
    <cellStyle name="_simple chart 050321 (128MMSSU)_EX Master Flowchart June 15a_Wrigley - 06 simple chart Sep 14_Category Template AC'11 @Cst Fx 52W vs 53W_P&amp;L KFE" xfId="12969"/>
    <cellStyle name="_simple chart 050321 (128MMSSU)_EX Master Flowchart June 15a_Wrigley - 06 simple chart Sep 14_Category Template AC'11 @Cst Fx 52W vs 53W_Sheet3" xfId="12970"/>
    <cellStyle name="_simple chart 050321 (128MMSSU)_EX Master Flowchart June 15a_Wrigley - 06 simple chart Sep 14_P&amp;L KFE" xfId="12971"/>
    <cellStyle name="_simple chart 050321 (128MMSSU)_EX Master Flowchart June 15a_Wrigley - 06 simple chart Sep 14_Sheet3" xfId="12972"/>
    <cellStyle name="_simple chart 050321 (128MMSSU)_JF Masterflow June 15a" xfId="12973"/>
    <cellStyle name="_simple chart 050321 (128MMSSU)_JF Masterflow June 15a 2" xfId="12974"/>
    <cellStyle name="_simple chart 050321 (128MMSSU)_JF Masterflow June 15a_Book5" xfId="12975"/>
    <cellStyle name="_simple chart 050321 (128MMSSU)_JF Masterflow June 15a_Book5 2" xfId="12976"/>
    <cellStyle name="_simple chart 050321 (128MMSSU)_JF Masterflow June 15a_Book5_Category Template AC'11 @Cst Fx 52W vs 53W" xfId="12977"/>
    <cellStyle name="_simple chart 050321 (128MMSSU)_JF Masterflow June 15a_Book5_Category Template AC'11 @Cst Fx 52W vs 53W 2" xfId="12978"/>
    <cellStyle name="_simple chart 050321 (128MMSSU)_JF Masterflow June 15a_Book5_Category Template AC'11 @Cst Fx 52W vs 53W_P&amp;L KFE" xfId="12979"/>
    <cellStyle name="_simple chart 050321 (128MMSSU)_JF Masterflow June 15a_Book5_Category Template AC'11 @Cst Fx 52W vs 53W_Sheet3" xfId="12980"/>
    <cellStyle name="_simple chart 050321 (128MMSSU)_JF Masterflow June 15a_Book5_P&amp;L KFE" xfId="12981"/>
    <cellStyle name="_simple chart 050321 (128MMSSU)_JF Masterflow June 15a_Book5_Sheet3" xfId="12982"/>
    <cellStyle name="_simple chart 050321 (128MMSSU)_JF Masterflow June 15a_Category Template AC'11 @Cst Fx 52W vs 53W" xfId="12983"/>
    <cellStyle name="_simple chart 050321 (128MMSSU)_JF Masterflow June 15a_Category Template AC'11 @Cst Fx 52W vs 53W 2" xfId="12984"/>
    <cellStyle name="_simple chart 050321 (128MMSSU)_JF Masterflow June 15a_Category Template AC'11 @Cst Fx 52W vs 53W_P&amp;L KFE" xfId="12985"/>
    <cellStyle name="_simple chart 050321 (128MMSSU)_JF Masterflow June 15a_Category Template AC'11 @Cst Fx 52W vs 53W_Sheet3" xfId="12986"/>
    <cellStyle name="_simple chart 050321 (128MMSSU)_JF Masterflow June 15a_P&amp;L KFE" xfId="12987"/>
    <cellStyle name="_simple chart 050321 (128MMSSU)_JF Masterflow June 15a_Sheet3" xfId="12988"/>
    <cellStyle name="_simple chart 050321 (128MMSSU)_JF Masterflow June 15a_Wrigley - 05 budget&amp;calendar LE 050728 (25I)" xfId="12989"/>
    <cellStyle name="_simple chart 050321 (128MMSSU)_JF Masterflow June 15a_Wrigley - 05 budget&amp;calendar LE 050728 (25I) 2" xfId="12990"/>
    <cellStyle name="_simple chart 050321 (128MMSSU)_JF Masterflow June 15a_Wrigley - 05 budget&amp;calendar LE 050728 (25I)_Category Template AC'11 @Cst Fx 52W vs 53W" xfId="12991"/>
    <cellStyle name="_simple chart 050321 (128MMSSU)_JF Masterflow June 15a_Wrigley - 05 budget&amp;calendar LE 050728 (25I)_Category Template AC'11 @Cst Fx 52W vs 53W 2" xfId="12992"/>
    <cellStyle name="_simple chart 050321 (128MMSSU)_JF Masterflow June 15a_Wrigley - 05 budget&amp;calendar LE 050728 (25I)_Category Template AC'11 @Cst Fx 52W vs 53W_P&amp;L KFE" xfId="12993"/>
    <cellStyle name="_simple chart 050321 (128MMSSU)_JF Masterflow June 15a_Wrigley - 05 budget&amp;calendar LE 050728 (25I)_Category Template AC'11 @Cst Fx 52W vs 53W_Sheet3" xfId="12994"/>
    <cellStyle name="_simple chart 050321 (128MMSSU)_JF Masterflow June 15a_Wrigley - 05 budget&amp;calendar LE 050728 (25I)_P&amp;L KFE" xfId="12995"/>
    <cellStyle name="_simple chart 050321 (128MMSSU)_JF Masterflow June 15a_Wrigley - 05 budget&amp;calendar LE 050728 (25I)_Sheet3" xfId="12996"/>
    <cellStyle name="_simple chart 050321 (128MMSSU)_JF Masterflow June 15a_Wrigley - 05 budget&amp;calendar LE 050728 (25I)_Wrigley - 06 simple chart Sep 14" xfId="12997"/>
    <cellStyle name="_simple chart 050321 (128MMSSU)_JF Masterflow June 15a_Wrigley - 05 budget&amp;calendar LE 050728 (25I)_Wrigley - 06 simple chart Sep 14 2" xfId="12998"/>
    <cellStyle name="_simple chart 050321 (128MMSSU)_JF Masterflow June 15a_Wrigley - 05 budget&amp;calendar LE 050728 (25I)_Wrigley - 06 simple chart Sep 14_Category Template AC'11 @Cst Fx 52W vs 53W" xfId="12999"/>
    <cellStyle name="_simple chart 050321 (128MMSSU)_JF Masterflow June 15a_Wrigley - 05 budget&amp;calendar LE 050728 (25I)_Wrigley - 06 simple chart Sep 14_Category Template AC'11 @Cst Fx 52W vs 53W 2" xfId="13000"/>
    <cellStyle name="_simple chart 050321 (128MMSSU)_JF Masterflow June 15a_Wrigley - 05 budget&amp;calendar LE 050728 (25I)_Wrigley - 06 simple chart Sep 14_Category Template AC'11 @Cst Fx 52W vs 53W_P&amp;L KFE" xfId="13001"/>
    <cellStyle name="_simple chart 050321 (128MMSSU)_JF Masterflow June 15a_Wrigley - 05 budget&amp;calendar LE 050728 (25I)_Wrigley - 06 simple chart Sep 14_Category Template AC'11 @Cst Fx 52W vs 53W_Sheet3" xfId="13002"/>
    <cellStyle name="_simple chart 050321 (128MMSSU)_JF Masterflow June 15a_Wrigley - 05 budget&amp;calendar LE 050728 (25I)_Wrigley - 06 simple chart Sep 14_P&amp;L KFE" xfId="13003"/>
    <cellStyle name="_simple chart 050321 (128MMSSU)_JF Masterflow June 15a_Wrigley - 05 budget&amp;calendar LE 050728 (25I)_Wrigley - 06 simple chart Sep 14_Sheet3" xfId="13004"/>
    <cellStyle name="_simple chart 050321 (128MMSSU)_JF Masterflow June 15a_Wrigley - 05 budget&amp;calendar LE 050824 (25F)" xfId="13005"/>
    <cellStyle name="_simple chart 050321 (128MMSSU)_JF Masterflow June 15a_Wrigley - 05 budget&amp;calendar LE 050824 (25F) 2" xfId="13006"/>
    <cellStyle name="_simple chart 050321 (128MMSSU)_JF Masterflow June 15a_Wrigley - 05 budget&amp;calendar LE 050824 (25F)_Category Template AC'11 @Cst Fx 52W vs 53W" xfId="13007"/>
    <cellStyle name="_simple chart 050321 (128MMSSU)_JF Masterflow June 15a_Wrigley - 05 budget&amp;calendar LE 050824 (25F)_Category Template AC'11 @Cst Fx 52W vs 53W 2" xfId="13008"/>
    <cellStyle name="_simple chart 050321 (128MMSSU)_JF Masterflow June 15a_Wrigley - 05 budget&amp;calendar LE 050824 (25F)_Category Template AC'11 @Cst Fx 52W vs 53W_P&amp;L KFE" xfId="13009"/>
    <cellStyle name="_simple chart 050321 (128MMSSU)_JF Masterflow June 15a_Wrigley - 05 budget&amp;calendar LE 050824 (25F)_Category Template AC'11 @Cst Fx 52W vs 53W_Sheet3" xfId="13010"/>
    <cellStyle name="_simple chart 050321 (128MMSSU)_JF Masterflow June 15a_Wrigley - 05 budget&amp;calendar LE 050824 (25F)_P&amp;L KFE" xfId="13011"/>
    <cellStyle name="_simple chart 050321 (128MMSSU)_JF Masterflow June 15a_Wrigley - 05 budget&amp;calendar LE 050824 (25F)_Sheet3" xfId="13012"/>
    <cellStyle name="_simple chart 050321 (128MMSSU)_JF Masterflow June 15a_Wrigley - 05 budget&amp;calendar LE 050824 (25F)_Wrigley - 06 simple chart Sep 14" xfId="13013"/>
    <cellStyle name="_simple chart 050321 (128MMSSU)_JF Masterflow June 15a_Wrigley - 05 budget&amp;calendar LE 050824 (25F)_Wrigley - 06 simple chart Sep 14 2" xfId="13014"/>
    <cellStyle name="_simple chart 050321 (128MMSSU)_JF Masterflow June 15a_Wrigley - 05 budget&amp;calendar LE 050824 (25F)_Wrigley - 06 simple chart Sep 14_Category Template AC'11 @Cst Fx 52W vs 53W" xfId="13015"/>
    <cellStyle name="_simple chart 050321 (128MMSSU)_JF Masterflow June 15a_Wrigley - 05 budget&amp;calendar LE 050824 (25F)_Wrigley - 06 simple chart Sep 14_Category Template AC'11 @Cst Fx 52W vs 53W 2" xfId="13016"/>
    <cellStyle name="_simple chart 050321 (128MMSSU)_JF Masterflow June 15a_Wrigley - 05 budget&amp;calendar LE 050824 (25F)_Wrigley - 06 simple chart Sep 14_Category Template AC'11 @Cst Fx 52W vs 53W_P&amp;L KFE" xfId="13017"/>
    <cellStyle name="_simple chart 050321 (128MMSSU)_JF Masterflow June 15a_Wrigley - 05 budget&amp;calendar LE 050824 (25F)_Wrigley - 06 simple chart Sep 14_Category Template AC'11 @Cst Fx 52W vs 53W_Sheet3" xfId="13018"/>
    <cellStyle name="_simple chart 050321 (128MMSSU)_JF Masterflow June 15a_Wrigley - 05 budget&amp;calendar LE 050824 (25F)_Wrigley - 06 simple chart Sep 14_P&amp;L KFE" xfId="13019"/>
    <cellStyle name="_simple chart 050321 (128MMSSU)_JF Masterflow June 15a_Wrigley - 05 budget&amp;calendar LE 050824 (25F)_Wrigley - 06 simple chart Sep 14_Sheet3" xfId="13020"/>
    <cellStyle name="_simple chart 050321 (128MMSSU)_JF Masterflow June 15a_Wrigley - 05 budget&amp;calendar LE 050824 (25I)" xfId="13021"/>
    <cellStyle name="_simple chart 050321 (128MMSSU)_JF Masterflow June 15a_Wrigley - 05 budget&amp;calendar LE 050824 (25I) 2" xfId="13022"/>
    <cellStyle name="_simple chart 050321 (128MMSSU)_JF Masterflow June 15a_Wrigley - 05 budget&amp;calendar LE 050824 (25I)_Category Template AC'11 @Cst Fx 52W vs 53W" xfId="13023"/>
    <cellStyle name="_simple chart 050321 (128MMSSU)_JF Masterflow June 15a_Wrigley - 05 budget&amp;calendar LE 050824 (25I)_Category Template AC'11 @Cst Fx 52W vs 53W 2" xfId="13024"/>
    <cellStyle name="_simple chart 050321 (128MMSSU)_JF Masterflow June 15a_Wrigley - 05 budget&amp;calendar LE 050824 (25I)_Category Template AC'11 @Cst Fx 52W vs 53W_P&amp;L KFE" xfId="13025"/>
    <cellStyle name="_simple chart 050321 (128MMSSU)_JF Masterflow June 15a_Wrigley - 05 budget&amp;calendar LE 050824 (25I)_Category Template AC'11 @Cst Fx 52W vs 53W_Sheet3" xfId="13026"/>
    <cellStyle name="_simple chart 050321 (128MMSSU)_JF Masterflow June 15a_Wrigley - 05 budget&amp;calendar LE 050824 (25I)_P&amp;L KFE" xfId="13027"/>
    <cellStyle name="_simple chart 050321 (128MMSSU)_JF Masterflow June 15a_Wrigley - 05 budget&amp;calendar LE 050824 (25I)_Sheet3" xfId="13028"/>
    <cellStyle name="_simple chart 050321 (128MMSSU)_JF Masterflow June 15a_Wrigley - 05 budget&amp;calendar LE 050824 (25I)_Wrigley - 06 simple chart Sep 14" xfId="13029"/>
    <cellStyle name="_simple chart 050321 (128MMSSU)_JF Masterflow June 15a_Wrigley - 05 budget&amp;calendar LE 050824 (25I)_Wrigley - 06 simple chart Sep 14 2" xfId="13030"/>
    <cellStyle name="_simple chart 050321 (128MMSSU)_JF Masterflow June 15a_Wrigley - 05 budget&amp;calendar LE 050824 (25I)_Wrigley - 06 simple chart Sep 14_Category Template AC'11 @Cst Fx 52W vs 53W" xfId="13031"/>
    <cellStyle name="_simple chart 050321 (128MMSSU)_JF Masterflow June 15a_Wrigley - 05 budget&amp;calendar LE 050824 (25I)_Wrigley - 06 simple chart Sep 14_Category Template AC'11 @Cst Fx 52W vs 53W 2" xfId="13032"/>
    <cellStyle name="_simple chart 050321 (128MMSSU)_JF Masterflow June 15a_Wrigley - 05 budget&amp;calendar LE 050824 (25I)_Wrigley - 06 simple chart Sep 14_Category Template AC'11 @Cst Fx 52W vs 53W_P&amp;L KFE" xfId="13033"/>
    <cellStyle name="_simple chart 050321 (128MMSSU)_JF Masterflow June 15a_Wrigley - 05 budget&amp;calendar LE 050824 (25I)_Wrigley - 06 simple chart Sep 14_Category Template AC'11 @Cst Fx 52W vs 53W_Sheet3" xfId="13034"/>
    <cellStyle name="_simple chart 050321 (128MMSSU)_JF Masterflow June 15a_Wrigley - 05 budget&amp;calendar LE 050824 (25I)_Wrigley - 06 simple chart Sep 14_P&amp;L KFE" xfId="13035"/>
    <cellStyle name="_simple chart 050321 (128MMSSU)_JF Masterflow June 15a_Wrigley - 05 budget&amp;calendar LE 050824 (25I)_Wrigley - 06 simple chart Sep 14_Sheet3" xfId="13036"/>
    <cellStyle name="_simple chart 050321 (128MMSSU)_JF Masterflow June 15a_Wrigley - 06 simple chart Sep 14" xfId="13037"/>
    <cellStyle name="_simple chart 050321 (128MMSSU)_JF Masterflow June 15a_Wrigley - 06 simple chart Sep 14 2" xfId="13038"/>
    <cellStyle name="_simple chart 050321 (128MMSSU)_JF Masterflow June 15a_Wrigley - 06 simple chart Sep 14_Category Template AC'11 @Cst Fx 52W vs 53W" xfId="13039"/>
    <cellStyle name="_simple chart 050321 (128MMSSU)_JF Masterflow June 15a_Wrigley - 06 simple chart Sep 14_Category Template AC'11 @Cst Fx 52W vs 53W 2" xfId="13040"/>
    <cellStyle name="_simple chart 050321 (128MMSSU)_JF Masterflow June 15a_Wrigley - 06 simple chart Sep 14_Category Template AC'11 @Cst Fx 52W vs 53W_P&amp;L KFE" xfId="13041"/>
    <cellStyle name="_simple chart 050321 (128MMSSU)_JF Masterflow June 15a_Wrigley - 06 simple chart Sep 14_Category Template AC'11 @Cst Fx 52W vs 53W_Sheet3" xfId="13042"/>
    <cellStyle name="_simple chart 050321 (128MMSSU)_JF Masterflow June 15a_Wrigley - 06 simple chart Sep 14_P&amp;L KFE" xfId="13043"/>
    <cellStyle name="_simple chart 050321 (128MMSSU)_JF Masterflow June 15a_Wrigley - 06 simple chart Sep 14_Sheet3" xfId="13044"/>
    <cellStyle name="_simple chart 050321 (128MMSSU)_P&amp;L KFE" xfId="13045"/>
    <cellStyle name="_simple chart 050321 (128MMSSU)_PP Masterflow June 15a" xfId="13046"/>
    <cellStyle name="_simple chart 050321 (128MMSSU)_PP Masterflow June 15a 2" xfId="13047"/>
    <cellStyle name="_simple chart 050321 (128MMSSU)_PP Masterflow June 15a_Book5" xfId="13048"/>
    <cellStyle name="_simple chart 050321 (128MMSSU)_PP Masterflow June 15a_Book5 2" xfId="13049"/>
    <cellStyle name="_simple chart 050321 (128MMSSU)_PP Masterflow June 15a_Book5_Category Template AC'11 @Cst Fx 52W vs 53W" xfId="13050"/>
    <cellStyle name="_simple chart 050321 (128MMSSU)_PP Masterflow June 15a_Book5_Category Template AC'11 @Cst Fx 52W vs 53W 2" xfId="13051"/>
    <cellStyle name="_simple chart 050321 (128MMSSU)_PP Masterflow June 15a_Book5_Category Template AC'11 @Cst Fx 52W vs 53W_P&amp;L KFE" xfId="13052"/>
    <cellStyle name="_simple chart 050321 (128MMSSU)_PP Masterflow June 15a_Book5_Category Template AC'11 @Cst Fx 52W vs 53W_Sheet3" xfId="13053"/>
    <cellStyle name="_simple chart 050321 (128MMSSU)_PP Masterflow June 15a_Book5_P&amp;L KFE" xfId="13054"/>
    <cellStyle name="_simple chart 050321 (128MMSSU)_PP Masterflow June 15a_Book5_Sheet3" xfId="13055"/>
    <cellStyle name="_simple chart 050321 (128MMSSU)_PP Masterflow June 15a_Category Template AC'11 @Cst Fx 52W vs 53W" xfId="13056"/>
    <cellStyle name="_simple chart 050321 (128MMSSU)_PP Masterflow June 15a_Category Template AC'11 @Cst Fx 52W vs 53W 2" xfId="13057"/>
    <cellStyle name="_simple chart 050321 (128MMSSU)_PP Masterflow June 15a_Category Template AC'11 @Cst Fx 52W vs 53W_P&amp;L KFE" xfId="13058"/>
    <cellStyle name="_simple chart 050321 (128MMSSU)_PP Masterflow June 15a_Category Template AC'11 @Cst Fx 52W vs 53W_Sheet3" xfId="13059"/>
    <cellStyle name="_simple chart 050321 (128MMSSU)_PP Masterflow June 15a_P&amp;L KFE" xfId="13060"/>
    <cellStyle name="_simple chart 050321 (128MMSSU)_PP Masterflow June 15a_Sheet3" xfId="13061"/>
    <cellStyle name="_simple chart 050321 (128MMSSU)_PP Masterflow June 15a_Wrigley - 05 budget&amp;calendar LE 050728 (25I)" xfId="13062"/>
    <cellStyle name="_simple chart 050321 (128MMSSU)_PP Masterflow June 15a_Wrigley - 05 budget&amp;calendar LE 050728 (25I) 2" xfId="13063"/>
    <cellStyle name="_simple chart 050321 (128MMSSU)_PP Masterflow June 15a_Wrigley - 05 budget&amp;calendar LE 050728 (25I)_Category Template AC'11 @Cst Fx 52W vs 53W" xfId="13064"/>
    <cellStyle name="_simple chart 050321 (128MMSSU)_PP Masterflow June 15a_Wrigley - 05 budget&amp;calendar LE 050728 (25I)_Category Template AC'11 @Cst Fx 52W vs 53W 2" xfId="13065"/>
    <cellStyle name="_simple chart 050321 (128MMSSU)_PP Masterflow June 15a_Wrigley - 05 budget&amp;calendar LE 050728 (25I)_Category Template AC'11 @Cst Fx 52W vs 53W_P&amp;L KFE" xfId="13066"/>
    <cellStyle name="_simple chart 050321 (128MMSSU)_PP Masterflow June 15a_Wrigley - 05 budget&amp;calendar LE 050728 (25I)_Category Template AC'11 @Cst Fx 52W vs 53W_Sheet3" xfId="13067"/>
    <cellStyle name="_simple chart 050321 (128MMSSU)_PP Masterflow June 15a_Wrigley - 05 budget&amp;calendar LE 050728 (25I)_P&amp;L KFE" xfId="13068"/>
    <cellStyle name="_simple chart 050321 (128MMSSU)_PP Masterflow June 15a_Wrigley - 05 budget&amp;calendar LE 050728 (25I)_Sheet3" xfId="13069"/>
    <cellStyle name="_simple chart 050321 (128MMSSU)_PP Masterflow June 15a_Wrigley - 05 budget&amp;calendar LE 050728 (25I)_Wrigley - 06 simple chart Sep 14" xfId="13070"/>
    <cellStyle name="_simple chart 050321 (128MMSSU)_PP Masterflow June 15a_Wrigley - 05 budget&amp;calendar LE 050728 (25I)_Wrigley - 06 simple chart Sep 14 2" xfId="13071"/>
    <cellStyle name="_simple chart 050321 (128MMSSU)_PP Masterflow June 15a_Wrigley - 05 budget&amp;calendar LE 050728 (25I)_Wrigley - 06 simple chart Sep 14_Category Template AC'11 @Cst Fx 52W vs 53W" xfId="13072"/>
    <cellStyle name="_simple chart 050321 (128MMSSU)_PP Masterflow June 15a_Wrigley - 05 budget&amp;calendar LE 050728 (25I)_Wrigley - 06 simple chart Sep 14_Category Template AC'11 @Cst Fx 52W vs 53W 2" xfId="13073"/>
    <cellStyle name="_simple chart 050321 (128MMSSU)_PP Masterflow June 15a_Wrigley - 05 budget&amp;calendar LE 050728 (25I)_Wrigley - 06 simple chart Sep 14_Category Template AC'11 @Cst Fx 52W vs 53W_P&amp;L KFE" xfId="13074"/>
    <cellStyle name="_simple chart 050321 (128MMSSU)_PP Masterflow June 15a_Wrigley - 05 budget&amp;calendar LE 050728 (25I)_Wrigley - 06 simple chart Sep 14_Category Template AC'11 @Cst Fx 52W vs 53W_Sheet3" xfId="13075"/>
    <cellStyle name="_simple chart 050321 (128MMSSU)_PP Masterflow June 15a_Wrigley - 05 budget&amp;calendar LE 050728 (25I)_Wrigley - 06 simple chart Sep 14_P&amp;L KFE" xfId="13076"/>
    <cellStyle name="_simple chart 050321 (128MMSSU)_PP Masterflow June 15a_Wrigley - 05 budget&amp;calendar LE 050728 (25I)_Wrigley - 06 simple chart Sep 14_Sheet3" xfId="13077"/>
    <cellStyle name="_simple chart 050321 (128MMSSU)_PP Masterflow June 15a_Wrigley - 05 budget&amp;calendar LE 050824 (25F)" xfId="13078"/>
    <cellStyle name="_simple chart 050321 (128MMSSU)_PP Masterflow June 15a_Wrigley - 05 budget&amp;calendar LE 050824 (25F) 2" xfId="13079"/>
    <cellStyle name="_simple chart 050321 (128MMSSU)_PP Masterflow June 15a_Wrigley - 05 budget&amp;calendar LE 050824 (25F)_Category Template AC'11 @Cst Fx 52W vs 53W" xfId="13080"/>
    <cellStyle name="_simple chart 050321 (128MMSSU)_PP Masterflow June 15a_Wrigley - 05 budget&amp;calendar LE 050824 (25F)_Category Template AC'11 @Cst Fx 52W vs 53W 2" xfId="13081"/>
    <cellStyle name="_simple chart 050321 (128MMSSU)_PP Masterflow June 15a_Wrigley - 05 budget&amp;calendar LE 050824 (25F)_Category Template AC'11 @Cst Fx 52W vs 53W_P&amp;L KFE" xfId="13082"/>
    <cellStyle name="_simple chart 050321 (128MMSSU)_PP Masterflow June 15a_Wrigley - 05 budget&amp;calendar LE 050824 (25F)_Category Template AC'11 @Cst Fx 52W vs 53W_Sheet3" xfId="13083"/>
    <cellStyle name="_simple chart 050321 (128MMSSU)_PP Masterflow June 15a_Wrigley - 05 budget&amp;calendar LE 050824 (25F)_P&amp;L KFE" xfId="13084"/>
    <cellStyle name="_simple chart 050321 (128MMSSU)_PP Masterflow June 15a_Wrigley - 05 budget&amp;calendar LE 050824 (25F)_Sheet3" xfId="13085"/>
    <cellStyle name="_simple chart 050321 (128MMSSU)_PP Masterflow June 15a_Wrigley - 05 budget&amp;calendar LE 050824 (25F)_Wrigley - 06 simple chart Sep 14" xfId="13086"/>
    <cellStyle name="_simple chart 050321 (128MMSSU)_PP Masterflow June 15a_Wrigley - 05 budget&amp;calendar LE 050824 (25F)_Wrigley - 06 simple chart Sep 14 2" xfId="13087"/>
    <cellStyle name="_simple chart 050321 (128MMSSU)_PP Masterflow June 15a_Wrigley - 05 budget&amp;calendar LE 050824 (25F)_Wrigley - 06 simple chart Sep 14_Category Template AC'11 @Cst Fx 52W vs 53W" xfId="13088"/>
    <cellStyle name="_simple chart 050321 (128MMSSU)_PP Masterflow June 15a_Wrigley - 05 budget&amp;calendar LE 050824 (25F)_Wrigley - 06 simple chart Sep 14_Category Template AC'11 @Cst Fx 52W vs 53W 2" xfId="13089"/>
    <cellStyle name="_simple chart 050321 (128MMSSU)_PP Masterflow June 15a_Wrigley - 05 budget&amp;calendar LE 050824 (25F)_Wrigley - 06 simple chart Sep 14_Category Template AC'11 @Cst Fx 52W vs 53W_P&amp;L KFE" xfId="13090"/>
    <cellStyle name="_simple chart 050321 (128MMSSU)_PP Masterflow June 15a_Wrigley - 05 budget&amp;calendar LE 050824 (25F)_Wrigley - 06 simple chart Sep 14_Category Template AC'11 @Cst Fx 52W vs 53W_Sheet3" xfId="13091"/>
    <cellStyle name="_simple chart 050321 (128MMSSU)_PP Masterflow June 15a_Wrigley - 05 budget&amp;calendar LE 050824 (25F)_Wrigley - 06 simple chart Sep 14_P&amp;L KFE" xfId="13092"/>
    <cellStyle name="_simple chart 050321 (128MMSSU)_PP Masterflow June 15a_Wrigley - 05 budget&amp;calendar LE 050824 (25F)_Wrigley - 06 simple chart Sep 14_Sheet3" xfId="13093"/>
    <cellStyle name="_simple chart 050321 (128MMSSU)_PP Masterflow June 15a_Wrigley - 05 budget&amp;calendar LE 050824 (25I)" xfId="13094"/>
    <cellStyle name="_simple chart 050321 (128MMSSU)_PP Masterflow June 15a_Wrigley - 05 budget&amp;calendar LE 050824 (25I) 2" xfId="13095"/>
    <cellStyle name="_simple chart 050321 (128MMSSU)_PP Masterflow June 15a_Wrigley - 05 budget&amp;calendar LE 050824 (25I)_Category Template AC'11 @Cst Fx 52W vs 53W" xfId="13096"/>
    <cellStyle name="_simple chart 050321 (128MMSSU)_PP Masterflow June 15a_Wrigley - 05 budget&amp;calendar LE 050824 (25I)_Category Template AC'11 @Cst Fx 52W vs 53W 2" xfId="13097"/>
    <cellStyle name="_simple chart 050321 (128MMSSU)_PP Masterflow June 15a_Wrigley - 05 budget&amp;calendar LE 050824 (25I)_Category Template AC'11 @Cst Fx 52W vs 53W_P&amp;L KFE" xfId="13098"/>
    <cellStyle name="_simple chart 050321 (128MMSSU)_PP Masterflow June 15a_Wrigley - 05 budget&amp;calendar LE 050824 (25I)_Category Template AC'11 @Cst Fx 52W vs 53W_Sheet3" xfId="13099"/>
    <cellStyle name="_simple chart 050321 (128MMSSU)_PP Masterflow June 15a_Wrigley - 05 budget&amp;calendar LE 050824 (25I)_P&amp;L KFE" xfId="13100"/>
    <cellStyle name="_simple chart 050321 (128MMSSU)_PP Masterflow June 15a_Wrigley - 05 budget&amp;calendar LE 050824 (25I)_Sheet3" xfId="13101"/>
    <cellStyle name="_simple chart 050321 (128MMSSU)_PP Masterflow June 15a_Wrigley - 05 budget&amp;calendar LE 050824 (25I)_Wrigley - 06 simple chart Sep 14" xfId="13102"/>
    <cellStyle name="_simple chart 050321 (128MMSSU)_PP Masterflow June 15a_Wrigley - 05 budget&amp;calendar LE 050824 (25I)_Wrigley - 06 simple chart Sep 14 2" xfId="13103"/>
    <cellStyle name="_simple chart 050321 (128MMSSU)_PP Masterflow June 15a_Wrigley - 05 budget&amp;calendar LE 050824 (25I)_Wrigley - 06 simple chart Sep 14_Category Template AC'11 @Cst Fx 52W vs 53W" xfId="13104"/>
    <cellStyle name="_simple chart 050321 (128MMSSU)_PP Masterflow June 15a_Wrigley - 05 budget&amp;calendar LE 050824 (25I)_Wrigley - 06 simple chart Sep 14_Category Template AC'11 @Cst Fx 52W vs 53W 2" xfId="13105"/>
    <cellStyle name="_simple chart 050321 (128MMSSU)_PP Masterflow June 15a_Wrigley - 05 budget&amp;calendar LE 050824 (25I)_Wrigley - 06 simple chart Sep 14_Category Template AC'11 @Cst Fx 52W vs 53W_P&amp;L KFE" xfId="13106"/>
    <cellStyle name="_simple chart 050321 (128MMSSU)_PP Masterflow June 15a_Wrigley - 05 budget&amp;calendar LE 050824 (25I)_Wrigley - 06 simple chart Sep 14_Category Template AC'11 @Cst Fx 52W vs 53W_Sheet3" xfId="13107"/>
    <cellStyle name="_simple chart 050321 (128MMSSU)_PP Masterflow June 15a_Wrigley - 05 budget&amp;calendar LE 050824 (25I)_Wrigley - 06 simple chart Sep 14_P&amp;L KFE" xfId="13108"/>
    <cellStyle name="_simple chart 050321 (128MMSSU)_PP Masterflow June 15a_Wrigley - 05 budget&amp;calendar LE 050824 (25I)_Wrigley - 06 simple chart Sep 14_Sheet3" xfId="13109"/>
    <cellStyle name="_simple chart 050321 (128MMSSU)_PP Masterflow June 15a_Wrigley - 06 simple chart Sep 14" xfId="13110"/>
    <cellStyle name="_simple chart 050321 (128MMSSU)_PP Masterflow June 15a_Wrigley - 06 simple chart Sep 14 2" xfId="13111"/>
    <cellStyle name="_simple chart 050321 (128MMSSU)_PP Masterflow June 15a_Wrigley - 06 simple chart Sep 14_Category Template AC'11 @Cst Fx 52W vs 53W" xfId="13112"/>
    <cellStyle name="_simple chart 050321 (128MMSSU)_PP Masterflow June 15a_Wrigley - 06 simple chart Sep 14_Category Template AC'11 @Cst Fx 52W vs 53W 2" xfId="13113"/>
    <cellStyle name="_simple chart 050321 (128MMSSU)_PP Masterflow June 15a_Wrigley - 06 simple chart Sep 14_Category Template AC'11 @Cst Fx 52W vs 53W_P&amp;L KFE" xfId="13114"/>
    <cellStyle name="_simple chart 050321 (128MMSSU)_PP Masterflow June 15a_Wrigley - 06 simple chart Sep 14_Category Template AC'11 @Cst Fx 52W vs 53W_Sheet3" xfId="13115"/>
    <cellStyle name="_simple chart 050321 (128MMSSU)_PP Masterflow June 15a_Wrigley - 06 simple chart Sep 14_P&amp;L KFE" xfId="13116"/>
    <cellStyle name="_simple chart 050321 (128MMSSU)_PP Masterflow June 15a_Wrigley - 06 simple chart Sep 14_Sheet3" xfId="13117"/>
    <cellStyle name="_simple chart 050321 (128MMSSU)_Sheet3" xfId="13118"/>
    <cellStyle name="_simple chart 050321 (128MMSSU)_TJ Masterflow June 15" xfId="13119"/>
    <cellStyle name="_simple chart 050321 (128MMSSU)_TJ Masterflow June 15 2" xfId="13120"/>
    <cellStyle name="_simple chart 050321 (128MMSSU)_TJ Masterflow June 15_Book5" xfId="13121"/>
    <cellStyle name="_simple chart 050321 (128MMSSU)_TJ Masterflow June 15_Book5 2" xfId="13122"/>
    <cellStyle name="_simple chart 050321 (128MMSSU)_TJ Masterflow June 15_Book5_Category Template AC'11 @Cst Fx 52W vs 53W" xfId="13123"/>
    <cellStyle name="_simple chart 050321 (128MMSSU)_TJ Masterflow June 15_Book5_Category Template AC'11 @Cst Fx 52W vs 53W 2" xfId="13124"/>
    <cellStyle name="_simple chart 050321 (128MMSSU)_TJ Masterflow June 15_Book5_Category Template AC'11 @Cst Fx 52W vs 53W_P&amp;L KFE" xfId="13125"/>
    <cellStyle name="_simple chart 050321 (128MMSSU)_TJ Masterflow June 15_Book5_Category Template AC'11 @Cst Fx 52W vs 53W_Sheet3" xfId="13126"/>
    <cellStyle name="_simple chart 050321 (128MMSSU)_TJ Masterflow June 15_Book5_P&amp;L KFE" xfId="13127"/>
    <cellStyle name="_simple chart 050321 (128MMSSU)_TJ Masterflow June 15_Book5_Sheet3" xfId="13128"/>
    <cellStyle name="_simple chart 050321 (128MMSSU)_TJ Masterflow June 15_Category Template AC'11 @Cst Fx 52W vs 53W" xfId="13129"/>
    <cellStyle name="_simple chart 050321 (128MMSSU)_TJ Masterflow June 15_Category Template AC'11 @Cst Fx 52W vs 53W 2" xfId="13130"/>
    <cellStyle name="_simple chart 050321 (128MMSSU)_TJ Masterflow June 15_Category Template AC'11 @Cst Fx 52W vs 53W_P&amp;L KFE" xfId="13131"/>
    <cellStyle name="_simple chart 050321 (128MMSSU)_TJ Masterflow June 15_Category Template AC'11 @Cst Fx 52W vs 53W_Sheet3" xfId="13132"/>
    <cellStyle name="_simple chart 050321 (128MMSSU)_TJ Masterflow June 15_P&amp;L KFE" xfId="13133"/>
    <cellStyle name="_simple chart 050321 (128MMSSU)_TJ Masterflow June 15_Sheet3" xfId="13134"/>
    <cellStyle name="_simple chart 050321 (128MMSSU)_TJ Masterflow June 15_Wrigley - 05 budget&amp;calendar LE 050728 (25I)" xfId="13135"/>
    <cellStyle name="_simple chart 050321 (128MMSSU)_TJ Masterflow June 15_Wrigley - 05 budget&amp;calendar LE 050728 (25I) 2" xfId="13136"/>
    <cellStyle name="_simple chart 050321 (128MMSSU)_TJ Masterflow June 15_Wrigley - 05 budget&amp;calendar LE 050728 (25I)_Category Template AC'11 @Cst Fx 52W vs 53W" xfId="13137"/>
    <cellStyle name="_simple chart 050321 (128MMSSU)_TJ Masterflow June 15_Wrigley - 05 budget&amp;calendar LE 050728 (25I)_Category Template AC'11 @Cst Fx 52W vs 53W 2" xfId="13138"/>
    <cellStyle name="_simple chart 050321 (128MMSSU)_TJ Masterflow June 15_Wrigley - 05 budget&amp;calendar LE 050728 (25I)_Category Template AC'11 @Cst Fx 52W vs 53W_P&amp;L KFE" xfId="13139"/>
    <cellStyle name="_simple chart 050321 (128MMSSU)_TJ Masterflow June 15_Wrigley - 05 budget&amp;calendar LE 050728 (25I)_Category Template AC'11 @Cst Fx 52W vs 53W_Sheet3" xfId="13140"/>
    <cellStyle name="_simple chart 050321 (128MMSSU)_TJ Masterflow June 15_Wrigley - 05 budget&amp;calendar LE 050728 (25I)_P&amp;L KFE" xfId="13141"/>
    <cellStyle name="_simple chart 050321 (128MMSSU)_TJ Masterflow June 15_Wrigley - 05 budget&amp;calendar LE 050728 (25I)_Sheet3" xfId="13142"/>
    <cellStyle name="_simple chart 050321 (128MMSSU)_TJ Masterflow June 15_Wrigley - 05 budget&amp;calendar LE 050728 (25I)_Wrigley - 06 simple chart Sep 14" xfId="13143"/>
    <cellStyle name="_simple chart 050321 (128MMSSU)_TJ Masterflow June 15_Wrigley - 05 budget&amp;calendar LE 050728 (25I)_Wrigley - 06 simple chart Sep 14 2" xfId="13144"/>
    <cellStyle name="_simple chart 050321 (128MMSSU)_TJ Masterflow June 15_Wrigley - 05 budget&amp;calendar LE 050728 (25I)_Wrigley - 06 simple chart Sep 14_Category Template AC'11 @Cst Fx 52W vs 53W" xfId="13145"/>
    <cellStyle name="_simple chart 050321 (128MMSSU)_TJ Masterflow June 15_Wrigley - 05 budget&amp;calendar LE 050728 (25I)_Wrigley - 06 simple chart Sep 14_Category Template AC'11 @Cst Fx 52W vs 53W 2" xfId="13146"/>
    <cellStyle name="_simple chart 050321 (128MMSSU)_TJ Masterflow June 15_Wrigley - 05 budget&amp;calendar LE 050728 (25I)_Wrigley - 06 simple chart Sep 14_Category Template AC'11 @Cst Fx 52W vs 53W_P&amp;L KFE" xfId="13147"/>
    <cellStyle name="_simple chart 050321 (128MMSSU)_TJ Masterflow June 15_Wrigley - 05 budget&amp;calendar LE 050728 (25I)_Wrigley - 06 simple chart Sep 14_Category Template AC'11 @Cst Fx 52W vs 53W_Sheet3" xfId="13148"/>
    <cellStyle name="_simple chart 050321 (128MMSSU)_TJ Masterflow June 15_Wrigley - 05 budget&amp;calendar LE 050728 (25I)_Wrigley - 06 simple chart Sep 14_P&amp;L KFE" xfId="13149"/>
    <cellStyle name="_simple chart 050321 (128MMSSU)_TJ Masterflow June 15_Wrigley - 05 budget&amp;calendar LE 050728 (25I)_Wrigley - 06 simple chart Sep 14_Sheet3" xfId="13150"/>
    <cellStyle name="_simple chart 050321 (128MMSSU)_TJ Masterflow June 15_Wrigley - 05 budget&amp;calendar LE 050824 (25F)" xfId="13151"/>
    <cellStyle name="_simple chart 050321 (128MMSSU)_TJ Masterflow June 15_Wrigley - 05 budget&amp;calendar LE 050824 (25F) 2" xfId="13152"/>
    <cellStyle name="_simple chart 050321 (128MMSSU)_TJ Masterflow June 15_Wrigley - 05 budget&amp;calendar LE 050824 (25F)_Category Template AC'11 @Cst Fx 52W vs 53W" xfId="13153"/>
    <cellStyle name="_simple chart 050321 (128MMSSU)_TJ Masterflow June 15_Wrigley - 05 budget&amp;calendar LE 050824 (25F)_Category Template AC'11 @Cst Fx 52W vs 53W 2" xfId="13154"/>
    <cellStyle name="_simple chart 050321 (128MMSSU)_TJ Masterflow June 15_Wrigley - 05 budget&amp;calendar LE 050824 (25F)_Category Template AC'11 @Cst Fx 52W vs 53W_P&amp;L KFE" xfId="13155"/>
    <cellStyle name="_simple chart 050321 (128MMSSU)_TJ Masterflow June 15_Wrigley - 05 budget&amp;calendar LE 050824 (25F)_Category Template AC'11 @Cst Fx 52W vs 53W_Sheet3" xfId="13156"/>
    <cellStyle name="_simple chart 050321 (128MMSSU)_TJ Masterflow June 15_Wrigley - 05 budget&amp;calendar LE 050824 (25F)_P&amp;L KFE" xfId="13157"/>
    <cellStyle name="_simple chart 050321 (128MMSSU)_TJ Masterflow June 15_Wrigley - 05 budget&amp;calendar LE 050824 (25F)_Sheet3" xfId="13158"/>
    <cellStyle name="_simple chart 050321 (128MMSSU)_TJ Masterflow June 15_Wrigley - 05 budget&amp;calendar LE 050824 (25F)_Wrigley - 06 simple chart Sep 14" xfId="13159"/>
    <cellStyle name="_simple chart 050321 (128MMSSU)_TJ Masterflow June 15_Wrigley - 05 budget&amp;calendar LE 050824 (25F)_Wrigley - 06 simple chart Sep 14 2" xfId="13160"/>
    <cellStyle name="_simple chart 050321 (128MMSSU)_TJ Masterflow June 15_Wrigley - 05 budget&amp;calendar LE 050824 (25F)_Wrigley - 06 simple chart Sep 14_Category Template AC'11 @Cst Fx 52W vs 53W" xfId="13161"/>
    <cellStyle name="_simple chart 050321 (128MMSSU)_TJ Masterflow June 15_Wrigley - 05 budget&amp;calendar LE 050824 (25F)_Wrigley - 06 simple chart Sep 14_Category Template AC'11 @Cst Fx 52W vs 53W 2" xfId="13162"/>
    <cellStyle name="_simple chart 050321 (128MMSSU)_TJ Masterflow June 15_Wrigley - 05 budget&amp;calendar LE 050824 (25F)_Wrigley - 06 simple chart Sep 14_Category Template AC'11 @Cst Fx 52W vs 53W_P&amp;L KFE" xfId="13163"/>
    <cellStyle name="_simple chart 050321 (128MMSSU)_TJ Masterflow June 15_Wrigley - 05 budget&amp;calendar LE 050824 (25F)_Wrigley - 06 simple chart Sep 14_Category Template AC'11 @Cst Fx 52W vs 53W_Sheet3" xfId="13164"/>
    <cellStyle name="_simple chart 050321 (128MMSSU)_TJ Masterflow June 15_Wrigley - 05 budget&amp;calendar LE 050824 (25F)_Wrigley - 06 simple chart Sep 14_P&amp;L KFE" xfId="13165"/>
    <cellStyle name="_simple chart 050321 (128MMSSU)_TJ Masterflow June 15_Wrigley - 05 budget&amp;calendar LE 050824 (25F)_Wrigley - 06 simple chart Sep 14_Sheet3" xfId="13166"/>
    <cellStyle name="_simple chart 050321 (128MMSSU)_TJ Masterflow June 15_Wrigley - 05 budget&amp;calendar LE 050824 (25I)" xfId="13167"/>
    <cellStyle name="_simple chart 050321 (128MMSSU)_TJ Masterflow June 15_Wrigley - 05 budget&amp;calendar LE 050824 (25I) 2" xfId="13168"/>
    <cellStyle name="_simple chart 050321 (128MMSSU)_TJ Masterflow June 15_Wrigley - 05 budget&amp;calendar LE 050824 (25I)_Category Template AC'11 @Cst Fx 52W vs 53W" xfId="13169"/>
    <cellStyle name="_simple chart 050321 (128MMSSU)_TJ Masterflow June 15_Wrigley - 05 budget&amp;calendar LE 050824 (25I)_Category Template AC'11 @Cst Fx 52W vs 53W 2" xfId="13170"/>
    <cellStyle name="_simple chart 050321 (128MMSSU)_TJ Masterflow June 15_Wrigley - 05 budget&amp;calendar LE 050824 (25I)_Category Template AC'11 @Cst Fx 52W vs 53W_P&amp;L KFE" xfId="13171"/>
    <cellStyle name="_simple chart 050321 (128MMSSU)_TJ Masterflow June 15_Wrigley - 05 budget&amp;calendar LE 050824 (25I)_Category Template AC'11 @Cst Fx 52W vs 53W_Sheet3" xfId="13172"/>
    <cellStyle name="_simple chart 050321 (128MMSSU)_TJ Masterflow June 15_Wrigley - 05 budget&amp;calendar LE 050824 (25I)_P&amp;L KFE" xfId="13173"/>
    <cellStyle name="_simple chart 050321 (128MMSSU)_TJ Masterflow June 15_Wrigley - 05 budget&amp;calendar LE 050824 (25I)_Sheet3" xfId="13174"/>
    <cellStyle name="_simple chart 050321 (128MMSSU)_TJ Masterflow June 15_Wrigley - 05 budget&amp;calendar LE 050824 (25I)_Wrigley - 06 simple chart Sep 14" xfId="13175"/>
    <cellStyle name="_simple chart 050321 (128MMSSU)_TJ Masterflow June 15_Wrigley - 05 budget&amp;calendar LE 050824 (25I)_Wrigley - 06 simple chart Sep 14 2" xfId="13176"/>
    <cellStyle name="_simple chart 050321 (128MMSSU)_TJ Masterflow June 15_Wrigley - 05 budget&amp;calendar LE 050824 (25I)_Wrigley - 06 simple chart Sep 14_Category Template AC'11 @Cst Fx 52W vs 53W" xfId="13177"/>
    <cellStyle name="_simple chart 050321 (128MMSSU)_TJ Masterflow June 15_Wrigley - 05 budget&amp;calendar LE 050824 (25I)_Wrigley - 06 simple chart Sep 14_Category Template AC'11 @Cst Fx 52W vs 53W 2" xfId="13178"/>
    <cellStyle name="_simple chart 050321 (128MMSSU)_TJ Masterflow June 15_Wrigley - 05 budget&amp;calendar LE 050824 (25I)_Wrigley - 06 simple chart Sep 14_Category Template AC'11 @Cst Fx 52W vs 53W_P&amp;L KFE" xfId="13179"/>
    <cellStyle name="_simple chart 050321 (128MMSSU)_TJ Masterflow June 15_Wrigley - 05 budget&amp;calendar LE 050824 (25I)_Wrigley - 06 simple chart Sep 14_Category Template AC'11 @Cst Fx 52W vs 53W_Sheet3" xfId="13180"/>
    <cellStyle name="_simple chart 050321 (128MMSSU)_TJ Masterflow June 15_Wrigley - 05 budget&amp;calendar LE 050824 (25I)_Wrigley - 06 simple chart Sep 14_P&amp;L KFE" xfId="13181"/>
    <cellStyle name="_simple chart 050321 (128MMSSU)_TJ Masterflow June 15_Wrigley - 05 budget&amp;calendar LE 050824 (25I)_Wrigley - 06 simple chart Sep 14_Sheet3" xfId="13182"/>
    <cellStyle name="_simple chart 050321 (128MMSSU)_TJ Masterflow June 15_Wrigley - 06 simple chart Sep 14" xfId="13183"/>
    <cellStyle name="_simple chart 050321 (128MMSSU)_TJ Masterflow June 15_Wrigley - 06 simple chart Sep 14 2" xfId="13184"/>
    <cellStyle name="_simple chart 050321 (128MMSSU)_TJ Masterflow June 15_Wrigley - 06 simple chart Sep 14_Category Template AC'11 @Cst Fx 52W vs 53W" xfId="13185"/>
    <cellStyle name="_simple chart 050321 (128MMSSU)_TJ Masterflow June 15_Wrigley - 06 simple chart Sep 14_Category Template AC'11 @Cst Fx 52W vs 53W 2" xfId="13186"/>
    <cellStyle name="_simple chart 050321 (128MMSSU)_TJ Masterflow June 15_Wrigley - 06 simple chart Sep 14_Category Template AC'11 @Cst Fx 52W vs 53W_P&amp;L KFE" xfId="13187"/>
    <cellStyle name="_simple chart 050321 (128MMSSU)_TJ Masterflow June 15_Wrigley - 06 simple chart Sep 14_Category Template AC'11 @Cst Fx 52W vs 53W_Sheet3" xfId="13188"/>
    <cellStyle name="_simple chart 050321 (128MMSSU)_TJ Masterflow June 15_Wrigley - 06 simple chart Sep 14_P&amp;L KFE" xfId="13189"/>
    <cellStyle name="_simple chart 050321 (128MMSSU)_TJ Masterflow June 15_Wrigley - 06 simple chart Sep 14_Sheet3" xfId="13190"/>
    <cellStyle name="_simple chart 050321 (128MMSSU)_TP Masterflow June 15a" xfId="13191"/>
    <cellStyle name="_simple chart 050321 (128MMSSU)_TP Masterflow June 15a 2" xfId="13192"/>
    <cellStyle name="_simple chart 050321 (128MMSSU)_TP Masterflow June 15a_Book5" xfId="13193"/>
    <cellStyle name="_simple chart 050321 (128MMSSU)_TP Masterflow June 15a_Book5 2" xfId="13194"/>
    <cellStyle name="_simple chart 050321 (128MMSSU)_TP Masterflow June 15a_Book5_Category Template AC'11 @Cst Fx 52W vs 53W" xfId="13195"/>
    <cellStyle name="_simple chart 050321 (128MMSSU)_TP Masterflow June 15a_Book5_Category Template AC'11 @Cst Fx 52W vs 53W 2" xfId="13196"/>
    <cellStyle name="_simple chart 050321 (128MMSSU)_TP Masterflow June 15a_Book5_Category Template AC'11 @Cst Fx 52W vs 53W_P&amp;L KFE" xfId="13197"/>
    <cellStyle name="_simple chart 050321 (128MMSSU)_TP Masterflow June 15a_Book5_Category Template AC'11 @Cst Fx 52W vs 53W_Sheet3" xfId="13198"/>
    <cellStyle name="_simple chart 050321 (128MMSSU)_TP Masterflow June 15a_Book5_P&amp;L KFE" xfId="13199"/>
    <cellStyle name="_simple chart 050321 (128MMSSU)_TP Masterflow June 15a_Book5_Sheet3" xfId="13200"/>
    <cellStyle name="_simple chart 050321 (128MMSSU)_TP Masterflow June 15a_Category Template AC'11 @Cst Fx 52W vs 53W" xfId="13201"/>
    <cellStyle name="_simple chart 050321 (128MMSSU)_TP Masterflow June 15a_Category Template AC'11 @Cst Fx 52W vs 53W 2" xfId="13202"/>
    <cellStyle name="_simple chart 050321 (128MMSSU)_TP Masterflow June 15a_Category Template AC'11 @Cst Fx 52W vs 53W_P&amp;L KFE" xfId="13203"/>
    <cellStyle name="_simple chart 050321 (128MMSSU)_TP Masterflow June 15a_Category Template AC'11 @Cst Fx 52W vs 53W_Sheet3" xfId="13204"/>
    <cellStyle name="_simple chart 050321 (128MMSSU)_TP Masterflow June 15a_P&amp;L KFE" xfId="13205"/>
    <cellStyle name="_simple chart 050321 (128MMSSU)_TP Masterflow June 15a_Sheet3" xfId="13206"/>
    <cellStyle name="_simple chart 050321 (128MMSSU)_TP Masterflow June 15a_Wrigley - 05 budget&amp;calendar LE 050728 (25I)" xfId="13207"/>
    <cellStyle name="_simple chart 050321 (128MMSSU)_TP Masterflow June 15a_Wrigley - 05 budget&amp;calendar LE 050728 (25I) 2" xfId="13208"/>
    <cellStyle name="_simple chart 050321 (128MMSSU)_TP Masterflow June 15a_Wrigley - 05 budget&amp;calendar LE 050728 (25I)_Category Template AC'11 @Cst Fx 52W vs 53W" xfId="13209"/>
    <cellStyle name="_simple chart 050321 (128MMSSU)_TP Masterflow June 15a_Wrigley - 05 budget&amp;calendar LE 050728 (25I)_Category Template AC'11 @Cst Fx 52W vs 53W 2" xfId="13210"/>
    <cellStyle name="_simple chart 050321 (128MMSSU)_TP Masterflow June 15a_Wrigley - 05 budget&amp;calendar LE 050728 (25I)_Category Template AC'11 @Cst Fx 52W vs 53W_P&amp;L KFE" xfId="13211"/>
    <cellStyle name="_simple chart 050321 (128MMSSU)_TP Masterflow June 15a_Wrigley - 05 budget&amp;calendar LE 050728 (25I)_Category Template AC'11 @Cst Fx 52W vs 53W_Sheet3" xfId="13212"/>
    <cellStyle name="_simple chart 050321 (128MMSSU)_TP Masterflow June 15a_Wrigley - 05 budget&amp;calendar LE 050728 (25I)_P&amp;L KFE" xfId="13213"/>
    <cellStyle name="_simple chart 050321 (128MMSSU)_TP Masterflow June 15a_Wrigley - 05 budget&amp;calendar LE 050728 (25I)_Sheet3" xfId="13214"/>
    <cellStyle name="_simple chart 050321 (128MMSSU)_TP Masterflow June 15a_Wrigley - 05 budget&amp;calendar LE 050728 (25I)_Wrigley - 06 simple chart Sep 14" xfId="13215"/>
    <cellStyle name="_simple chart 050321 (128MMSSU)_TP Masterflow June 15a_Wrigley - 05 budget&amp;calendar LE 050728 (25I)_Wrigley - 06 simple chart Sep 14 2" xfId="13216"/>
    <cellStyle name="_simple chart 050321 (128MMSSU)_TP Masterflow June 15a_Wrigley - 05 budget&amp;calendar LE 050728 (25I)_Wrigley - 06 simple chart Sep 14_Category Template AC'11 @Cst Fx 52W vs 53W" xfId="13217"/>
    <cellStyle name="_simple chart 050321 (128MMSSU)_TP Masterflow June 15a_Wrigley - 05 budget&amp;calendar LE 050728 (25I)_Wrigley - 06 simple chart Sep 14_Category Template AC'11 @Cst Fx 52W vs 53W 2" xfId="13218"/>
    <cellStyle name="_simple chart 050321 (128MMSSU)_TP Masterflow June 15a_Wrigley - 05 budget&amp;calendar LE 050728 (25I)_Wrigley - 06 simple chart Sep 14_Category Template AC'11 @Cst Fx 52W vs 53W_P&amp;L KFE" xfId="13219"/>
    <cellStyle name="_simple chart 050321 (128MMSSU)_TP Masterflow June 15a_Wrigley - 05 budget&amp;calendar LE 050728 (25I)_Wrigley - 06 simple chart Sep 14_Category Template AC'11 @Cst Fx 52W vs 53W_Sheet3" xfId="13220"/>
    <cellStyle name="_simple chart 050321 (128MMSSU)_TP Masterflow June 15a_Wrigley - 05 budget&amp;calendar LE 050728 (25I)_Wrigley - 06 simple chart Sep 14_P&amp;L KFE" xfId="13221"/>
    <cellStyle name="_simple chart 050321 (128MMSSU)_TP Masterflow June 15a_Wrigley - 05 budget&amp;calendar LE 050728 (25I)_Wrigley - 06 simple chart Sep 14_Sheet3" xfId="13222"/>
    <cellStyle name="_simple chart 050321 (128MMSSU)_TP Masterflow June 15a_Wrigley - 05 budget&amp;calendar LE 050824 (25F)" xfId="13223"/>
    <cellStyle name="_simple chart 050321 (128MMSSU)_TP Masterflow June 15a_Wrigley - 05 budget&amp;calendar LE 050824 (25F) 2" xfId="13224"/>
    <cellStyle name="_simple chart 050321 (128MMSSU)_TP Masterflow June 15a_Wrigley - 05 budget&amp;calendar LE 050824 (25F)_Category Template AC'11 @Cst Fx 52W vs 53W" xfId="13225"/>
    <cellStyle name="_simple chart 050321 (128MMSSU)_TP Masterflow June 15a_Wrigley - 05 budget&amp;calendar LE 050824 (25F)_Category Template AC'11 @Cst Fx 52W vs 53W 2" xfId="13226"/>
    <cellStyle name="_simple chart 050321 (128MMSSU)_TP Masterflow June 15a_Wrigley - 05 budget&amp;calendar LE 050824 (25F)_Category Template AC'11 @Cst Fx 52W vs 53W_P&amp;L KFE" xfId="13227"/>
    <cellStyle name="_simple chart 050321 (128MMSSU)_TP Masterflow June 15a_Wrigley - 05 budget&amp;calendar LE 050824 (25F)_Category Template AC'11 @Cst Fx 52W vs 53W_Sheet3" xfId="13228"/>
    <cellStyle name="_simple chart 050321 (128MMSSU)_TP Masterflow June 15a_Wrigley - 05 budget&amp;calendar LE 050824 (25F)_P&amp;L KFE" xfId="13229"/>
    <cellStyle name="_simple chart 050321 (128MMSSU)_TP Masterflow June 15a_Wrigley - 05 budget&amp;calendar LE 050824 (25F)_Sheet3" xfId="13230"/>
    <cellStyle name="_simple chart 050321 (128MMSSU)_TP Masterflow June 15a_Wrigley - 05 budget&amp;calendar LE 050824 (25F)_Wrigley - 06 simple chart Sep 14" xfId="13231"/>
    <cellStyle name="_simple chart 050321 (128MMSSU)_TP Masterflow June 15a_Wrigley - 05 budget&amp;calendar LE 050824 (25F)_Wrigley - 06 simple chart Sep 14 2" xfId="13232"/>
    <cellStyle name="_simple chart 050321 (128MMSSU)_TP Masterflow June 15a_Wrigley - 05 budget&amp;calendar LE 050824 (25F)_Wrigley - 06 simple chart Sep 14_Category Template AC'11 @Cst Fx 52W vs 53W" xfId="13233"/>
    <cellStyle name="_simple chart 050321 (128MMSSU)_TP Masterflow June 15a_Wrigley - 05 budget&amp;calendar LE 050824 (25F)_Wrigley - 06 simple chart Sep 14_Category Template AC'11 @Cst Fx 52W vs 53W 2" xfId="13234"/>
    <cellStyle name="_simple chart 050321 (128MMSSU)_TP Masterflow June 15a_Wrigley - 05 budget&amp;calendar LE 050824 (25F)_Wrigley - 06 simple chart Sep 14_Category Template AC'11 @Cst Fx 52W vs 53W_P&amp;L KFE" xfId="13235"/>
    <cellStyle name="_simple chart 050321 (128MMSSU)_TP Masterflow June 15a_Wrigley - 05 budget&amp;calendar LE 050824 (25F)_Wrigley - 06 simple chart Sep 14_Category Template AC'11 @Cst Fx 52W vs 53W_Sheet3" xfId="13236"/>
    <cellStyle name="_simple chart 050321 (128MMSSU)_TP Masterflow June 15a_Wrigley - 05 budget&amp;calendar LE 050824 (25F)_Wrigley - 06 simple chart Sep 14_P&amp;L KFE" xfId="13237"/>
    <cellStyle name="_simple chart 050321 (128MMSSU)_TP Masterflow June 15a_Wrigley - 05 budget&amp;calendar LE 050824 (25F)_Wrigley - 06 simple chart Sep 14_Sheet3" xfId="13238"/>
    <cellStyle name="_simple chart 050321 (128MMSSU)_TP Masterflow June 15a_Wrigley - 05 budget&amp;calendar LE 050824 (25I)" xfId="13239"/>
    <cellStyle name="_simple chart 050321 (128MMSSU)_TP Masterflow June 15a_Wrigley - 05 budget&amp;calendar LE 050824 (25I) 2" xfId="13240"/>
    <cellStyle name="_simple chart 050321 (128MMSSU)_TP Masterflow June 15a_Wrigley - 05 budget&amp;calendar LE 050824 (25I)_Category Template AC'11 @Cst Fx 52W vs 53W" xfId="13241"/>
    <cellStyle name="_simple chart 050321 (128MMSSU)_TP Masterflow June 15a_Wrigley - 05 budget&amp;calendar LE 050824 (25I)_Category Template AC'11 @Cst Fx 52W vs 53W 2" xfId="13242"/>
    <cellStyle name="_simple chart 050321 (128MMSSU)_TP Masterflow June 15a_Wrigley - 05 budget&amp;calendar LE 050824 (25I)_Category Template AC'11 @Cst Fx 52W vs 53W_P&amp;L KFE" xfId="13243"/>
    <cellStyle name="_simple chart 050321 (128MMSSU)_TP Masterflow June 15a_Wrigley - 05 budget&amp;calendar LE 050824 (25I)_Category Template AC'11 @Cst Fx 52W vs 53W_Sheet3" xfId="13244"/>
    <cellStyle name="_simple chart 050321 (128MMSSU)_TP Masterflow June 15a_Wrigley - 05 budget&amp;calendar LE 050824 (25I)_P&amp;L KFE" xfId="13245"/>
    <cellStyle name="_simple chart 050321 (128MMSSU)_TP Masterflow June 15a_Wrigley - 05 budget&amp;calendar LE 050824 (25I)_Sheet3" xfId="13246"/>
    <cellStyle name="_simple chart 050321 (128MMSSU)_TP Masterflow June 15a_Wrigley - 05 budget&amp;calendar LE 050824 (25I)_Wrigley - 06 simple chart Sep 14" xfId="13247"/>
    <cellStyle name="_simple chart 050321 (128MMSSU)_TP Masterflow June 15a_Wrigley - 05 budget&amp;calendar LE 050824 (25I)_Wrigley - 06 simple chart Sep 14 2" xfId="13248"/>
    <cellStyle name="_simple chart 050321 (128MMSSU)_TP Masterflow June 15a_Wrigley - 05 budget&amp;calendar LE 050824 (25I)_Wrigley - 06 simple chart Sep 14_Category Template AC'11 @Cst Fx 52W vs 53W" xfId="13249"/>
    <cellStyle name="_simple chart 050321 (128MMSSU)_TP Masterflow June 15a_Wrigley - 05 budget&amp;calendar LE 050824 (25I)_Wrigley - 06 simple chart Sep 14_Category Template AC'11 @Cst Fx 52W vs 53W 2" xfId="13250"/>
    <cellStyle name="_simple chart 050321 (128MMSSU)_TP Masterflow June 15a_Wrigley - 05 budget&amp;calendar LE 050824 (25I)_Wrigley - 06 simple chart Sep 14_Category Template AC'11 @Cst Fx 52W vs 53W_P&amp;L KFE" xfId="13251"/>
    <cellStyle name="_simple chart 050321 (128MMSSU)_TP Masterflow June 15a_Wrigley - 05 budget&amp;calendar LE 050824 (25I)_Wrigley - 06 simple chart Sep 14_Category Template AC'11 @Cst Fx 52W vs 53W_Sheet3" xfId="13252"/>
    <cellStyle name="_simple chart 050321 (128MMSSU)_TP Masterflow June 15a_Wrigley - 05 budget&amp;calendar LE 050824 (25I)_Wrigley - 06 simple chart Sep 14_P&amp;L KFE" xfId="13253"/>
    <cellStyle name="_simple chart 050321 (128MMSSU)_TP Masterflow June 15a_Wrigley - 05 budget&amp;calendar LE 050824 (25I)_Wrigley - 06 simple chart Sep 14_Sheet3" xfId="13254"/>
    <cellStyle name="_simple chart 050321 (128MMSSU)_TP Masterflow June 15a_Wrigley - 06 simple chart Sep 14" xfId="13255"/>
    <cellStyle name="_simple chart 050321 (128MMSSU)_TP Masterflow June 15a_Wrigley - 06 simple chart Sep 14 2" xfId="13256"/>
    <cellStyle name="_simple chart 050321 (128MMSSU)_TP Masterflow June 15a_Wrigley - 06 simple chart Sep 14_Category Template AC'11 @Cst Fx 52W vs 53W" xfId="13257"/>
    <cellStyle name="_simple chart 050321 (128MMSSU)_TP Masterflow June 15a_Wrigley - 06 simple chart Sep 14_Category Template AC'11 @Cst Fx 52W vs 53W 2" xfId="13258"/>
    <cellStyle name="_simple chart 050321 (128MMSSU)_TP Masterflow June 15a_Wrigley - 06 simple chart Sep 14_Category Template AC'11 @Cst Fx 52W vs 53W_P&amp;L KFE" xfId="13259"/>
    <cellStyle name="_simple chart 050321 (128MMSSU)_TP Masterflow June 15a_Wrigley - 06 simple chart Sep 14_Category Template AC'11 @Cst Fx 52W vs 53W_Sheet3" xfId="13260"/>
    <cellStyle name="_simple chart 050321 (128MMSSU)_TP Masterflow June 15a_Wrigley - 06 simple chart Sep 14_P&amp;L KFE" xfId="13261"/>
    <cellStyle name="_simple chart 050321 (128MMSSU)_TP Masterflow June 15a_Wrigley - 06 simple chart Sep 14_Sheet3" xfId="13262"/>
    <cellStyle name="_simple chart 050321 (128MMSSU)_Wrigley - 05 budget&amp;calendar 1R 050609 (23I)_Jun 16b" xfId="13263"/>
    <cellStyle name="_simple chart 050321 (128MMSSU)_Wrigley - 05 budget&amp;calendar 1R 050609 (23I)_Jun 16b 2" xfId="13264"/>
    <cellStyle name="_simple chart 050321 (128MMSSU)_Wrigley - 05 budget&amp;calendar 1R 050609 (23I)_Jun 16b_Book5" xfId="13265"/>
    <cellStyle name="_simple chart 050321 (128MMSSU)_Wrigley - 05 budget&amp;calendar 1R 050609 (23I)_Jun 16b_Book5 2" xfId="13266"/>
    <cellStyle name="_simple chart 050321 (128MMSSU)_Wrigley - 05 budget&amp;calendar 1R 050609 (23I)_Jun 16b_Book5_Category Template AC'11 @Cst Fx 52W vs 53W" xfId="13267"/>
    <cellStyle name="_simple chart 050321 (128MMSSU)_Wrigley - 05 budget&amp;calendar 1R 050609 (23I)_Jun 16b_Book5_Category Template AC'11 @Cst Fx 52W vs 53W 2" xfId="13268"/>
    <cellStyle name="_simple chart 050321 (128MMSSU)_Wrigley - 05 budget&amp;calendar 1R 050609 (23I)_Jun 16b_Book5_Category Template AC'11 @Cst Fx 52W vs 53W_P&amp;L KFE" xfId="13269"/>
    <cellStyle name="_simple chart 050321 (128MMSSU)_Wrigley - 05 budget&amp;calendar 1R 050609 (23I)_Jun 16b_Book5_Category Template AC'11 @Cst Fx 52W vs 53W_Sheet3" xfId="13270"/>
    <cellStyle name="_simple chart 050321 (128MMSSU)_Wrigley - 05 budget&amp;calendar 1R 050609 (23I)_Jun 16b_Book5_P&amp;L KFE" xfId="13271"/>
    <cellStyle name="_simple chart 050321 (128MMSSU)_Wrigley - 05 budget&amp;calendar 1R 050609 (23I)_Jun 16b_Book5_Sheet3" xfId="13272"/>
    <cellStyle name="_simple chart 050321 (128MMSSU)_Wrigley - 05 budget&amp;calendar 1R 050609 (23I)_Jun 16b_Category Template AC'11 @Cst Fx 52W vs 53W" xfId="13273"/>
    <cellStyle name="_simple chart 050321 (128MMSSU)_Wrigley - 05 budget&amp;calendar 1R 050609 (23I)_Jun 16b_Category Template AC'11 @Cst Fx 52W vs 53W 2" xfId="13274"/>
    <cellStyle name="_simple chart 050321 (128MMSSU)_Wrigley - 05 budget&amp;calendar 1R 050609 (23I)_Jun 16b_Category Template AC'11 @Cst Fx 52W vs 53W_P&amp;L KFE" xfId="13275"/>
    <cellStyle name="_simple chart 050321 (128MMSSU)_Wrigley - 05 budget&amp;calendar 1R 050609 (23I)_Jun 16b_Category Template AC'11 @Cst Fx 52W vs 53W_Sheet3" xfId="13276"/>
    <cellStyle name="_simple chart 050321 (128MMSSU)_Wrigley - 05 budget&amp;calendar 1R 050609 (23I)_Jun 16b_P&amp;L KFE" xfId="13277"/>
    <cellStyle name="_simple chart 050321 (128MMSSU)_Wrigley - 05 budget&amp;calendar 1R 050609 (23I)_Jun 16b_Sheet3" xfId="13278"/>
    <cellStyle name="_simple chart 050321 (128MMSSU)_Wrigley - 05 budget&amp;calendar 1R 050609 (23I)_Jun 16b_Wrigley - 05 budget&amp;calendar LE 050728 (25I)" xfId="13279"/>
    <cellStyle name="_simple chart 050321 (128MMSSU)_Wrigley - 05 budget&amp;calendar 1R 050609 (23I)_Jun 16b_Wrigley - 05 budget&amp;calendar LE 050728 (25I) 2" xfId="13280"/>
    <cellStyle name="_simple chart 050321 (128MMSSU)_Wrigley - 05 budget&amp;calendar 1R 050609 (23I)_Jun 16b_Wrigley - 05 budget&amp;calendar LE 050728 (25I)_Category Template AC'11 @Cst Fx 52W vs 53W" xfId="13281"/>
    <cellStyle name="_simple chart 050321 (128MMSSU)_Wrigley - 05 budget&amp;calendar 1R 050609 (23I)_Jun 16b_Wrigley - 05 budget&amp;calendar LE 050728 (25I)_Category Template AC'11 @Cst Fx 52W vs 53W 2" xfId="13282"/>
    <cellStyle name="_simple chart 050321 (128MMSSU)_Wrigley - 05 budget&amp;calendar 1R 050609 (23I)_Jun 16b_Wrigley - 05 budget&amp;calendar LE 050728 (25I)_Category Template AC'11 @Cst Fx 52W vs 53W_P&amp;L KFE" xfId="13283"/>
    <cellStyle name="_simple chart 050321 (128MMSSU)_Wrigley - 05 budget&amp;calendar 1R 050609 (23I)_Jun 16b_Wrigley - 05 budget&amp;calendar LE 050728 (25I)_Category Template AC'11 @Cst Fx 52W vs 53W_Sheet3" xfId="13284"/>
    <cellStyle name="_simple chart 050321 (128MMSSU)_Wrigley - 05 budget&amp;calendar 1R 050609 (23I)_Jun 16b_Wrigley - 05 budget&amp;calendar LE 050728 (25I)_P&amp;L KFE" xfId="13285"/>
    <cellStyle name="_simple chart 050321 (128MMSSU)_Wrigley - 05 budget&amp;calendar 1R 050609 (23I)_Jun 16b_Wrigley - 05 budget&amp;calendar LE 050728 (25I)_Sheet3" xfId="13286"/>
    <cellStyle name="_simple chart 050321 (128MMSSU)_Wrigley - 05 budget&amp;calendar 1R 050609 (23I)_Jun 16b_Wrigley - 05 budget&amp;calendar LE 050728 (25I)_Wrigley - 06 simple chart Sep 14" xfId="13287"/>
    <cellStyle name="_simple chart 050321 (128MMSSU)_Wrigley - 05 budget&amp;calendar 1R 050609 (23I)_Jun 16b_Wrigley - 05 budget&amp;calendar LE 050728 (25I)_Wrigley - 06 simple chart Sep 14 2" xfId="13288"/>
    <cellStyle name="_simple chart 050321 (128MMSSU)_Wrigley - 05 budget&amp;calendar 1R 050609 (23I)_Jun 16b_Wrigley - 05 budget&amp;calendar LE 050728 (25I)_Wrigley - 06 simple chart Sep 14_Category Template AC'11 @Cst Fx 52W vs 53W" xfId="13289"/>
    <cellStyle name="_simple chart 050321 (128MMSSU)_Wrigley - 05 budget&amp;calendar 1R 050609 (23I)_Jun 16b_Wrigley - 05 budget&amp;calendar LE 050728 (25I)_Wrigley - 06 simple chart Sep 14_Category Template AC'11 @Cst Fx 52W vs 53W 2" xfId="13290"/>
    <cellStyle name="_simple chart 050321 (128MMSSU)_Wrigley - 05 budget&amp;calendar 1R 050609 (23I)_Jun 16b_Wrigley - 05 budget&amp;calendar LE 050728 (25I)_Wrigley - 06 simple chart Sep 14_Category Template AC'11 @Cst Fx 52W vs 53W_P&amp;L KFE" xfId="13291"/>
    <cellStyle name="_simple chart 050321 (128MMSSU)_Wrigley - 05 budget&amp;calendar 1R 050609 (23I)_Jun 16b_Wrigley - 05 budget&amp;calendar LE 050728 (25I)_Wrigley - 06 simple chart Sep 14_Category Template AC'11 @Cst Fx 52W vs 53W_Sheet3" xfId="13292"/>
    <cellStyle name="_simple chart 050321 (128MMSSU)_Wrigley - 05 budget&amp;calendar 1R 050609 (23I)_Jun 16b_Wrigley - 05 budget&amp;calendar LE 050728 (25I)_Wrigley - 06 simple chart Sep 14_P&amp;L KFE" xfId="13293"/>
    <cellStyle name="_simple chart 050321 (128MMSSU)_Wrigley - 05 budget&amp;calendar 1R 050609 (23I)_Jun 16b_Wrigley - 05 budget&amp;calendar LE 050728 (25I)_Wrigley - 06 simple chart Sep 14_Sheet3" xfId="13294"/>
    <cellStyle name="_simple chart 050321 (128MMSSU)_Wrigley - 05 budget&amp;calendar 1R 050609 (23I)_Jun 16b_Wrigley - 05 budget&amp;calendar LE 050824 (25F)" xfId="13295"/>
    <cellStyle name="_simple chart 050321 (128MMSSU)_Wrigley - 05 budget&amp;calendar 1R 050609 (23I)_Jun 16b_Wrigley - 05 budget&amp;calendar LE 050824 (25F) 2" xfId="13296"/>
    <cellStyle name="_simple chart 050321 (128MMSSU)_Wrigley - 05 budget&amp;calendar 1R 050609 (23I)_Jun 16b_Wrigley - 05 budget&amp;calendar LE 050824 (25F)_Category Template AC'11 @Cst Fx 52W vs 53W" xfId="13297"/>
    <cellStyle name="_simple chart 050321 (128MMSSU)_Wrigley - 05 budget&amp;calendar 1R 050609 (23I)_Jun 16b_Wrigley - 05 budget&amp;calendar LE 050824 (25F)_Category Template AC'11 @Cst Fx 52W vs 53W 2" xfId="13298"/>
    <cellStyle name="_simple chart 050321 (128MMSSU)_Wrigley - 05 budget&amp;calendar 1R 050609 (23I)_Jun 16b_Wrigley - 05 budget&amp;calendar LE 050824 (25F)_Category Template AC'11 @Cst Fx 52W vs 53W_P&amp;L KFE" xfId="13299"/>
    <cellStyle name="_simple chart 050321 (128MMSSU)_Wrigley - 05 budget&amp;calendar 1R 050609 (23I)_Jun 16b_Wrigley - 05 budget&amp;calendar LE 050824 (25F)_Category Template AC'11 @Cst Fx 52W vs 53W_Sheet3" xfId="13300"/>
    <cellStyle name="_simple chart 050321 (128MMSSU)_Wrigley - 05 budget&amp;calendar 1R 050609 (23I)_Jun 16b_Wrigley - 05 budget&amp;calendar LE 050824 (25F)_P&amp;L KFE" xfId="13301"/>
    <cellStyle name="_simple chart 050321 (128MMSSU)_Wrigley - 05 budget&amp;calendar 1R 050609 (23I)_Jun 16b_Wrigley - 05 budget&amp;calendar LE 050824 (25F)_Sheet3" xfId="13302"/>
    <cellStyle name="_simple chart 050321 (128MMSSU)_Wrigley - 05 budget&amp;calendar 1R 050609 (23I)_Jun 16b_Wrigley - 05 budget&amp;calendar LE 050824 (25F)_Wrigley - 06 simple chart Sep 14" xfId="13303"/>
    <cellStyle name="_simple chart 050321 (128MMSSU)_Wrigley - 05 budget&amp;calendar 1R 050609 (23I)_Jun 16b_Wrigley - 05 budget&amp;calendar LE 050824 (25F)_Wrigley - 06 simple chart Sep 14 2" xfId="13304"/>
    <cellStyle name="_simple chart 050321 (128MMSSU)_Wrigley - 05 budget&amp;calendar 1R 050609 (23I)_Jun 16b_Wrigley - 05 budget&amp;calendar LE 050824 (25F)_Wrigley - 06 simple chart Sep 14_Category Template AC'11 @Cst Fx 52W vs 53W" xfId="13305"/>
    <cellStyle name="_simple chart 050321 (128MMSSU)_Wrigley - 05 budget&amp;calendar 1R 050609 (23I)_Jun 16b_Wrigley - 05 budget&amp;calendar LE 050824 (25F)_Wrigley - 06 simple chart Sep 14_Category Template AC'11 @Cst Fx 52W vs 53W 2" xfId="13306"/>
    <cellStyle name="_simple chart 050321 (128MMSSU)_Wrigley - 05 budget&amp;calendar 1R 050609 (23I)_Jun 16b_Wrigley - 05 budget&amp;calendar LE 050824 (25F)_Wrigley - 06 simple chart Sep 14_Category Template AC'11 @Cst Fx 52W vs 53W_P&amp;L KFE" xfId="13307"/>
    <cellStyle name="_simple chart 050321 (128MMSSU)_Wrigley - 05 budget&amp;calendar 1R 050609 (23I)_Jun 16b_Wrigley - 05 budget&amp;calendar LE 050824 (25F)_Wrigley - 06 simple chart Sep 14_Category Template AC'11 @Cst Fx 52W vs 53W_Sheet3" xfId="13308"/>
    <cellStyle name="_simple chart 050321 (128MMSSU)_Wrigley - 05 budget&amp;calendar 1R 050609 (23I)_Jun 16b_Wrigley - 05 budget&amp;calendar LE 050824 (25F)_Wrigley - 06 simple chart Sep 14_P&amp;L KFE" xfId="13309"/>
    <cellStyle name="_simple chart 050321 (128MMSSU)_Wrigley - 05 budget&amp;calendar 1R 050609 (23I)_Jun 16b_Wrigley - 05 budget&amp;calendar LE 050824 (25F)_Wrigley - 06 simple chart Sep 14_Sheet3" xfId="13310"/>
    <cellStyle name="_simple chart 050321 (128MMSSU)_Wrigley - 05 budget&amp;calendar 1R 050609 (23I)_Jun 16b_Wrigley - 05 budget&amp;calendar LE 050824 (25I)" xfId="13311"/>
    <cellStyle name="_simple chart 050321 (128MMSSU)_Wrigley - 05 budget&amp;calendar 1R 050609 (23I)_Jun 16b_Wrigley - 05 budget&amp;calendar LE 050824 (25I) 2" xfId="13312"/>
    <cellStyle name="_simple chart 050321 (128MMSSU)_Wrigley - 05 budget&amp;calendar 1R 050609 (23I)_Jun 16b_Wrigley - 05 budget&amp;calendar LE 050824 (25I)_Category Template AC'11 @Cst Fx 52W vs 53W" xfId="13313"/>
    <cellStyle name="_simple chart 050321 (128MMSSU)_Wrigley - 05 budget&amp;calendar 1R 050609 (23I)_Jun 16b_Wrigley - 05 budget&amp;calendar LE 050824 (25I)_Category Template AC'11 @Cst Fx 52W vs 53W 2" xfId="13314"/>
    <cellStyle name="_simple chart 050321 (128MMSSU)_Wrigley - 05 budget&amp;calendar 1R 050609 (23I)_Jun 16b_Wrigley - 05 budget&amp;calendar LE 050824 (25I)_Category Template AC'11 @Cst Fx 52W vs 53W_P&amp;L KFE" xfId="13315"/>
    <cellStyle name="_simple chart 050321 (128MMSSU)_Wrigley - 05 budget&amp;calendar 1R 050609 (23I)_Jun 16b_Wrigley - 05 budget&amp;calendar LE 050824 (25I)_Category Template AC'11 @Cst Fx 52W vs 53W_Sheet3" xfId="13316"/>
    <cellStyle name="_simple chart 050321 (128MMSSU)_Wrigley - 05 budget&amp;calendar 1R 050609 (23I)_Jun 16b_Wrigley - 05 budget&amp;calendar LE 050824 (25I)_P&amp;L KFE" xfId="13317"/>
    <cellStyle name="_simple chart 050321 (128MMSSU)_Wrigley - 05 budget&amp;calendar 1R 050609 (23I)_Jun 16b_Wrigley - 05 budget&amp;calendar LE 050824 (25I)_Sheet3" xfId="13318"/>
    <cellStyle name="_simple chart 050321 (128MMSSU)_Wrigley - 05 budget&amp;calendar 1R 050609 (23I)_Jun 16b_Wrigley - 05 budget&amp;calendar LE 050824 (25I)_Wrigley - 06 simple chart Sep 14" xfId="13319"/>
    <cellStyle name="_simple chart 050321 (128MMSSU)_Wrigley - 05 budget&amp;calendar 1R 050609 (23I)_Jun 16b_Wrigley - 05 budget&amp;calendar LE 050824 (25I)_Wrigley - 06 simple chart Sep 14 2" xfId="13320"/>
    <cellStyle name="_simple chart 050321 (128MMSSU)_Wrigley - 05 budget&amp;calendar 1R 050609 (23I)_Jun 16b_Wrigley - 05 budget&amp;calendar LE 050824 (25I)_Wrigley - 06 simple chart Sep 14_Category Template AC'11 @Cst Fx 52W vs 53W" xfId="13321"/>
    <cellStyle name="_simple chart 050321 (128MMSSU)_Wrigley - 05 budget&amp;calendar 1R 050609 (23I)_Jun 16b_Wrigley - 05 budget&amp;calendar LE 050824 (25I)_Wrigley - 06 simple chart Sep 14_Category Template AC'11 @Cst Fx 52W vs 53W 2" xfId="13322"/>
    <cellStyle name="_simple chart 050321 (128MMSSU)_Wrigley - 05 budget&amp;calendar 1R 050609 (23I)_Jun 16b_Wrigley - 05 budget&amp;calendar LE 050824 (25I)_Wrigley - 06 simple chart Sep 14_Category Template AC'11 @Cst Fx 52W vs 53W_P&amp;L KFE" xfId="13323"/>
    <cellStyle name="_simple chart 050321 (128MMSSU)_Wrigley - 05 budget&amp;calendar 1R 050609 (23I)_Jun 16b_Wrigley - 05 budget&amp;calendar LE 050824 (25I)_Wrigley - 06 simple chart Sep 14_Category Template AC'11 @Cst Fx 52W vs 53W_Sheet3" xfId="13324"/>
    <cellStyle name="_simple chart 050321 (128MMSSU)_Wrigley - 05 budget&amp;calendar 1R 050609 (23I)_Jun 16b_Wrigley - 05 budget&amp;calendar LE 050824 (25I)_Wrigley - 06 simple chart Sep 14_P&amp;L KFE" xfId="13325"/>
    <cellStyle name="_simple chart 050321 (128MMSSU)_Wrigley - 05 budget&amp;calendar 1R 050609 (23I)_Jun 16b_Wrigley - 05 budget&amp;calendar LE 050824 (25I)_Wrigley - 06 simple chart Sep 14_Sheet3" xfId="13326"/>
    <cellStyle name="_simple chart 050321 (128MMSSU)_Wrigley - 05 budget&amp;calendar 1R 050609 (23I)_Jun 16b_Wrigley - 06 simple chart Sep 14" xfId="13327"/>
    <cellStyle name="_simple chart 050321 (128MMSSU)_Wrigley - 05 budget&amp;calendar 1R 050609 (23I)_Jun 16b_Wrigley - 06 simple chart Sep 14 2" xfId="13328"/>
    <cellStyle name="_simple chart 050321 (128MMSSU)_Wrigley - 05 budget&amp;calendar 1R 050609 (23I)_Jun 16b_Wrigley - 06 simple chart Sep 14_Category Template AC'11 @Cst Fx 52W vs 53W" xfId="13329"/>
    <cellStyle name="_simple chart 050321 (128MMSSU)_Wrigley - 05 budget&amp;calendar 1R 050609 (23I)_Jun 16b_Wrigley - 06 simple chart Sep 14_Category Template AC'11 @Cst Fx 52W vs 53W 2" xfId="13330"/>
    <cellStyle name="_simple chart 050321 (128MMSSU)_Wrigley - 05 budget&amp;calendar 1R 050609 (23I)_Jun 16b_Wrigley - 06 simple chart Sep 14_Category Template AC'11 @Cst Fx 52W vs 53W_P&amp;L KFE" xfId="13331"/>
    <cellStyle name="_simple chart 050321 (128MMSSU)_Wrigley - 05 budget&amp;calendar 1R 050609 (23I)_Jun 16b_Wrigley - 06 simple chart Sep 14_Category Template AC'11 @Cst Fx 52W vs 53W_Sheet3" xfId="13332"/>
    <cellStyle name="_simple chart 050321 (128MMSSU)_Wrigley - 05 budget&amp;calendar 1R 050609 (23I)_Jun 16b_Wrigley - 06 simple chart Sep 14_P&amp;L KFE" xfId="13333"/>
    <cellStyle name="_simple chart 050321 (128MMSSU)_Wrigley - 05 budget&amp;calendar 1R 050609 (23I)_Jun 16b_Wrigley - 06 simple chart Sep 14_Sheet3" xfId="13334"/>
    <cellStyle name="_simple chart 050321 (128MMSSU)_Wrigley - 05 budget&amp;calendar LE 050824 (25I)" xfId="13335"/>
    <cellStyle name="_simple chart 050321 (128MMSSU)_Wrigley - 05 budget&amp;calendar LE 050824 (25I) 2" xfId="13336"/>
    <cellStyle name="_simple chart 050321 (128MMSSU)_Wrigley - 05 budget&amp;calendar LE 050824 (25I)_Category Template AC'11 @Cst Fx 52W vs 53W" xfId="13337"/>
    <cellStyle name="_simple chart 050321 (128MMSSU)_Wrigley - 05 budget&amp;calendar LE 050824 (25I)_Category Template AC'11 @Cst Fx 52W vs 53W 2" xfId="13338"/>
    <cellStyle name="_simple chart 050321 (128MMSSU)_Wrigley - 05 budget&amp;calendar LE 050824 (25I)_Category Template AC'11 @Cst Fx 52W vs 53W_P&amp;L KFE" xfId="13339"/>
    <cellStyle name="_simple chart 050321 (128MMSSU)_Wrigley - 05 budget&amp;calendar LE 050824 (25I)_Category Template AC'11 @Cst Fx 52W vs 53W_Sheet3" xfId="13340"/>
    <cellStyle name="_simple chart 050321 (128MMSSU)_Wrigley - 05 budget&amp;calendar LE 050824 (25I)_P&amp;L KFE" xfId="13341"/>
    <cellStyle name="_simple chart 050321 (128MMSSU)_Wrigley - 05 budget&amp;calendar LE 050824 (25I)_Sheet3" xfId="13342"/>
    <cellStyle name="_simple chart 050321 (128MMSSU)_Wrigley - 05 budget&amp;calendar LE 050824 (25I)_Wrigley - 06 simple chart Sep 14" xfId="13343"/>
    <cellStyle name="_simple chart 050321 (128MMSSU)_Wrigley - 05 budget&amp;calendar LE 050824 (25I)_Wrigley - 06 simple chart Sep 14 2" xfId="13344"/>
    <cellStyle name="_simple chart 050321 (128MMSSU)_Wrigley - 05 budget&amp;calendar LE 050824 (25I)_Wrigley - 06 simple chart Sep 14_Category Template AC'11 @Cst Fx 52W vs 53W" xfId="13345"/>
    <cellStyle name="_simple chart 050321 (128MMSSU)_Wrigley - 05 budget&amp;calendar LE 050824 (25I)_Wrigley - 06 simple chart Sep 14_Category Template AC'11 @Cst Fx 52W vs 53W 2" xfId="13346"/>
    <cellStyle name="_simple chart 050321 (128MMSSU)_Wrigley - 05 budget&amp;calendar LE 050824 (25I)_Wrigley - 06 simple chart Sep 14_Category Template AC'11 @Cst Fx 52W vs 53W_P&amp;L KFE" xfId="13347"/>
    <cellStyle name="_simple chart 050321 (128MMSSU)_Wrigley - 05 budget&amp;calendar LE 050824 (25I)_Wrigley - 06 simple chart Sep 14_Category Template AC'11 @Cst Fx 52W vs 53W_Sheet3" xfId="13348"/>
    <cellStyle name="_simple chart 050321 (128MMSSU)_Wrigley - 05 budget&amp;calendar LE 050824 (25I)_Wrigley - 06 simple chart Sep 14_P&amp;L KFE" xfId="13349"/>
    <cellStyle name="_simple chart 050321 (128MMSSU)_Wrigley - 05 budget&amp;calendar LE 050824 (25I)_Wrigley - 06 simple chart Sep 14_Sheet3" xfId="13350"/>
    <cellStyle name="_simple chart 050321 (128MMSSU)_Wrigley - 05 budget&amp;calendar R1 050525 (21I) internal formate June 15" xfId="13351"/>
    <cellStyle name="_simple chart 050321 (128MMSSU)_Wrigley - 05 budget&amp;calendar R1 050525 (21I) internal formate June 15 2" xfId="13352"/>
    <cellStyle name="_simple chart 050321 (128MMSSU)_Wrigley - 05 budget&amp;calendar R1 050525 (21I) internal formate June 15_Book5" xfId="13353"/>
    <cellStyle name="_simple chart 050321 (128MMSSU)_Wrigley - 05 budget&amp;calendar R1 050525 (21I) internal formate June 15_Book5 2" xfId="13354"/>
    <cellStyle name="_simple chart 050321 (128MMSSU)_Wrigley - 05 budget&amp;calendar R1 050525 (21I) internal formate June 15_Book5_Category Template AC'11 @Cst Fx 52W vs 53W" xfId="13355"/>
    <cellStyle name="_simple chart 050321 (128MMSSU)_Wrigley - 05 budget&amp;calendar R1 050525 (21I) internal formate June 15_Book5_Category Template AC'11 @Cst Fx 52W vs 53W 2" xfId="13356"/>
    <cellStyle name="_simple chart 050321 (128MMSSU)_Wrigley - 05 budget&amp;calendar R1 050525 (21I) internal formate June 15_Book5_Category Template AC'11 @Cst Fx 52W vs 53W_P&amp;L KFE" xfId="13357"/>
    <cellStyle name="_simple chart 050321 (128MMSSU)_Wrigley - 05 budget&amp;calendar R1 050525 (21I) internal formate June 15_Book5_Category Template AC'11 @Cst Fx 52W vs 53W_Sheet3" xfId="13358"/>
    <cellStyle name="_simple chart 050321 (128MMSSU)_Wrigley - 05 budget&amp;calendar R1 050525 (21I) internal formate June 15_Book5_P&amp;L KFE" xfId="13359"/>
    <cellStyle name="_simple chart 050321 (128MMSSU)_Wrigley - 05 budget&amp;calendar R1 050525 (21I) internal formate June 15_Book5_Sheet3" xfId="13360"/>
    <cellStyle name="_simple chart 050321 (128MMSSU)_Wrigley - 05 budget&amp;calendar R1 050525 (21I) internal formate June 15_Category Template AC'11 @Cst Fx 52W vs 53W" xfId="13361"/>
    <cellStyle name="_simple chart 050321 (128MMSSU)_Wrigley - 05 budget&amp;calendar R1 050525 (21I) internal formate June 15_Category Template AC'11 @Cst Fx 52W vs 53W 2" xfId="13362"/>
    <cellStyle name="_simple chart 050321 (128MMSSU)_Wrigley - 05 budget&amp;calendar R1 050525 (21I) internal formate June 15_Category Template AC'11 @Cst Fx 52W vs 53W_P&amp;L KFE" xfId="13363"/>
    <cellStyle name="_simple chart 050321 (128MMSSU)_Wrigley - 05 budget&amp;calendar R1 050525 (21I) internal formate June 15_Category Template AC'11 @Cst Fx 52W vs 53W_Sheet3" xfId="13364"/>
    <cellStyle name="_simple chart 050321 (128MMSSU)_Wrigley - 05 budget&amp;calendar R1 050525 (21I) internal formate June 15_P&amp;L KFE" xfId="13365"/>
    <cellStyle name="_simple chart 050321 (128MMSSU)_Wrigley - 05 budget&amp;calendar R1 050525 (21I) internal formate June 15_Sheet3" xfId="13366"/>
    <cellStyle name="_simple chart 050321 (128MMSSU)_Wrigley - 05 budget&amp;calendar R1 050525 (21I) internal formate June 15_Wrigley - 05 budget&amp;calendar LE 050728 (25I)" xfId="13367"/>
    <cellStyle name="_simple chart 050321 (128MMSSU)_Wrigley - 05 budget&amp;calendar R1 050525 (21I) internal formate June 15_Wrigley - 05 budget&amp;calendar LE 050728 (25I) 2" xfId="13368"/>
    <cellStyle name="_simple chart 050321 (128MMSSU)_Wrigley - 05 budget&amp;calendar R1 050525 (21I) internal formate June 15_Wrigley - 05 budget&amp;calendar LE 050728 (25I)_Category Template AC'11 @Cst Fx 52W vs 53W" xfId="13369"/>
    <cellStyle name="_simple chart 050321 (128MMSSU)_Wrigley - 05 budget&amp;calendar R1 050525 (21I) internal formate June 15_Wrigley - 05 budget&amp;calendar LE 050728 (25I)_Category Template AC'11 @Cst Fx 52W vs 53W 2" xfId="13370"/>
    <cellStyle name="_simple chart 050321 (128MMSSU)_Wrigley - 05 budget&amp;calendar R1 050525 (21I) internal formate June 15_Wrigley - 05 budget&amp;calendar LE 050728 (25I)_Category Template AC'11 @Cst Fx 52W vs 53W_P&amp;L KFE" xfId="13371"/>
    <cellStyle name="_simple chart 050321 (128MMSSU)_Wrigley - 05 budget&amp;calendar R1 050525 (21I) internal formate June 15_Wrigley - 05 budget&amp;calendar LE 050728 (25I)_Category Template AC'11 @Cst Fx 52W vs 53W_Sheet3" xfId="13372"/>
    <cellStyle name="_simple chart 050321 (128MMSSU)_Wrigley - 05 budget&amp;calendar R1 050525 (21I) internal formate June 15_Wrigley - 05 budget&amp;calendar LE 050728 (25I)_P&amp;L KFE" xfId="13373"/>
    <cellStyle name="_simple chart 050321 (128MMSSU)_Wrigley - 05 budget&amp;calendar R1 050525 (21I) internal formate June 15_Wrigley - 05 budget&amp;calendar LE 050728 (25I)_Sheet3" xfId="13374"/>
    <cellStyle name="_simple chart 050321 (128MMSSU)_Wrigley - 05 budget&amp;calendar R1 050525 (21I) internal formate June 15_Wrigley - 05 budget&amp;calendar LE 050728 (25I)_Wrigley - 06 simple chart Sep 14" xfId="13375"/>
    <cellStyle name="_simple chart 050321 (128MMSSU)_Wrigley - 05 budget&amp;calendar R1 050525 (21I) internal formate June 15_Wrigley - 05 budget&amp;calendar LE 050728 (25I)_Wrigley - 06 simple chart Sep 14 2" xfId="13376"/>
    <cellStyle name="_simple chart 050321 (128MMSSU)_Wrigley - 05 budget&amp;calendar R1 050525 (21I) internal formate June 15_Wrigley - 05 budget&amp;calendar LE 050728 (25I)_Wrigley - 06 simple chart Sep 14_Category Template AC'11 @Cst Fx 52W vs 53W" xfId="13377"/>
    <cellStyle name="_simple chart 050321 (128MMSSU)_Wrigley - 05 budget&amp;calendar R1 050525 (21I) internal formate June 15_Wrigley - 05 budget&amp;calendar LE 050728 (25I)_Wrigley - 06 simple chart Sep 14_Category Template AC'11 @Cst Fx 52W vs 53W 2" xfId="13378"/>
    <cellStyle name="_simple chart 050321 (128MMSSU)_Wrigley - 05 budget&amp;calendar R1 050525 (21I) internal formate June 15_Wrigley - 05 budget&amp;calendar LE 050728 (25I)_Wrigley - 06 simple chart Sep 14_Category Template AC'11 @Cst Fx 52W vs 53W_P&amp;L KFE" xfId="13379"/>
    <cellStyle name="_simple chart 050321 (128MMSSU)_Wrigley - 05 budget&amp;calendar R1 050525 (21I) internal formate June 15_Wrigley - 05 budget&amp;calendar LE 050728 (25I)_Wrigley - 06 simple chart Sep 14_Category Template AC'11 @Cst Fx 52W vs 53W_Sheet3" xfId="13380"/>
    <cellStyle name="_simple chart 050321 (128MMSSU)_Wrigley - 05 budget&amp;calendar R1 050525 (21I) internal formate June 15_Wrigley - 05 budget&amp;calendar LE 050728 (25I)_Wrigley - 06 simple chart Sep 14_P&amp;L KFE" xfId="13381"/>
    <cellStyle name="_simple chart 050321 (128MMSSU)_Wrigley - 05 budget&amp;calendar R1 050525 (21I) internal formate June 15_Wrigley - 05 budget&amp;calendar LE 050728 (25I)_Wrigley - 06 simple chart Sep 14_Sheet3" xfId="13382"/>
    <cellStyle name="_simple chart 050321 (128MMSSU)_Wrigley - 05 budget&amp;calendar R1 050525 (21I) internal formate June 15_Wrigley - 05 budget&amp;calendar LE 050824 (25F)" xfId="13383"/>
    <cellStyle name="_simple chart 050321 (128MMSSU)_Wrigley - 05 budget&amp;calendar R1 050525 (21I) internal formate June 15_Wrigley - 05 budget&amp;calendar LE 050824 (25F) 2" xfId="13384"/>
    <cellStyle name="_simple chart 050321 (128MMSSU)_Wrigley - 05 budget&amp;calendar R1 050525 (21I) internal formate June 15_Wrigley - 05 budget&amp;calendar LE 050824 (25F)_Category Template AC'11 @Cst Fx 52W vs 53W" xfId="13385"/>
    <cellStyle name="_simple chart 050321 (128MMSSU)_Wrigley - 05 budget&amp;calendar R1 050525 (21I) internal formate June 15_Wrigley - 05 budget&amp;calendar LE 050824 (25F)_Category Template AC'11 @Cst Fx 52W vs 53W 2" xfId="13386"/>
    <cellStyle name="_simple chart 050321 (128MMSSU)_Wrigley - 05 budget&amp;calendar R1 050525 (21I) internal formate June 15_Wrigley - 05 budget&amp;calendar LE 050824 (25F)_Category Template AC'11 @Cst Fx 52W vs 53W_P&amp;L KFE" xfId="13387"/>
    <cellStyle name="_simple chart 050321 (128MMSSU)_Wrigley - 05 budget&amp;calendar R1 050525 (21I) internal formate June 15_Wrigley - 05 budget&amp;calendar LE 050824 (25F)_Category Template AC'11 @Cst Fx 52W vs 53W_Sheet3" xfId="13388"/>
    <cellStyle name="_simple chart 050321 (128MMSSU)_Wrigley - 05 budget&amp;calendar R1 050525 (21I) internal formate June 15_Wrigley - 05 budget&amp;calendar LE 050824 (25F)_P&amp;L KFE" xfId="13389"/>
    <cellStyle name="_simple chart 050321 (128MMSSU)_Wrigley - 05 budget&amp;calendar R1 050525 (21I) internal formate June 15_Wrigley - 05 budget&amp;calendar LE 050824 (25F)_Sheet3" xfId="13390"/>
    <cellStyle name="_simple chart 050321 (128MMSSU)_Wrigley - 05 budget&amp;calendar R1 050525 (21I) internal formate June 15_Wrigley - 05 budget&amp;calendar LE 050824 (25F)_Wrigley - 06 simple chart Sep 14" xfId="13391"/>
    <cellStyle name="_simple chart 050321 (128MMSSU)_Wrigley - 05 budget&amp;calendar R1 050525 (21I) internal formate June 15_Wrigley - 05 budget&amp;calendar LE 050824 (25F)_Wrigley - 06 simple chart Sep 14 2" xfId="13392"/>
    <cellStyle name="_simple chart 050321 (128MMSSU)_Wrigley - 05 budget&amp;calendar R1 050525 (21I) internal formate June 15_Wrigley - 05 budget&amp;calendar LE 050824 (25F)_Wrigley - 06 simple chart Sep 14_Category Template AC'11 @Cst Fx 52W vs 53W" xfId="13393"/>
    <cellStyle name="_simple chart 050321 (128MMSSU)_Wrigley - 05 budget&amp;calendar R1 050525 (21I) internal formate June 15_Wrigley - 05 budget&amp;calendar LE 050824 (25F)_Wrigley - 06 simple chart Sep 14_Category Template AC'11 @Cst Fx 52W vs 53W 2" xfId="13394"/>
    <cellStyle name="_simple chart 050321 (128MMSSU)_Wrigley - 05 budget&amp;calendar R1 050525 (21I) internal formate June 15_Wrigley - 05 budget&amp;calendar LE 050824 (25F)_Wrigley - 06 simple chart Sep 14_Category Template AC'11 @Cst Fx 52W vs 53W_P&amp;L KFE" xfId="13395"/>
    <cellStyle name="_simple chart 050321 (128MMSSU)_Wrigley - 05 budget&amp;calendar R1 050525 (21I) internal formate June 15_Wrigley - 05 budget&amp;calendar LE 050824 (25F)_Wrigley - 06 simple chart Sep 14_Category Template AC'11 @Cst Fx 52W vs 53W_Sheet3" xfId="13396"/>
    <cellStyle name="_simple chart 050321 (128MMSSU)_Wrigley - 05 budget&amp;calendar R1 050525 (21I) internal formate June 15_Wrigley - 05 budget&amp;calendar LE 050824 (25F)_Wrigley - 06 simple chart Sep 14_P&amp;L KFE" xfId="13397"/>
    <cellStyle name="_simple chart 050321 (128MMSSU)_Wrigley - 05 budget&amp;calendar R1 050525 (21I) internal formate June 15_Wrigley - 05 budget&amp;calendar LE 050824 (25F)_Wrigley - 06 simple chart Sep 14_Sheet3" xfId="13398"/>
    <cellStyle name="_simple chart 050321 (128MMSSU)_Wrigley - 05 budget&amp;calendar R1 050525 (21I) internal formate June 15_Wrigley - 05 budget&amp;calendar LE 050824 (25I)" xfId="13399"/>
    <cellStyle name="_simple chart 050321 (128MMSSU)_Wrigley - 05 budget&amp;calendar R1 050525 (21I) internal formate June 15_Wrigley - 05 budget&amp;calendar LE 050824 (25I) 2" xfId="13400"/>
    <cellStyle name="_simple chart 050321 (128MMSSU)_Wrigley - 05 budget&amp;calendar R1 050525 (21I) internal formate June 15_Wrigley - 05 budget&amp;calendar LE 050824 (25I)_Category Template AC'11 @Cst Fx 52W vs 53W" xfId="13401"/>
    <cellStyle name="_simple chart 050321 (128MMSSU)_Wrigley - 05 budget&amp;calendar R1 050525 (21I) internal formate June 15_Wrigley - 05 budget&amp;calendar LE 050824 (25I)_Category Template AC'11 @Cst Fx 52W vs 53W 2" xfId="13402"/>
    <cellStyle name="_simple chart 050321 (128MMSSU)_Wrigley - 05 budget&amp;calendar R1 050525 (21I) internal formate June 15_Wrigley - 05 budget&amp;calendar LE 050824 (25I)_Category Template AC'11 @Cst Fx 52W vs 53W_P&amp;L KFE" xfId="13403"/>
    <cellStyle name="_simple chart 050321 (128MMSSU)_Wrigley - 05 budget&amp;calendar R1 050525 (21I) internal formate June 15_Wrigley - 05 budget&amp;calendar LE 050824 (25I)_Category Template AC'11 @Cst Fx 52W vs 53W_Sheet3" xfId="13404"/>
    <cellStyle name="_simple chart 050321 (128MMSSU)_Wrigley - 05 budget&amp;calendar R1 050525 (21I) internal formate June 15_Wrigley - 05 budget&amp;calendar LE 050824 (25I)_P&amp;L KFE" xfId="13405"/>
    <cellStyle name="_simple chart 050321 (128MMSSU)_Wrigley - 05 budget&amp;calendar R1 050525 (21I) internal formate June 15_Wrigley - 05 budget&amp;calendar LE 050824 (25I)_Sheet3" xfId="13406"/>
    <cellStyle name="_simple chart 050321 (128MMSSU)_Wrigley - 05 budget&amp;calendar R1 050525 (21I) internal formate June 15_Wrigley - 05 budget&amp;calendar LE 050824 (25I)_Wrigley - 06 simple chart Sep 14" xfId="13407"/>
    <cellStyle name="_simple chart 050321 (128MMSSU)_Wrigley - 05 budget&amp;calendar R1 050525 (21I) internal formate June 15_Wrigley - 05 budget&amp;calendar LE 050824 (25I)_Wrigley - 06 simple chart Sep 14 2" xfId="13408"/>
    <cellStyle name="_simple chart 050321 (128MMSSU)_Wrigley - 05 budget&amp;calendar R1 050525 (21I) internal formate June 15_Wrigley - 05 budget&amp;calendar LE 050824 (25I)_Wrigley - 06 simple chart Sep 14_Category Template AC'11 @Cst Fx 52W vs 53W" xfId="13409"/>
    <cellStyle name="_simple chart 050321 (128MMSSU)_Wrigley - 05 budget&amp;calendar R1 050525 (21I) internal formate June 15_Wrigley - 05 budget&amp;calendar LE 050824 (25I)_Wrigley - 06 simple chart Sep 14_Category Template AC'11 @Cst Fx 52W vs 53W 2" xfId="13410"/>
    <cellStyle name="_simple chart 050321 (128MMSSU)_Wrigley - 05 budget&amp;calendar R1 050525 (21I) internal formate June 15_Wrigley - 05 budget&amp;calendar LE 050824 (25I)_Wrigley - 06 simple chart Sep 14_Category Template AC'11 @Cst Fx 52W vs 53W_P&amp;L KFE" xfId="13411"/>
    <cellStyle name="_simple chart 050321 (128MMSSU)_Wrigley - 05 budget&amp;calendar R1 050525 (21I) internal formate June 15_Wrigley - 05 budget&amp;calendar LE 050824 (25I)_Wrigley - 06 simple chart Sep 14_Category Template AC'11 @Cst Fx 52W vs 53W_Sheet3" xfId="13412"/>
    <cellStyle name="_simple chart 050321 (128MMSSU)_Wrigley - 05 budget&amp;calendar R1 050525 (21I) internal formate June 15_Wrigley - 05 budget&amp;calendar LE 050824 (25I)_Wrigley - 06 simple chart Sep 14_P&amp;L KFE" xfId="13413"/>
    <cellStyle name="_simple chart 050321 (128MMSSU)_Wrigley - 05 budget&amp;calendar R1 050525 (21I) internal formate June 15_Wrigley - 05 budget&amp;calendar LE 050824 (25I)_Wrigley - 06 simple chart Sep 14_Sheet3" xfId="13414"/>
    <cellStyle name="_simple chart 050321 (128MMSSU)_Wrigley - 05 budget&amp;calendar R1 050525 (21I) internal formate June 15_Wrigley - 06 simple chart Sep 14" xfId="13415"/>
    <cellStyle name="_simple chart 050321 (128MMSSU)_Wrigley - 05 budget&amp;calendar R1 050525 (21I) internal formate June 15_Wrigley - 06 simple chart Sep 14 2" xfId="13416"/>
    <cellStyle name="_simple chart 050321 (128MMSSU)_Wrigley - 05 budget&amp;calendar R1 050525 (21I) internal formate June 15_Wrigley - 06 simple chart Sep 14_Category Template AC'11 @Cst Fx 52W vs 53W" xfId="13417"/>
    <cellStyle name="_simple chart 050321 (128MMSSU)_Wrigley - 05 budget&amp;calendar R1 050525 (21I) internal formate June 15_Wrigley - 06 simple chart Sep 14_Category Template AC'11 @Cst Fx 52W vs 53W 2" xfId="13418"/>
    <cellStyle name="_simple chart 050321 (128MMSSU)_Wrigley - 05 budget&amp;calendar R1 050525 (21I) internal formate June 15_Wrigley - 06 simple chart Sep 14_Category Template AC'11 @Cst Fx 52W vs 53W_P&amp;L KFE" xfId="13419"/>
    <cellStyle name="_simple chart 050321 (128MMSSU)_Wrigley - 05 budget&amp;calendar R1 050525 (21I) internal formate June 15_Wrigley - 06 simple chart Sep 14_Category Template AC'11 @Cst Fx 52W vs 53W_Sheet3" xfId="13420"/>
    <cellStyle name="_simple chart 050321 (128MMSSU)_Wrigley - 05 budget&amp;calendar R1 050525 (21I) internal formate June 15_Wrigley - 06 simple chart Sep 14_P&amp;L KFE" xfId="13421"/>
    <cellStyle name="_simple chart 050321 (128MMSSU)_Wrigley - 05 budget&amp;calendar R1 050525 (21I) internal formate June 15_Wrigley - 06 simple chart Sep 14_Sheet3" xfId="13422"/>
    <cellStyle name="_simple chart 050321 (128MMSSU)_Wrigley - 06 simple chart Sep 14" xfId="13423"/>
    <cellStyle name="_simple chart 050321 (128MMSSU)_Wrigley - 06 simple chart Sep 14 2" xfId="13424"/>
    <cellStyle name="_simple chart 050321 (128MMSSU)_Wrigley - 06 simple chart Sep 14_Category Template AC'11 @Cst Fx 52W vs 53W" xfId="13425"/>
    <cellStyle name="_simple chart 050321 (128MMSSU)_Wrigley - 06 simple chart Sep 14_Category Template AC'11 @Cst Fx 52W vs 53W 2" xfId="13426"/>
    <cellStyle name="_simple chart 050321 (128MMSSU)_Wrigley - 06 simple chart Sep 14_Category Template AC'11 @Cst Fx 52W vs 53W_P&amp;L KFE" xfId="13427"/>
    <cellStyle name="_simple chart 050321 (128MMSSU)_Wrigley - 06 simple chart Sep 14_Category Template AC'11 @Cst Fx 52W vs 53W_Sheet3" xfId="13428"/>
    <cellStyle name="_simple chart 050321 (128MMSSU)_Wrigley - 06 simple chart Sep 14_P&amp;L KFE" xfId="13429"/>
    <cellStyle name="_simple chart 050321 (128MMSSU)_Wrigley - 06 simple chart Sep 14_Sheet3" xfId="13430"/>
    <cellStyle name="_Simul AC11 propal V4 SR JPC validated PB 20sept" xfId="13431"/>
    <cellStyle name="_SMG&amp;A_SepMU3 &amp; AP'09 (Oct 16th Sub)" xfId="13432"/>
    <cellStyle name="_SMGA  UK presentation templates - AOP10 - 280909 sent to KFE" xfId="13433"/>
    <cellStyle name="_SMGA  UK presentation templates - AOP10 - 280909 sent to KFE_P&amp;L KFE" xfId="13434"/>
    <cellStyle name="_SMGA  UK presentation templates - AOP10 - 280909 sent to KFE_Sheet3" xfId="13435"/>
    <cellStyle name="_SMGA (Val 7Nov07)" xfId="13436"/>
    <cellStyle name="_SMGA EU Details 08Q2 (5)" xfId="13437"/>
    <cellStyle name="_SMGA EU Details 08Q2 (5) 2" xfId="13438"/>
    <cellStyle name="_SMGA EU Details 08Q2 (5) 2_P&amp;L KFE" xfId="13439"/>
    <cellStyle name="_SMGA EU Details 08Q2 (5) 2_Sheet3" xfId="13440"/>
    <cellStyle name="_SMGA EU Details 08Q2 (5)_P&amp;L KFE" xfId="13441"/>
    <cellStyle name="_SMGA EU Details 08Q2 (5)_Sheet3" xfId="13442"/>
    <cellStyle name="_Staff Allocation - EP" xfId="13443"/>
    <cellStyle name="_Staff Allocation - EP_P&amp;L KFE" xfId="13444"/>
    <cellStyle name="_Staff Allocation - EP_Sheet3" xfId="13445"/>
    <cellStyle name="_Standard Recharge Calculations P Dyer 170106" xfId="13446"/>
    <cellStyle name="_subcontract fee analysis0704" xfId="13447"/>
    <cellStyle name="_subcontract fee analysis0704 2" xfId="13448"/>
    <cellStyle name="_subcontract fee analysis0704_Category Template AC'11 @Cst Fx 52W vs 53W" xfId="13449"/>
    <cellStyle name="_subcontract fee analysis0704_Category Template AC'11 @Cst Fx 52W vs 53W 2" xfId="13450"/>
    <cellStyle name="_subcontract fee analysis0704_Category Template AC'11 @Cst Fx 52W vs 53W_P&amp;L KFE" xfId="13451"/>
    <cellStyle name="_subcontract fee analysis0704_Category Template AC'11 @Cst Fx 52W vs 53W_Sheet3" xfId="13452"/>
    <cellStyle name="_subcontract fee analysis0704_P&amp;L KFE" xfId="13453"/>
    <cellStyle name="_subcontract fee analysis0704_Sheet3" xfId="13454"/>
    <cellStyle name="_subcontract fee analysis0707" xfId="13455"/>
    <cellStyle name="_subcontract fee analysis0707 2" xfId="13456"/>
    <cellStyle name="_subcontract fee analysis0707_Category Template AC'11 @Cst Fx 52W vs 53W" xfId="13457"/>
    <cellStyle name="_subcontract fee analysis0707_Category Template AC'11 @Cst Fx 52W vs 53W 2" xfId="13458"/>
    <cellStyle name="_subcontract fee analysis0707_Category Template AC'11 @Cst Fx 52W vs 53W_P&amp;L KFE" xfId="13459"/>
    <cellStyle name="_subcontract fee analysis0707_Category Template AC'11 @Cst Fx 52W vs 53W_Sheet3" xfId="13460"/>
    <cellStyle name="_subcontract fee analysis0707_OB 2008 w JAA-PY" xfId="13461"/>
    <cellStyle name="_subcontract fee analysis0707_OB 2008 w JAA-PY 2" xfId="13462"/>
    <cellStyle name="_subcontract fee analysis0707_OB 2008 w JAA-PY_Category Template AC'11 @Cst Fx 52W vs 53W" xfId="13463"/>
    <cellStyle name="_subcontract fee analysis0707_OB 2008 w JAA-PY_Category Template AC'11 @Cst Fx 52W vs 53W 2" xfId="13464"/>
    <cellStyle name="_subcontract fee analysis0707_OB 2008 w JAA-PY_Category Template AC'11 @Cst Fx 52W vs 53W_P&amp;L KFE" xfId="13465"/>
    <cellStyle name="_subcontract fee analysis0707_OB 2008 w JAA-PY_Category Template AC'11 @Cst Fx 52W vs 53W_Sheet3" xfId="13466"/>
    <cellStyle name="_subcontract fee analysis0707_OB 2008 w JAA-PY_P&amp;L KFE" xfId="13467"/>
    <cellStyle name="_subcontract fee analysis0707_OB 2008 w JAA-PY_Sheet3" xfId="13468"/>
    <cellStyle name="_subcontract fee analysis0707_P&amp;L KFE" xfId="13469"/>
    <cellStyle name="_subcontract fee analysis0707_powerpoint content" xfId="13470"/>
    <cellStyle name="_subcontract fee analysis0707_powerpoint content 2" xfId="13471"/>
    <cellStyle name="_subcontract fee analysis0707_powerpoint content_Category Template AC'11 @Cst Fx 52W vs 53W" xfId="13472"/>
    <cellStyle name="_subcontract fee analysis0707_powerpoint content_Category Template AC'11 @Cst Fx 52W vs 53W 2" xfId="13473"/>
    <cellStyle name="_subcontract fee analysis0707_powerpoint content_Category Template AC'11 @Cst Fx 52W vs 53W_P&amp;L KFE" xfId="13474"/>
    <cellStyle name="_subcontract fee analysis0707_powerpoint content_Category Template AC'11 @Cst Fx 52W vs 53W_Sheet3" xfId="13475"/>
    <cellStyle name="_subcontract fee analysis0707_powerpoint content_P&amp;L KFE" xfId="13476"/>
    <cellStyle name="_subcontract fee analysis0707_powerpoint content_Sheet3" xfId="13477"/>
    <cellStyle name="_subcontract fee analysis0707_Sheet3" xfId="13478"/>
    <cellStyle name="_subcontract fee analysis0712" xfId="13479"/>
    <cellStyle name="_subcontract fee analysis0712 2" xfId="13480"/>
    <cellStyle name="_subcontract fee analysis0712_Category Template AC'11 @Cst Fx 52W vs 53W" xfId="13481"/>
    <cellStyle name="_subcontract fee analysis0712_Category Template AC'11 @Cst Fx 52W vs 53W 2" xfId="13482"/>
    <cellStyle name="_subcontract fee analysis0712_Category Template AC'11 @Cst Fx 52W vs 53W_P&amp;L KFE" xfId="13483"/>
    <cellStyle name="_subcontract fee analysis0712_Category Template AC'11 @Cst Fx 52W vs 53W_Sheet3" xfId="13484"/>
    <cellStyle name="_subcontract fee analysis0712_P&amp;L KFE" xfId="13485"/>
    <cellStyle name="_subcontract fee analysis0712_Sheet3" xfId="13486"/>
    <cellStyle name="_Suivi volumes Act'09" xfId="13487"/>
    <cellStyle name="_Summary 26_07_07" xfId="13488"/>
    <cellStyle name="_Summary 26_07_07_AR_TUC new line_Szekes v10" xfId="13489"/>
    <cellStyle name="_Summary for 2010 roll-forward_v08Sep_v13b" xfId="13490"/>
    <cellStyle name="_Summary for 2010 roll-forward_v08Sep_v13b (2)" xfId="13491"/>
    <cellStyle name="_Summary Margarine strategic reserve" xfId="13492"/>
    <cellStyle name="_Summary Projects 2008 - All Regions" xfId="13493"/>
    <cellStyle name="_Summary Sheet CEC (2) (2)" xfId="13494"/>
    <cellStyle name="_Synergies - input Chocolate" xfId="13495"/>
    <cellStyle name="_Synthèse volumes Q2" xfId="13496"/>
    <cellStyle name="_Systems &amp; Apps Inventory" xfId="13497"/>
    <cellStyle name="_Systems &amp; Apps Inventory_P&amp;L KFE" xfId="13498"/>
    <cellStyle name="_Systems &amp; Apps Inventory_Sheet3" xfId="13499"/>
    <cellStyle name="_T4G Central Team CC v1 24.06.09" xfId="13500"/>
    <cellStyle name="_T4G Central Team CC v1 24.06.09_P&amp;L KFE" xfId="13501"/>
    <cellStyle name="_T4G Central Team CC v1 24.06.09_Sheet3" xfId="13502"/>
    <cellStyle name="_T4G Sys. Impl Reporting" xfId="13503"/>
    <cellStyle name="_T4G Sys. Impl Reporting_P&amp;L KFE" xfId="13504"/>
    <cellStyle name="_T4G Sys. Impl Reporting_Sheet3" xfId="13505"/>
    <cellStyle name="_Tabela de Preços 01 01 2008 Kraft PT" xfId="13506"/>
    <cellStyle name="_Tabela de Preços 01 01 2008 Kraft PT 2" xfId="13507"/>
    <cellStyle name="_Tabela de Preços 01 01 2008 Kraft PT ult versao" xfId="13508"/>
    <cellStyle name="_Tabela de Preços 01 01 2008 Kraft PT ult versao 2" xfId="13509"/>
    <cellStyle name="_Tabela de Preços 01 01 2008 Kraft PT ult versao_Opps&amp;Risks" xfId="13510"/>
    <cellStyle name="_Tabela de Preços 01 01 2008 Kraft PT ult versao_Opps&amp;Risks 2" xfId="13511"/>
    <cellStyle name="_Tabela de Preços 01 01 2008 Kraft PT ult versao_P&amp;L KFE" xfId="13512"/>
    <cellStyle name="_Tabela de Preços 01 01 2008 Kraft PT ult versao_Sheet1" xfId="13513"/>
    <cellStyle name="_Tabela de Preços 01 01 2008 Kraft PT ult versao_Sheet3" xfId="13514"/>
    <cellStyle name="_Tabela de Preços 01 01 2008 Kraft PT_Opps&amp;Risks" xfId="13515"/>
    <cellStyle name="_Tabela de Preços 01 01 2008 Kraft PT_Opps&amp;Risks 2" xfId="13516"/>
    <cellStyle name="_Tabela de Preços 01 01 2008 Kraft PT_P&amp;L KFE" xfId="13517"/>
    <cellStyle name="_Tabela de Preços 01 01 2008 Kraft PT_Sheet1" xfId="13518"/>
    <cellStyle name="_Tabela de Preços 01 01 2008 Kraft PT_Sheet3" xfId="13519"/>
    <cellStyle name="_Tabela de Preços 01_06_2008 Kraft PT" xfId="13520"/>
    <cellStyle name="_Tabela de Preços 01_06_2008 Kraft PT 2" xfId="13521"/>
    <cellStyle name="_Tabela de Preços 01_06_2008 Kraft PT_Opps&amp;Risks" xfId="13522"/>
    <cellStyle name="_Tabela de Preços 01_06_2008 Kraft PT_Opps&amp;Risks 2" xfId="13523"/>
    <cellStyle name="_Tabela de Preços 01_06_2008 Kraft PT_P&amp;L KFE" xfId="13524"/>
    <cellStyle name="_Tabela de Preços 01_06_2008 Kraft PT_Sheet1" xfId="13525"/>
    <cellStyle name="_Tabela de Preços 01_06_2008 Kraft PT_Sheet3" xfId="13526"/>
    <cellStyle name="_TableHead" xfId="13527"/>
    <cellStyle name="_TableHead_100427-Synergy Project Template (Office Sites)" xfId="13528"/>
    <cellStyle name="_TableHead_100429 - AR Office Site Consolidation - Consolidated V22 (AL)" xfId="13529"/>
    <cellStyle name="_TableHead_100618 - AR Office Site Consolidation - Consolidated V27 (AL after AR)_FLA GIMO" xfId="13530"/>
    <cellStyle name="_TableHead_Actuals and Q1 Summary Retrieves" xfId="13531"/>
    <cellStyle name="_TableHead_Actuals and Q1 Summary Retrieves_Commentary - KFE - GIMO Actuals File_211010" xfId="13532"/>
    <cellStyle name="_TableHead_AR Office Site Consolidation - Overview (2)" xfId="13533"/>
    <cellStyle name="_TableHead_AR Office Site Consolidation - Overview (2)_Commentary - KFE - GIMO Actuals File_211010" xfId="13534"/>
    <cellStyle name="_TableHead_Category &amp; Brand detail" xfId="13535"/>
    <cellStyle name="_TableHead_Contract deck - Category templates" xfId="13536"/>
    <cellStyle name="_TableHead_Contract deck - Category templates_Commentary - KFE - GIMO Actuals File_211010" xfId="13537"/>
    <cellStyle name="_TableRowHead" xfId="13538"/>
    <cellStyle name="_targets_hc_14april" xfId="13539"/>
    <cellStyle name="_Tax codes" xfId="13540"/>
    <cellStyle name="_Tax codes_P&amp;L KFE" xfId="13541"/>
    <cellStyle name="_Tax codes_Sheet3" xfId="13542"/>
    <cellStyle name="_TdB LU Polska 200612" xfId="13543"/>
    <cellStyle name="_TdB LU Polska 200612 2" xfId="13544"/>
    <cellStyle name="_TdB LU Polska 200612_P&amp;L KFE" xfId="13545"/>
    <cellStyle name="_TdB LU Polska 200612_Sheet3" xfId="13546"/>
    <cellStyle name="_TdB LU Polska 200701" xfId="13547"/>
    <cellStyle name="_TdB LU Polska 200701 2" xfId="13548"/>
    <cellStyle name="_TdB LU Polska 200701_P&amp;L KFE" xfId="13549"/>
    <cellStyle name="_TdB LU Polska 200701_Sheet3" xfId="13550"/>
    <cellStyle name="_TdB LU POLSKA 200708" xfId="13551"/>
    <cellStyle name="_TdB LU POLSKA 200708 2" xfId="13552"/>
    <cellStyle name="_TdB LU POLSKA 200708_P&amp;L KFE" xfId="13553"/>
    <cellStyle name="_TdB LU POLSKA 200708_Sheet3" xfId="13554"/>
    <cellStyle name="_Temp Staff" xfId="13555"/>
    <cellStyle name="_Temp Staff_Data" xfId="13556"/>
    <cellStyle name="_Temp Staff_GP25000 BIMA_Central Functions_ IT Management_3+9" xfId="13557"/>
    <cellStyle name="_Temp Staff_GP25000 BIMA_Central Functions_ IT Management_3+9_2010 9plus3 - Breakdown by cost centre" xfId="13558"/>
    <cellStyle name="_Temp Staff_GP25000 BIMA_Central Functions_ IT Management_3+9_CF Portfolio 2010 050510" xfId="13559"/>
    <cellStyle name="_Temp Staff_GP25000 BIMA_Central Functions_ IT Management_3+9_CV3 submission - UOP entity" xfId="13560"/>
    <cellStyle name="_Temp Staff_GP25000 BIMA_Central Functions_ IT Management_3+9_Data" xfId="13561"/>
    <cellStyle name="_Temp Staff_GP25000 BIMA_Central Functions_ IT Management_3+9_Function and cc mapping (2)" xfId="13562"/>
    <cellStyle name="_Temp Staff_GP25000 BIMA_Central Functions_ IT Management_3+9_Global_Hosting_Services_v02" xfId="13563"/>
    <cellStyle name="_Temp Staff_GP25000 BIMA_Central Functions_ IT Management_3+9_GP25056 Global Service Desk (UK) 2009" xfId="13564"/>
    <cellStyle name="_Temp Staff_GP25000 BIMA_Central Functions_ IT Management_3+9_GP25057_EUS_Shared_2009_CC_Report" xfId="13565"/>
    <cellStyle name="_Temp Staff_GP25000 BIMA_Central Functions_ IT Management_3+9_GP25060 Global Hosting Services 3+9F v5" xfId="13566"/>
    <cellStyle name="_Temp Staff_GP25000 BIMA_Central Functions_ IT Management_3+9_Sheet1" xfId="13567"/>
    <cellStyle name="_Temp Staff_GP25000 BIMA_Central Functions_ IT Management_3+9_Sheet2" xfId="13568"/>
    <cellStyle name="_Temp Staff_GP25000 BIMA_Central Functions_ IT Management_3+9_UOP balance by entity 6+6F" xfId="13569"/>
    <cellStyle name="_Temp Staff_GP25056 Global Service Desk (UK) 2009" xfId="13570"/>
    <cellStyle name="_Temp Staff_GP25057_EUS_Shared_2009_CC_Report" xfId="13571"/>
    <cellStyle name="_Temp Staff_GP25060 Global Hosting Services_2009_CC Report" xfId="13572"/>
    <cellStyle name="_Temp Staff_GP25060 Global Hosting Services_2009_V1" xfId="13573"/>
    <cellStyle name="_Temp Staff_GP25060 Global Hosting Services_Sept 08" xfId="13574"/>
    <cellStyle name="_Temp Staff_Information" xfId="13575"/>
    <cellStyle name="_Temp Staff_SAP" xfId="13576"/>
    <cellStyle name="_Temp Staff_SAP_2010 9plus3 - Breakdown by cost centre" xfId="13577"/>
    <cellStyle name="_Temp Staff_SAP_CF Portfolio 2010 050510" xfId="13578"/>
    <cellStyle name="_Temp Staff_SAP_CV3 submission - UOP entity" xfId="13579"/>
    <cellStyle name="_Temp Staff_SAP_Data" xfId="13580"/>
    <cellStyle name="_Temp Staff_SAP_Function and cc mapping (2)" xfId="13581"/>
    <cellStyle name="_Temp Staff_SAP_Global_Hosting_Services_v02" xfId="13582"/>
    <cellStyle name="_Temp Staff_SAP_GP25056 Global Service Desk (UK) 2009" xfId="13583"/>
    <cellStyle name="_Temp Staff_SAP_GP25057_EUS_Shared_2009_CC_Report" xfId="13584"/>
    <cellStyle name="_Temp Staff_SAP_GP25060 Global Hosting Services 3+9F v5" xfId="13585"/>
    <cellStyle name="_Temp Staff_SAP_Sheet1" xfId="13586"/>
    <cellStyle name="_Temp Staff_SAP_Sheet2" xfId="13587"/>
    <cellStyle name="_Temp Staff_SAP_UOP balance by entity 6+6F" xfId="13588"/>
    <cellStyle name="_Temp Staff_Sheet1" xfId="13589"/>
    <cellStyle name="_Temp Staff_Sheet2" xfId="13590"/>
    <cellStyle name="_Template Aug Fc AOP" xfId="13591"/>
    <cellStyle name="_Template Aug Fc AOP 2" xfId="13592"/>
    <cellStyle name="_Template Aug Fc AOP_Category Template AC'11 @Cst Fx 52W vs 53W" xfId="13593"/>
    <cellStyle name="_Template Aug Fc AOP_Category Template AC'11 @Cst Fx 52W vs 53W 2" xfId="13594"/>
    <cellStyle name="_Template Aug Fc AOP_Category Template AC'11 @Cst Fx 52W vs 53W_P&amp;L KFE" xfId="13595"/>
    <cellStyle name="_Template Aug Fc AOP_Category Template AC'11 @Cst Fx 52W vs 53W_Sheet3" xfId="13596"/>
    <cellStyle name="_Template Aug Fc AOP_P&amp;L KFE" xfId="13597"/>
    <cellStyle name="_Template Aug Fc AOP_Sheet3" xfId="13598"/>
    <cellStyle name="_Template v1" xfId="13599"/>
    <cellStyle name="_TEMPLATE_Global Data Request" xfId="13600"/>
    <cellStyle name="_TEMPLATE_Global Data Request_P&amp;L KFE" xfId="13601"/>
    <cellStyle name="_TEMPLATE_Global Data Request_Sheet3" xfId="13602"/>
    <cellStyle name="_templates OB 2009" xfId="13603"/>
    <cellStyle name="_TEST" xfId="13604"/>
    <cellStyle name="_Third Party Costs" xfId="13605"/>
    <cellStyle name="_Third Party Costs 2" xfId="13606"/>
    <cellStyle name="_Third Party Costs 2_P&amp;L KFE" xfId="13607"/>
    <cellStyle name="_Third Party Costs 2_Sheet3" xfId="13608"/>
    <cellStyle name="_Third Party Costs_P&amp;L KFE" xfId="13609"/>
    <cellStyle name="_Third Party Costs_Sheet3" xfId="13610"/>
    <cellStyle name="_Third Party Spend Data Collection Template for Canada 5_7_07 version 8" xfId="13611"/>
    <cellStyle name="_Third Party Spend Data Collection Template for Canada 5_7_07 version 8_P&amp;L KFE" xfId="13612"/>
    <cellStyle name="_Third Party Spend Data Collection Template for Canada 5_7_07 version 8_Sheet3" xfId="13613"/>
    <cellStyle name="_Timesheet Compliance Record" xfId="13614"/>
    <cellStyle name="_TJ Masterflow June 15" xfId="13615"/>
    <cellStyle name="_TJ Masterflow June 15 2" xfId="13616"/>
    <cellStyle name="_TJ Masterflow June 15_Book5" xfId="13617"/>
    <cellStyle name="_TJ Masterflow June 15_Book5 2" xfId="13618"/>
    <cellStyle name="_TJ Masterflow June 15_Book5_Category Template AC'11 @Cst Fx 52W vs 53W" xfId="13619"/>
    <cellStyle name="_TJ Masterflow June 15_Book5_Category Template AC'11 @Cst Fx 52W vs 53W 2" xfId="13620"/>
    <cellStyle name="_TJ Masterflow June 15_Book5_Category Template AC'11 @Cst Fx 52W vs 53W_P&amp;L KFE" xfId="13621"/>
    <cellStyle name="_TJ Masterflow June 15_Book5_Category Template AC'11 @Cst Fx 52W vs 53W_Sheet3" xfId="13622"/>
    <cellStyle name="_TJ Masterflow June 15_Book5_P&amp;L KFE" xfId="13623"/>
    <cellStyle name="_TJ Masterflow June 15_Book5_Sheet3" xfId="13624"/>
    <cellStyle name="_TJ Masterflow June 15_Category Template AC'11 @Cst Fx 52W vs 53W" xfId="13625"/>
    <cellStyle name="_TJ Masterflow June 15_Category Template AC'11 @Cst Fx 52W vs 53W 2" xfId="13626"/>
    <cellStyle name="_TJ Masterflow June 15_Category Template AC'11 @Cst Fx 52W vs 53W_P&amp;L KFE" xfId="13627"/>
    <cellStyle name="_TJ Masterflow June 15_Category Template AC'11 @Cst Fx 52W vs 53W_Sheet3" xfId="13628"/>
    <cellStyle name="_TJ Masterflow June 15_P&amp;L KFE" xfId="13629"/>
    <cellStyle name="_TJ Masterflow June 15_Sheet3" xfId="13630"/>
    <cellStyle name="_TJ Masterflow June 15_Wrigley - 05 budget&amp;calendar LE 050728 (25I)" xfId="13631"/>
    <cellStyle name="_TJ Masterflow June 15_Wrigley - 05 budget&amp;calendar LE 050728 (25I) 2" xfId="13632"/>
    <cellStyle name="_TJ Masterflow June 15_Wrigley - 05 budget&amp;calendar LE 050728 (25I)_Category Template AC'11 @Cst Fx 52W vs 53W" xfId="13633"/>
    <cellStyle name="_TJ Masterflow June 15_Wrigley - 05 budget&amp;calendar LE 050728 (25I)_Category Template AC'11 @Cst Fx 52W vs 53W 2" xfId="13634"/>
    <cellStyle name="_TJ Masterflow June 15_Wrigley - 05 budget&amp;calendar LE 050728 (25I)_Category Template AC'11 @Cst Fx 52W vs 53W_P&amp;L KFE" xfId="13635"/>
    <cellStyle name="_TJ Masterflow June 15_Wrigley - 05 budget&amp;calendar LE 050728 (25I)_Category Template AC'11 @Cst Fx 52W vs 53W_Sheet3" xfId="13636"/>
    <cellStyle name="_TJ Masterflow June 15_Wrigley - 05 budget&amp;calendar LE 050728 (25I)_P&amp;L KFE" xfId="13637"/>
    <cellStyle name="_TJ Masterflow June 15_Wrigley - 05 budget&amp;calendar LE 050728 (25I)_Sheet3" xfId="13638"/>
    <cellStyle name="_TJ Masterflow June 15_Wrigley - 05 budget&amp;calendar LE 050728 (25I)_Wrigley - 06 simple chart Sep 14" xfId="13639"/>
    <cellStyle name="_TJ Masterflow June 15_Wrigley - 05 budget&amp;calendar LE 050728 (25I)_Wrigley - 06 simple chart Sep 14 2" xfId="13640"/>
    <cellStyle name="_TJ Masterflow June 15_Wrigley - 05 budget&amp;calendar LE 050728 (25I)_Wrigley - 06 simple chart Sep 14_Category Template AC'11 @Cst Fx 52W vs 53W" xfId="13641"/>
    <cellStyle name="_TJ Masterflow June 15_Wrigley - 05 budget&amp;calendar LE 050728 (25I)_Wrigley - 06 simple chart Sep 14_Category Template AC'11 @Cst Fx 52W vs 53W 2" xfId="13642"/>
    <cellStyle name="_TJ Masterflow June 15_Wrigley - 05 budget&amp;calendar LE 050728 (25I)_Wrigley - 06 simple chart Sep 14_Category Template AC'11 @Cst Fx 52W vs 53W_P&amp;L KFE" xfId="13643"/>
    <cellStyle name="_TJ Masterflow June 15_Wrigley - 05 budget&amp;calendar LE 050728 (25I)_Wrigley - 06 simple chart Sep 14_Category Template AC'11 @Cst Fx 52W vs 53W_Sheet3" xfId="13644"/>
    <cellStyle name="_TJ Masterflow June 15_Wrigley - 05 budget&amp;calendar LE 050728 (25I)_Wrigley - 06 simple chart Sep 14_P&amp;L KFE" xfId="13645"/>
    <cellStyle name="_TJ Masterflow June 15_Wrigley - 05 budget&amp;calendar LE 050728 (25I)_Wrigley - 06 simple chart Sep 14_Sheet3" xfId="13646"/>
    <cellStyle name="_TJ Masterflow June 15_Wrigley - 05 budget&amp;calendar LE 050824 (25F)" xfId="13647"/>
    <cellStyle name="_TJ Masterflow June 15_Wrigley - 05 budget&amp;calendar LE 050824 (25F) 2" xfId="13648"/>
    <cellStyle name="_TJ Masterflow June 15_Wrigley - 05 budget&amp;calendar LE 050824 (25F)_Category Template AC'11 @Cst Fx 52W vs 53W" xfId="13649"/>
    <cellStyle name="_TJ Masterflow June 15_Wrigley - 05 budget&amp;calendar LE 050824 (25F)_Category Template AC'11 @Cst Fx 52W vs 53W 2" xfId="13650"/>
    <cellStyle name="_TJ Masterflow June 15_Wrigley - 05 budget&amp;calendar LE 050824 (25F)_Category Template AC'11 @Cst Fx 52W vs 53W_P&amp;L KFE" xfId="13651"/>
    <cellStyle name="_TJ Masterflow June 15_Wrigley - 05 budget&amp;calendar LE 050824 (25F)_Category Template AC'11 @Cst Fx 52W vs 53W_Sheet3" xfId="13652"/>
    <cellStyle name="_TJ Masterflow June 15_Wrigley - 05 budget&amp;calendar LE 050824 (25F)_P&amp;L KFE" xfId="13653"/>
    <cellStyle name="_TJ Masterflow June 15_Wrigley - 05 budget&amp;calendar LE 050824 (25F)_Sheet3" xfId="13654"/>
    <cellStyle name="_TJ Masterflow June 15_Wrigley - 05 budget&amp;calendar LE 050824 (25F)_Wrigley - 06 simple chart Sep 14" xfId="13655"/>
    <cellStyle name="_TJ Masterflow June 15_Wrigley - 05 budget&amp;calendar LE 050824 (25F)_Wrigley - 06 simple chart Sep 14 2" xfId="13656"/>
    <cellStyle name="_TJ Masterflow June 15_Wrigley - 05 budget&amp;calendar LE 050824 (25F)_Wrigley - 06 simple chart Sep 14_Category Template AC'11 @Cst Fx 52W vs 53W" xfId="13657"/>
    <cellStyle name="_TJ Masterflow June 15_Wrigley - 05 budget&amp;calendar LE 050824 (25F)_Wrigley - 06 simple chart Sep 14_Category Template AC'11 @Cst Fx 52W vs 53W 2" xfId="13658"/>
    <cellStyle name="_TJ Masterflow June 15_Wrigley - 05 budget&amp;calendar LE 050824 (25F)_Wrigley - 06 simple chart Sep 14_Category Template AC'11 @Cst Fx 52W vs 53W_P&amp;L KFE" xfId="13659"/>
    <cellStyle name="_TJ Masterflow June 15_Wrigley - 05 budget&amp;calendar LE 050824 (25F)_Wrigley - 06 simple chart Sep 14_Category Template AC'11 @Cst Fx 52W vs 53W_Sheet3" xfId="13660"/>
    <cellStyle name="_TJ Masterflow June 15_Wrigley - 05 budget&amp;calendar LE 050824 (25F)_Wrigley - 06 simple chart Sep 14_P&amp;L KFE" xfId="13661"/>
    <cellStyle name="_TJ Masterflow June 15_Wrigley - 05 budget&amp;calendar LE 050824 (25F)_Wrigley - 06 simple chart Sep 14_Sheet3" xfId="13662"/>
    <cellStyle name="_TJ Masterflow June 15_Wrigley - 05 budget&amp;calendar LE 050824 (25I)" xfId="13663"/>
    <cellStyle name="_TJ Masterflow June 15_Wrigley - 05 budget&amp;calendar LE 050824 (25I) 2" xfId="13664"/>
    <cellStyle name="_TJ Masterflow June 15_Wrigley - 05 budget&amp;calendar LE 050824 (25I)_Category Template AC'11 @Cst Fx 52W vs 53W" xfId="13665"/>
    <cellStyle name="_TJ Masterflow June 15_Wrigley - 05 budget&amp;calendar LE 050824 (25I)_Category Template AC'11 @Cst Fx 52W vs 53W 2" xfId="13666"/>
    <cellStyle name="_TJ Masterflow June 15_Wrigley - 05 budget&amp;calendar LE 050824 (25I)_Category Template AC'11 @Cst Fx 52W vs 53W_P&amp;L KFE" xfId="13667"/>
    <cellStyle name="_TJ Masterflow June 15_Wrigley - 05 budget&amp;calendar LE 050824 (25I)_Category Template AC'11 @Cst Fx 52W vs 53W_Sheet3" xfId="13668"/>
    <cellStyle name="_TJ Masterflow June 15_Wrigley - 05 budget&amp;calendar LE 050824 (25I)_P&amp;L KFE" xfId="13669"/>
    <cellStyle name="_TJ Masterflow June 15_Wrigley - 05 budget&amp;calendar LE 050824 (25I)_Sheet3" xfId="13670"/>
    <cellStyle name="_TJ Masterflow June 15_Wrigley - 05 budget&amp;calendar LE 050824 (25I)_Wrigley - 06 simple chart Sep 14" xfId="13671"/>
    <cellStyle name="_TJ Masterflow June 15_Wrigley - 05 budget&amp;calendar LE 050824 (25I)_Wrigley - 06 simple chart Sep 14 2" xfId="13672"/>
    <cellStyle name="_TJ Masterflow June 15_Wrigley - 05 budget&amp;calendar LE 050824 (25I)_Wrigley - 06 simple chart Sep 14_Category Template AC'11 @Cst Fx 52W vs 53W" xfId="13673"/>
    <cellStyle name="_TJ Masterflow June 15_Wrigley - 05 budget&amp;calendar LE 050824 (25I)_Wrigley - 06 simple chart Sep 14_Category Template AC'11 @Cst Fx 52W vs 53W 2" xfId="13674"/>
    <cellStyle name="_TJ Masterflow June 15_Wrigley - 05 budget&amp;calendar LE 050824 (25I)_Wrigley - 06 simple chart Sep 14_Category Template AC'11 @Cst Fx 52W vs 53W_P&amp;L KFE" xfId="13675"/>
    <cellStyle name="_TJ Masterflow June 15_Wrigley - 05 budget&amp;calendar LE 050824 (25I)_Wrigley - 06 simple chart Sep 14_Category Template AC'11 @Cst Fx 52W vs 53W_Sheet3" xfId="13676"/>
    <cellStyle name="_TJ Masterflow June 15_Wrigley - 05 budget&amp;calendar LE 050824 (25I)_Wrigley - 06 simple chart Sep 14_P&amp;L KFE" xfId="13677"/>
    <cellStyle name="_TJ Masterflow June 15_Wrigley - 05 budget&amp;calendar LE 050824 (25I)_Wrigley - 06 simple chart Sep 14_Sheet3" xfId="13678"/>
    <cellStyle name="_TJ Masterflow June 15_Wrigley - 06 simple chart Sep 14" xfId="13679"/>
    <cellStyle name="_TJ Masterflow June 15_Wrigley - 06 simple chart Sep 14 2" xfId="13680"/>
    <cellStyle name="_TJ Masterflow June 15_Wrigley - 06 simple chart Sep 14_Category Template AC'11 @Cst Fx 52W vs 53W" xfId="13681"/>
    <cellStyle name="_TJ Masterflow June 15_Wrigley - 06 simple chart Sep 14_Category Template AC'11 @Cst Fx 52W vs 53W 2" xfId="13682"/>
    <cellStyle name="_TJ Masterflow June 15_Wrigley - 06 simple chart Sep 14_Category Template AC'11 @Cst Fx 52W vs 53W_P&amp;L KFE" xfId="13683"/>
    <cellStyle name="_TJ Masterflow June 15_Wrigley - 06 simple chart Sep 14_Category Template AC'11 @Cst Fx 52W vs 53W_Sheet3" xfId="13684"/>
    <cellStyle name="_TJ Masterflow June 15_Wrigley - 06 simple chart Sep 14_P&amp;L KFE" xfId="13685"/>
    <cellStyle name="_TJ Masterflow June 15_Wrigley - 06 simple chart Sep 14_Sheet3" xfId="13686"/>
    <cellStyle name="_Top Lines Report Pack 200611 New" xfId="13687"/>
    <cellStyle name="_Top Lines Report Pack 200611 New 2" xfId="13688"/>
    <cellStyle name="_Top Lines Report Pack 200611 New_P&amp;L KFE" xfId="13689"/>
    <cellStyle name="_Top Lines Report Pack 200611 New_Sheet3" xfId="13690"/>
    <cellStyle name="_Top Lines Report Pack 200612" xfId="13691"/>
    <cellStyle name="_Top Lines Report Pack 200612 2" xfId="13692"/>
    <cellStyle name="_Top Lines Report Pack 200612_P&amp;L KFE" xfId="13693"/>
    <cellStyle name="_Top Lines Report Pack 200612_Sheet3" xfId="13694"/>
    <cellStyle name="_Total EU_KFE-KBE Transition April 2009" xfId="13695"/>
    <cellStyle name="_Total EU_KFE-KBE Transition April 2009 2" xfId="13696"/>
    <cellStyle name="_Total EU_KFE-KBE Transition April 2009 2_P&amp;L KFE" xfId="13697"/>
    <cellStyle name="_Total EU_KFE-KBE Transition April 2009 2_Sheet3" xfId="13698"/>
    <cellStyle name="_Total EU_KFE-KBE Transition April 2009_P&amp;L KFE" xfId="13699"/>
    <cellStyle name="_Total EU_KFE-KBE Transition April 2009_Sheet3" xfId="13700"/>
    <cellStyle name="_TP Masterflow June 15a" xfId="13701"/>
    <cellStyle name="_TP Masterflow June 15a 2" xfId="13702"/>
    <cellStyle name="_TP Masterflow June 15a_Book5" xfId="13703"/>
    <cellStyle name="_TP Masterflow June 15a_Book5 2" xfId="13704"/>
    <cellStyle name="_TP Masterflow June 15a_Book5_Category Template AC'11 @Cst Fx 52W vs 53W" xfId="13705"/>
    <cellStyle name="_TP Masterflow June 15a_Book5_Category Template AC'11 @Cst Fx 52W vs 53W 2" xfId="13706"/>
    <cellStyle name="_TP Masterflow June 15a_Book5_Category Template AC'11 @Cst Fx 52W vs 53W_P&amp;L KFE" xfId="13707"/>
    <cellStyle name="_TP Masterflow June 15a_Book5_Category Template AC'11 @Cst Fx 52W vs 53W_Sheet3" xfId="13708"/>
    <cellStyle name="_TP Masterflow June 15a_Book5_P&amp;L KFE" xfId="13709"/>
    <cellStyle name="_TP Masterflow June 15a_Book5_Sheet3" xfId="13710"/>
    <cellStyle name="_TP Masterflow June 15a_Category Template AC'11 @Cst Fx 52W vs 53W" xfId="13711"/>
    <cellStyle name="_TP Masterflow June 15a_Category Template AC'11 @Cst Fx 52W vs 53W 2" xfId="13712"/>
    <cellStyle name="_TP Masterflow June 15a_Category Template AC'11 @Cst Fx 52W vs 53W_P&amp;L KFE" xfId="13713"/>
    <cellStyle name="_TP Masterflow June 15a_Category Template AC'11 @Cst Fx 52W vs 53W_Sheet3" xfId="13714"/>
    <cellStyle name="_TP Masterflow June 15a_P&amp;L KFE" xfId="13715"/>
    <cellStyle name="_TP Masterflow June 15a_Sheet3" xfId="13716"/>
    <cellStyle name="_TP Masterflow June 15a_Wrigley - 05 budget&amp;calendar LE 050728 (25I)" xfId="13717"/>
    <cellStyle name="_TP Masterflow June 15a_Wrigley - 05 budget&amp;calendar LE 050728 (25I) 2" xfId="13718"/>
    <cellStyle name="_TP Masterflow June 15a_Wrigley - 05 budget&amp;calendar LE 050728 (25I)_Category Template AC'11 @Cst Fx 52W vs 53W" xfId="13719"/>
    <cellStyle name="_TP Masterflow June 15a_Wrigley - 05 budget&amp;calendar LE 050728 (25I)_Category Template AC'11 @Cst Fx 52W vs 53W 2" xfId="13720"/>
    <cellStyle name="_TP Masterflow June 15a_Wrigley - 05 budget&amp;calendar LE 050728 (25I)_Category Template AC'11 @Cst Fx 52W vs 53W_P&amp;L KFE" xfId="13721"/>
    <cellStyle name="_TP Masterflow June 15a_Wrigley - 05 budget&amp;calendar LE 050728 (25I)_Category Template AC'11 @Cst Fx 52W vs 53W_Sheet3" xfId="13722"/>
    <cellStyle name="_TP Masterflow June 15a_Wrigley - 05 budget&amp;calendar LE 050728 (25I)_P&amp;L KFE" xfId="13723"/>
    <cellStyle name="_TP Masterflow June 15a_Wrigley - 05 budget&amp;calendar LE 050728 (25I)_Sheet3" xfId="13724"/>
    <cellStyle name="_TP Masterflow June 15a_Wrigley - 05 budget&amp;calendar LE 050728 (25I)_Wrigley - 06 simple chart Sep 14" xfId="13725"/>
    <cellStyle name="_TP Masterflow June 15a_Wrigley - 05 budget&amp;calendar LE 050728 (25I)_Wrigley - 06 simple chart Sep 14 2" xfId="13726"/>
    <cellStyle name="_TP Masterflow June 15a_Wrigley - 05 budget&amp;calendar LE 050728 (25I)_Wrigley - 06 simple chart Sep 14_Category Template AC'11 @Cst Fx 52W vs 53W" xfId="13727"/>
    <cellStyle name="_TP Masterflow June 15a_Wrigley - 05 budget&amp;calendar LE 050728 (25I)_Wrigley - 06 simple chart Sep 14_Category Template AC'11 @Cst Fx 52W vs 53W 2" xfId="13728"/>
    <cellStyle name="_TP Masterflow June 15a_Wrigley - 05 budget&amp;calendar LE 050728 (25I)_Wrigley - 06 simple chart Sep 14_Category Template AC'11 @Cst Fx 52W vs 53W_P&amp;L KFE" xfId="13729"/>
    <cellStyle name="_TP Masterflow June 15a_Wrigley - 05 budget&amp;calendar LE 050728 (25I)_Wrigley - 06 simple chart Sep 14_Category Template AC'11 @Cst Fx 52W vs 53W_Sheet3" xfId="13730"/>
    <cellStyle name="_TP Masterflow June 15a_Wrigley - 05 budget&amp;calendar LE 050728 (25I)_Wrigley - 06 simple chart Sep 14_P&amp;L KFE" xfId="13731"/>
    <cellStyle name="_TP Masterflow June 15a_Wrigley - 05 budget&amp;calendar LE 050728 (25I)_Wrigley - 06 simple chart Sep 14_Sheet3" xfId="13732"/>
    <cellStyle name="_TP Masterflow June 15a_Wrigley - 05 budget&amp;calendar LE 050824 (25F)" xfId="13733"/>
    <cellStyle name="_TP Masterflow June 15a_Wrigley - 05 budget&amp;calendar LE 050824 (25F) 2" xfId="13734"/>
    <cellStyle name="_TP Masterflow June 15a_Wrigley - 05 budget&amp;calendar LE 050824 (25F)_Category Template AC'11 @Cst Fx 52W vs 53W" xfId="13735"/>
    <cellStyle name="_TP Masterflow June 15a_Wrigley - 05 budget&amp;calendar LE 050824 (25F)_Category Template AC'11 @Cst Fx 52W vs 53W 2" xfId="13736"/>
    <cellStyle name="_TP Masterflow June 15a_Wrigley - 05 budget&amp;calendar LE 050824 (25F)_Category Template AC'11 @Cst Fx 52W vs 53W_P&amp;L KFE" xfId="13737"/>
    <cellStyle name="_TP Masterflow June 15a_Wrigley - 05 budget&amp;calendar LE 050824 (25F)_Category Template AC'11 @Cst Fx 52W vs 53W_Sheet3" xfId="13738"/>
    <cellStyle name="_TP Masterflow June 15a_Wrigley - 05 budget&amp;calendar LE 050824 (25F)_P&amp;L KFE" xfId="13739"/>
    <cellStyle name="_TP Masterflow June 15a_Wrigley - 05 budget&amp;calendar LE 050824 (25F)_Sheet3" xfId="13740"/>
    <cellStyle name="_TP Masterflow June 15a_Wrigley - 05 budget&amp;calendar LE 050824 (25F)_Wrigley - 06 simple chart Sep 14" xfId="13741"/>
    <cellStyle name="_TP Masterflow June 15a_Wrigley - 05 budget&amp;calendar LE 050824 (25F)_Wrigley - 06 simple chart Sep 14 2" xfId="13742"/>
    <cellStyle name="_TP Masterflow June 15a_Wrigley - 05 budget&amp;calendar LE 050824 (25F)_Wrigley - 06 simple chart Sep 14_Category Template AC'11 @Cst Fx 52W vs 53W" xfId="13743"/>
    <cellStyle name="_TP Masterflow June 15a_Wrigley - 05 budget&amp;calendar LE 050824 (25F)_Wrigley - 06 simple chart Sep 14_Category Template AC'11 @Cst Fx 52W vs 53W 2" xfId="13744"/>
    <cellStyle name="_TP Masterflow June 15a_Wrigley - 05 budget&amp;calendar LE 050824 (25F)_Wrigley - 06 simple chart Sep 14_Category Template AC'11 @Cst Fx 52W vs 53W_P&amp;L KFE" xfId="13745"/>
    <cellStyle name="_TP Masterflow June 15a_Wrigley - 05 budget&amp;calendar LE 050824 (25F)_Wrigley - 06 simple chart Sep 14_Category Template AC'11 @Cst Fx 52W vs 53W_Sheet3" xfId="13746"/>
    <cellStyle name="_TP Masterflow June 15a_Wrigley - 05 budget&amp;calendar LE 050824 (25F)_Wrigley - 06 simple chart Sep 14_P&amp;L KFE" xfId="13747"/>
    <cellStyle name="_TP Masterflow June 15a_Wrigley - 05 budget&amp;calendar LE 050824 (25F)_Wrigley - 06 simple chart Sep 14_Sheet3" xfId="13748"/>
    <cellStyle name="_TP Masterflow June 15a_Wrigley - 05 budget&amp;calendar LE 050824 (25I)" xfId="13749"/>
    <cellStyle name="_TP Masterflow June 15a_Wrigley - 05 budget&amp;calendar LE 050824 (25I) 2" xfId="13750"/>
    <cellStyle name="_TP Masterflow June 15a_Wrigley - 05 budget&amp;calendar LE 050824 (25I)_Category Template AC'11 @Cst Fx 52W vs 53W" xfId="13751"/>
    <cellStyle name="_TP Masterflow June 15a_Wrigley - 05 budget&amp;calendar LE 050824 (25I)_Category Template AC'11 @Cst Fx 52W vs 53W 2" xfId="13752"/>
    <cellStyle name="_TP Masterflow June 15a_Wrigley - 05 budget&amp;calendar LE 050824 (25I)_Category Template AC'11 @Cst Fx 52W vs 53W_P&amp;L KFE" xfId="13753"/>
    <cellStyle name="_TP Masterflow June 15a_Wrigley - 05 budget&amp;calendar LE 050824 (25I)_Category Template AC'11 @Cst Fx 52W vs 53W_Sheet3" xfId="13754"/>
    <cellStyle name="_TP Masterflow June 15a_Wrigley - 05 budget&amp;calendar LE 050824 (25I)_P&amp;L KFE" xfId="13755"/>
    <cellStyle name="_TP Masterflow June 15a_Wrigley - 05 budget&amp;calendar LE 050824 (25I)_Sheet3" xfId="13756"/>
    <cellStyle name="_TP Masterflow June 15a_Wrigley - 05 budget&amp;calendar LE 050824 (25I)_Wrigley - 06 simple chart Sep 14" xfId="13757"/>
    <cellStyle name="_TP Masterflow June 15a_Wrigley - 05 budget&amp;calendar LE 050824 (25I)_Wrigley - 06 simple chart Sep 14 2" xfId="13758"/>
    <cellStyle name="_TP Masterflow June 15a_Wrigley - 05 budget&amp;calendar LE 050824 (25I)_Wrigley - 06 simple chart Sep 14_Category Template AC'11 @Cst Fx 52W vs 53W" xfId="13759"/>
    <cellStyle name="_TP Masterflow June 15a_Wrigley - 05 budget&amp;calendar LE 050824 (25I)_Wrigley - 06 simple chart Sep 14_Category Template AC'11 @Cst Fx 52W vs 53W 2" xfId="13760"/>
    <cellStyle name="_TP Masterflow June 15a_Wrigley - 05 budget&amp;calendar LE 050824 (25I)_Wrigley - 06 simple chart Sep 14_Category Template AC'11 @Cst Fx 52W vs 53W_P&amp;L KFE" xfId="13761"/>
    <cellStyle name="_TP Masterflow June 15a_Wrigley - 05 budget&amp;calendar LE 050824 (25I)_Wrigley - 06 simple chart Sep 14_Category Template AC'11 @Cst Fx 52W vs 53W_Sheet3" xfId="13762"/>
    <cellStyle name="_TP Masterflow June 15a_Wrigley - 05 budget&amp;calendar LE 050824 (25I)_Wrigley - 06 simple chart Sep 14_P&amp;L KFE" xfId="13763"/>
    <cellStyle name="_TP Masterflow June 15a_Wrigley - 05 budget&amp;calendar LE 050824 (25I)_Wrigley - 06 simple chart Sep 14_Sheet3" xfId="13764"/>
    <cellStyle name="_TP Masterflow June 15a_Wrigley - 06 simple chart Sep 14" xfId="13765"/>
    <cellStyle name="_TP Masterflow June 15a_Wrigley - 06 simple chart Sep 14 2" xfId="13766"/>
    <cellStyle name="_TP Masterflow June 15a_Wrigley - 06 simple chart Sep 14_Category Template AC'11 @Cst Fx 52W vs 53W" xfId="13767"/>
    <cellStyle name="_TP Masterflow June 15a_Wrigley - 06 simple chart Sep 14_Category Template AC'11 @Cst Fx 52W vs 53W 2" xfId="13768"/>
    <cellStyle name="_TP Masterflow June 15a_Wrigley - 06 simple chart Sep 14_Category Template AC'11 @Cst Fx 52W vs 53W_P&amp;L KFE" xfId="13769"/>
    <cellStyle name="_TP Masterflow June 15a_Wrigley - 06 simple chart Sep 14_Category Template AC'11 @Cst Fx 52W vs 53W_Sheet3" xfId="13770"/>
    <cellStyle name="_TP Masterflow June 15a_Wrigley - 06 simple chart Sep 14_P&amp;L KFE" xfId="13771"/>
    <cellStyle name="_TP Masterflow June 15a_Wrigley - 06 simple chart Sep 14_Sheet3" xfId="13772"/>
    <cellStyle name="_TPI - Data Request - IT 2007-04-08" xfId="13773"/>
    <cellStyle name="_TPI - Data Request - IT 2007-04-08_P&amp;L KFE" xfId="13774"/>
    <cellStyle name="_TPI - Data Request - IT 2007-04-08_Sheet3" xfId="13775"/>
    <cellStyle name="_Update cons_250208" xfId="13776"/>
    <cellStyle name="_Updated deck CV1 08" xfId="13777"/>
    <cellStyle name="_Valencia-A-GB-OG-OB05-USD_v1" xfId="13778"/>
    <cellStyle name="_Valencia-A-GB-OG-OB05-USD_v1 2" xfId="13779"/>
    <cellStyle name="_Valencia-A-GB-OG-OB05-USD_v1 3" xfId="13780"/>
    <cellStyle name="_Valencia-A-GB-OG-OB05-USD_v1__P09 - Key Drivers KBE" xfId="13781"/>
    <cellStyle name="_Valencia-A-GB-OG-OB05-USD_v1__P09 - Key Drivers KBE 2" xfId="13782"/>
    <cellStyle name="_Valencia-A-GB-OG-OB05-USD_v1__P09 - Key Drivers KBE_P&amp;L KFE" xfId="13783"/>
    <cellStyle name="_Valencia-A-GB-OG-OB05-USD_v1__P09 - Key Drivers KBE_Sheet3" xfId="13784"/>
    <cellStyle name="_Valencia-A-GB-OG-OB05-USD_v1__P10 - Key Drivers KBE" xfId="13785"/>
    <cellStyle name="_Valencia-A-GB-OG-OB05-USD_v1__P10 - Key Drivers KBE 2" xfId="13786"/>
    <cellStyle name="_Valencia-A-GB-OG-OB05-USD_v1__P10 - Key Drivers KBE_P&amp;L KFE" xfId="13787"/>
    <cellStyle name="_Valencia-A-GB-OG-OB05-USD_v1__P10 - Key Drivers KBE_Sheet3" xfId="13788"/>
    <cellStyle name="_Valencia-A-GB-OG-OB05-USD_v1_2011 Targets by category Aug 25" xfId="13789"/>
    <cellStyle name="_Valencia-A-GB-OG-OB05-USD_v1_AC11 bridge Sept30 2010" xfId="13790"/>
    <cellStyle name="_Valencia-A-GB-OG-OB05-USD_v1_ASO P10, Q4  S38 27-09 bis" xfId="13791"/>
    <cellStyle name="_Valencia-A-GB-OG-OB05-USD_v1_Biscuits Top Line Rate Charts" xfId="13792"/>
    <cellStyle name="_Valencia-A-GB-OG-OB05-USD_v1_bridge" xfId="13793"/>
    <cellStyle name="_Valencia-A-GB-OG-OB05-USD_v1_Category PnL Template_140910" xfId="13794"/>
    <cellStyle name="_Valencia-A-GB-OG-OB05-USD_v1_Category PnL Template_140910 2" xfId="13795"/>
    <cellStyle name="_Valencia-A-GB-OG-OB05-USD_v1_Category PnL Template_140910_Biscuits Actual Results P01" xfId="13796"/>
    <cellStyle name="_Valencia-A-GB-OG-OB05-USD_v1_Category PnL Template_140910_Biscuits Actual Results P01 2" xfId="13797"/>
    <cellStyle name="_Valencia-A-GB-OG-OB05-USD_v1_Category PnL Template_140910_Biscuits Actual Results P01_P&amp;L KFE" xfId="13798"/>
    <cellStyle name="_Valencia-A-GB-OG-OB05-USD_v1_Category PnL Template_140910_Biscuits Actual Results P01_Sheet3" xfId="13799"/>
    <cellStyle name="_Valencia-A-GB-OG-OB05-USD_v1_Category PnL Template_140910_Biscuits Actual Results P02" xfId="13800"/>
    <cellStyle name="_Valencia-A-GB-OG-OB05-USD_v1_Category PnL Template_140910_Biscuits Actual Results P02 2" xfId="13801"/>
    <cellStyle name="_Valencia-A-GB-OG-OB05-USD_v1_Category PnL Template_140910_Biscuits Actual Results P02_P&amp;L KFE" xfId="13802"/>
    <cellStyle name="_Valencia-A-GB-OG-OB05-USD_v1_Category PnL Template_140910_Biscuits Actual Results P02_Sheet3" xfId="13803"/>
    <cellStyle name="_Valencia-A-GB-OG-OB05-USD_v1_Category PnL Template_140910_Biscuits Actual Results P04" xfId="13804"/>
    <cellStyle name="_Valencia-A-GB-OG-OB05-USD_v1_Category PnL Template_140910_Biscuits Actual Results P04_P&amp;L KFE" xfId="13805"/>
    <cellStyle name="_Valencia-A-GB-OG-OB05-USD_v1_Category PnL Template_140910_Biscuits Actual Results P04_Sheet3" xfId="13806"/>
    <cellStyle name="_Valencia-A-GB-OG-OB05-USD_v1_Category PnL Template_140910_Biscuits Actual Results P1 BIS" xfId="13807"/>
    <cellStyle name="_Valencia-A-GB-OG-OB05-USD_v1_Category PnL Template_140910_Biscuits Actual Results P1 BIS 2" xfId="13808"/>
    <cellStyle name="_Valencia-A-GB-OG-OB05-USD_v1_Category PnL Template_140910_Biscuits Actual Results P1 BIS_P&amp;L KFE" xfId="13809"/>
    <cellStyle name="_Valencia-A-GB-OG-OB05-USD_v1_Category PnL Template_140910_Biscuits Actual Results P1 BIS_Sheet3" xfId="13810"/>
    <cellStyle name="_Valencia-A-GB-OG-OB05-USD_v1_Category PnL Template_140910_Biscuits Actual Results P10" xfId="13811"/>
    <cellStyle name="_Valencia-A-GB-OG-OB05-USD_v1_Category PnL Template_140910_Biscuits Actual Results P10 2" xfId="13812"/>
    <cellStyle name="_Valencia-A-GB-OG-OB05-USD_v1_Category PnL Template_140910_Biscuits Actual Results P10_P&amp;L KFE" xfId="13813"/>
    <cellStyle name="_Valencia-A-GB-OG-OB05-USD_v1_Category PnL Template_140910_Biscuits Actual Results P10_Sheet3" xfId="13814"/>
    <cellStyle name="_Valencia-A-GB-OG-OB05-USD_v1_Category PnL Template_140910_Biscuits Actual Results P11" xfId="13815"/>
    <cellStyle name="_Valencia-A-GB-OG-OB05-USD_v1_Category PnL Template_140910_Biscuits Actual Results P11 2" xfId="13816"/>
    <cellStyle name="_Valencia-A-GB-OG-OB05-USD_v1_Category PnL Template_140910_Biscuits Actual Results P11_P&amp;L KFE" xfId="13817"/>
    <cellStyle name="_Valencia-A-GB-OG-OB05-USD_v1_Category PnL Template_140910_Biscuits Actual Results P11_Sheet3" xfId="13818"/>
    <cellStyle name="_Valencia-A-GB-OG-OB05-USD_v1_Category PnL Template_140910_Biscuits Actual Results P12" xfId="13819"/>
    <cellStyle name="_Valencia-A-GB-OG-OB05-USD_v1_Category PnL Template_140910_Biscuits Actual Results P12 161210" xfId="13820"/>
    <cellStyle name="_Valencia-A-GB-OG-OB05-USD_v1_Category PnL Template_140910_Biscuits Actual Results P12 161210 2" xfId="13821"/>
    <cellStyle name="_Valencia-A-GB-OG-OB05-USD_v1_Category PnL Template_140910_Biscuits Actual Results P12 161210_P&amp;L KFE" xfId="13822"/>
    <cellStyle name="_Valencia-A-GB-OG-OB05-USD_v1_Category PnL Template_140910_Biscuits Actual Results P12 161210_Sheet3" xfId="13823"/>
    <cellStyle name="_Valencia-A-GB-OG-OB05-USD_v1_Category PnL Template_140910_Biscuits Actual Results P12 2" xfId="13824"/>
    <cellStyle name="_Valencia-A-GB-OG-OB05-USD_v1_Category PnL Template_140910_Biscuits Actual Results P12 Conso T2" xfId="13825"/>
    <cellStyle name="_Valencia-A-GB-OG-OB05-USD_v1_Category PnL Template_140910_Biscuits Actual Results P12 Conso T2 2" xfId="13826"/>
    <cellStyle name="_Valencia-A-GB-OG-OB05-USD_v1_Category PnL Template_140910_Biscuits Actual Results P12 Conso T2_P&amp;L KFE" xfId="13827"/>
    <cellStyle name="_Valencia-A-GB-OG-OB05-USD_v1_Category PnL Template_140910_Biscuits Actual Results P12 Conso T2_Sheet3" xfId="13828"/>
    <cellStyle name="_Valencia-A-GB-OG-OB05-USD_v1_Category PnL Template_140910_Biscuits Actual Results P12_P&amp;L KFE" xfId="13829"/>
    <cellStyle name="_Valencia-A-GB-OG-OB05-USD_v1_Category PnL Template_140910_Biscuits Actual Results P12_Sheet3" xfId="13830"/>
    <cellStyle name="_Valencia-A-GB-OG-OB05-USD_v1_Category PnL Template_140910_Category Template_Actuals" xfId="13831"/>
    <cellStyle name="_Valencia-A-GB-OG-OB05-USD_v1_Category PnL Template_140910_Category Template_Actuals 2" xfId="13832"/>
    <cellStyle name="_Valencia-A-GB-OG-OB05-USD_v1_Category PnL Template_140910_Category Template_Actuals NEW" xfId="13833"/>
    <cellStyle name="_Valencia-A-GB-OG-OB05-USD_v1_Category PnL Template_140910_Category Template_Actuals NEW 2" xfId="13834"/>
    <cellStyle name="_Valencia-A-GB-OG-OB05-USD_v1_Category PnL Template_140910_Category Template_Actuals NEW_P&amp;L KFE" xfId="13835"/>
    <cellStyle name="_Valencia-A-GB-OG-OB05-USD_v1_Category PnL Template_140910_Category Template_Actuals NEW_Sheet3" xfId="13836"/>
    <cellStyle name="_Valencia-A-GB-OG-OB05-USD_v1_Category PnL Template_140910_Category Template_Actuals_P&amp;L KFE" xfId="13837"/>
    <cellStyle name="_Valencia-A-GB-OG-OB05-USD_v1_Category PnL Template_140910_Category Template_Actuals_Sheet3" xfId="13838"/>
    <cellStyle name="_Valencia-A-GB-OG-OB05-USD_v1_Category PnL Template_140910_P&amp;L KFE" xfId="13839"/>
    <cellStyle name="_Valencia-A-GB-OG-OB05-USD_v1_Category PnL Template_140910_P&amp;L P06 AFH AC US" xfId="13840"/>
    <cellStyle name="_Valencia-A-GB-OG-OB05-USD_v1_Category PnL Template_140910_P&amp;L P06 AFH AC US_P&amp;L KFE" xfId="13841"/>
    <cellStyle name="_Valencia-A-GB-OG-OB05-USD_v1_Category PnL Template_140910_P&amp;L P06 AFH AC US_Sheet3" xfId="13842"/>
    <cellStyle name="_Valencia-A-GB-OG-OB05-USD_v1_Category PnL Template_140910_Sheet3" xfId="13843"/>
    <cellStyle name="_Valencia-A-GB-OG-OB05-USD_v1_Category PnL Template_140910_VRAN YTD" xfId="13844"/>
    <cellStyle name="_Valencia-A-GB-OG-OB05-USD_v1_Category PnL Template_140910_VRAN YTD 2" xfId="13845"/>
    <cellStyle name="_Valencia-A-GB-OG-OB05-USD_v1_Category PnL Template_140910_VRAN YTD_P&amp;L KFE" xfId="13846"/>
    <cellStyle name="_Valencia-A-GB-OG-OB05-USD_v1_Category PnL Template_140910_VRAN YTD_Sheet3" xfId="13847"/>
    <cellStyle name="_Valencia-A-GB-OG-OB05-USD_v1_Category PnL Template_201010 (4)" xfId="13848"/>
    <cellStyle name="_Valencia-A-GB-OG-OB05-USD_v1_Category PnL Template_201010 (4) 2" xfId="13849"/>
    <cellStyle name="_Valencia-A-GB-OG-OB05-USD_v1_Category PnL Template_201010 (4)_Biscuits Actual Results P02" xfId="13850"/>
    <cellStyle name="_Valencia-A-GB-OG-OB05-USD_v1_Category PnL Template_201010 (4)_Biscuits Actual Results P02 2" xfId="13851"/>
    <cellStyle name="_Valencia-A-GB-OG-OB05-USD_v1_Category PnL Template_201010 (4)_Biscuits Actual Results P02_P&amp;L KFE" xfId="13852"/>
    <cellStyle name="_Valencia-A-GB-OG-OB05-USD_v1_Category PnL Template_201010 (4)_Biscuits Actual Results P02_Sheet3" xfId="13853"/>
    <cellStyle name="_Valencia-A-GB-OG-OB05-USD_v1_Category PnL Template_201010 (4)_NC Drivers P10 T1" xfId="13854"/>
    <cellStyle name="_Valencia-A-GB-OG-OB05-USD_v1_Category PnL Template_201010 (4)_NC Drivers P10 T1 2" xfId="13855"/>
    <cellStyle name="_Valencia-A-GB-OG-OB05-USD_v1_Category PnL Template_201010 (4)_NC Drivers P10 T1_O&amp;R Nov Fc conso" xfId="13856"/>
    <cellStyle name="_Valencia-A-GB-OG-OB05-USD_v1_Category PnL Template_201010 (4)_NC Drivers P10 T1_O&amp;R Nov Fc conso 2" xfId="13857"/>
    <cellStyle name="_Valencia-A-GB-OG-OB05-USD_v1_Category PnL Template_201010 (4)_NC Drivers P10 T1_O&amp;R Nov Fc conso_P&amp;L KFE" xfId="13858"/>
    <cellStyle name="_Valencia-A-GB-OG-OB05-USD_v1_Category PnL Template_201010 (4)_NC Drivers P10 T1_O&amp;R Nov Fc conso_Sheet3" xfId="13859"/>
    <cellStyle name="_Valencia-A-GB-OG-OB05-USD_v1_Category PnL Template_201010 (4)_NC Drivers P10 T1_P&amp;L KFE" xfId="13860"/>
    <cellStyle name="_Valencia-A-GB-OG-OB05-USD_v1_Category PnL Template_201010 (4)_NC Drivers P10 T1_Sheet3" xfId="13861"/>
    <cellStyle name="_Valencia-A-GB-OG-OB05-USD_v1_Category PnL Template_201010 (4)_O&amp;R Nov Fc conso" xfId="13862"/>
    <cellStyle name="_Valencia-A-GB-OG-OB05-USD_v1_Category PnL Template_201010 (4)_O&amp;R Nov Fc conso 2" xfId="13863"/>
    <cellStyle name="_Valencia-A-GB-OG-OB05-USD_v1_Category PnL Template_201010 (4)_O&amp;R Nov Fc conso_P&amp;L KFE" xfId="13864"/>
    <cellStyle name="_Valencia-A-GB-OG-OB05-USD_v1_Category PnL Template_201010 (4)_O&amp;R Nov Fc conso_Sheet3" xfId="13865"/>
    <cellStyle name="_Valencia-A-GB-OG-OB05-USD_v1_Category PnL Template_201010 (4)_P&amp;L KFE" xfId="13866"/>
    <cellStyle name="_Valencia-A-GB-OG-OB05-USD_v1_Category PnL Template_201010 (4)_Sheet3" xfId="13867"/>
    <cellStyle name="_Valencia-A-GB-OG-OB05-USD_v1_Category Targets 2011_1.2" xfId="13868"/>
    <cellStyle name="_Valencia-A-GB-OG-OB05-USD_v1_Category Template AC'11 Oct7 Feedback" xfId="13869"/>
    <cellStyle name="_Valencia-A-GB-OG-OB05-USD_v1_Category Template AC'11_sent to countries" xfId="13870"/>
    <cellStyle name="_Valencia-A-GB-OG-OB05-USD_v1_Category Template AC'11_sent to countries ( euro )" xfId="13871"/>
    <cellStyle name="_Valencia-A-GB-OG-OB05-USD_v1_Category Template AC'11_sent to countries ( euro )_after feedback" xfId="13872"/>
    <cellStyle name="_Valencia-A-GB-OG-OB05-USD_v1_Cheese" xfId="13873"/>
    <cellStyle name="_Valencia-A-GB-OG-OB05-USD_v1_Cheese 2" xfId="13874"/>
    <cellStyle name="_Valencia-A-GB-OG-OB05-USD_v1_Cost bridge" xfId="13875"/>
    <cellStyle name="_Valencia-A-GB-OG-OB05-USD_v1_EVA COGS AC11 vs AugFc_24-09" xfId="13876"/>
    <cellStyle name="_Valencia-A-GB-OG-OB05-USD_v1_Italy Mgmt bridge AC'11 vs Aug Fc" xfId="13877"/>
    <cellStyle name="_Valencia-A-GB-OG-OB05-USD_v1_Mgmt bridge AC'11 vs Aug Fc_Spain" xfId="13878"/>
    <cellStyle name="_Valencia-A-GB-OG-OB05-USD_v1_Mgmt Bridge DAC_O_R_c (2)" xfId="13879"/>
    <cellStyle name="_Valencia-A-GB-OG-OB05-USD_v1_NC Drivers PY Qrt excl Cadbury" xfId="13880"/>
    <cellStyle name="_Valencia-A-GB-OG-OB05-USD_v1_NF" xfId="13881"/>
    <cellStyle name="_Valencia-A-GB-OG-OB05-USD_v1_NF 2" xfId="13882"/>
    <cellStyle name="_Valencia-A-GB-OG-OB05-USD_v1_NF_ACT" xfId="13883"/>
    <cellStyle name="_Valencia-A-GB-OG-OB05-USD_v1_NF_ACT 2" xfId="13884"/>
    <cellStyle name="_Valencia-A-GB-OG-OB05-USD_v1_NF_ADJ" xfId="13885"/>
    <cellStyle name="_Valencia-A-GB-OG-OB05-USD_v1_NF_ADJ 2" xfId="13886"/>
    <cellStyle name="_Valencia-A-GB-OG-OB05-USD_v1_NF_Cash Flow" xfId="13887"/>
    <cellStyle name="_Valencia-A-GB-OG-OB05-USD_v1_NF_Cash Flow 2" xfId="13888"/>
    <cellStyle name="_Valencia-A-GB-OG-OB05-USD_v1_O&amp;R  @ Latest Fc" xfId="13889"/>
    <cellStyle name="_Valencia-A-GB-OG-OB05-USD_v1_O&amp;R  @ Latest Fc 2" xfId="13890"/>
    <cellStyle name="_Valencia-A-GB-OG-OB05-USD_v1_O&amp;R  @ Latest Fc_Opps&amp;Risks" xfId="13891"/>
    <cellStyle name="_Valencia-A-GB-OG-OB05-USD_v1_O&amp;R  @ Latest Fc_Opps&amp;Risks 2" xfId="13892"/>
    <cellStyle name="_Valencia-A-GB-OG-OB05-USD_v1_P&amp;L KFE" xfId="13893"/>
    <cellStyle name="_Valencia-A-GB-OG-OB05-USD_v1_P&amp;L Qrt" xfId="13894"/>
    <cellStyle name="_Valencia-A-GB-OG-OB05-USD_v1_PA" xfId="13895"/>
    <cellStyle name="_Valencia-A-GB-OG-OB05-USD_v1_Pricing Bridge" xfId="13896"/>
    <cellStyle name="_Valencia-A-GB-OG-OB05-USD_v1_Pricing Bridge - Pricing Actions AC 2011 (3)" xfId="13897"/>
    <cellStyle name="_Valencia-A-GB-OG-OB05-USD_v1_RIG &amp; NC graphs" xfId="13898"/>
    <cellStyle name="_Valencia-A-GB-OG-OB05-USD_v1_Scorecard P02" xfId="13899"/>
    <cellStyle name="_Valencia-A-GB-OG-OB05-USD_v1_Sheet1" xfId="13900"/>
    <cellStyle name="_Valencia-A-GB-OG-OB05-USD_v1_Sheet3" xfId="13901"/>
    <cellStyle name="_Valencia-A-GB-OG-OB05-USD_v1_Template Aug Fc AOP (3)" xfId="13902"/>
    <cellStyle name="_Valencia-A-GB-OG-OB05-USD_v1_UK - 24Sep Bridge" xfId="13903"/>
    <cellStyle name="_Valencia-A-GB-OG-OB05-USD_v1_YTD vs AOP" xfId="13904"/>
    <cellStyle name="_Valencia-A-GB-OG-OB05-USD_v1_YTD vs AOP 2" xfId="13905"/>
    <cellStyle name="_Valencia-A-GB-OG-OB05-USD_v1_YTD vs AOP_P&amp;L KFE" xfId="13906"/>
    <cellStyle name="_Valencia-A-GB-OG-OB05-USD_v1_YTD vs AOP_Sheet3" xfId="13907"/>
    <cellStyle name="_Valencia-A-GB-OG-OB05-USD_v1_YTD vs AUGFC" xfId="13908"/>
    <cellStyle name="_Valencia-A-GB-OG-OB05-USD_v1_YTD vs AUGFC 2" xfId="13909"/>
    <cellStyle name="_Valencia-A-GB-OG-OB05-USD_v1_YTD vs AUGFC_P&amp;L KFE" xfId="13910"/>
    <cellStyle name="_Valencia-A-GB-OG-OB05-USD_v1_YTD vs AUGFC_Sheet3" xfId="13911"/>
    <cellStyle name="_Valencia-A-GB-OG-OB05-USD_v1_YTD vs PY" xfId="13912"/>
    <cellStyle name="_Valencia-A-GB-OG-OB05-USD_v1_YTD vs PY 2" xfId="13913"/>
    <cellStyle name="_Valencia-A-GB-OG-OB05-USD_v1_YTD vs PY_P&amp;L KFE" xfId="13914"/>
    <cellStyle name="_Valencia-A-GB-OG-OB05-USD_v1_YTD vs PY_Sheet3" xfId="13915"/>
    <cellStyle name="_Valo Weekly Posting 17-09-10" xfId="13916"/>
    <cellStyle name="_VE0404A0PR" xfId="13917"/>
    <cellStyle name="_Vendor mgt and Transistion Team costs 10-13-08" xfId="13918"/>
    <cellStyle name="_Vendor mgt and Transistion Team costs 10-13-08_P&amp;L KFE" xfId="13919"/>
    <cellStyle name="_Vendor mgt and Transistion Team costs 10-13-08_Sheet3" xfId="13920"/>
    <cellStyle name="_Venezuela capacity Gap MYU 06" xfId="13921"/>
    <cellStyle name="_Venta Diaria KBI P07   01_07" xfId="13922"/>
    <cellStyle name="_Venta Diaria KBI P07   01_07 2" xfId="13923"/>
    <cellStyle name="_Venta Diaria KBI P07   01_07_P&amp;L KFE" xfId="13924"/>
    <cellStyle name="_Venta Diaria KBI P07   01_07_Sheet3" xfId="13925"/>
    <cellStyle name="_VOL Cus" xfId="13926"/>
    <cellStyle name="_VOL Cus 2" xfId="13927"/>
    <cellStyle name="_VOL Cus_P&amp;L KFE" xfId="13928"/>
    <cellStyle name="_VOL Cus_Sheet3" xfId="13929"/>
    <cellStyle name="_Vol M03 au 25 02 10" xfId="13930"/>
    <cellStyle name="_Vol M03 au 26 02 10- Post ASO" xfId="13931"/>
    <cellStyle name="_Vol Mix Price vs LY" xfId="13932"/>
    <cellStyle name="_Vol Mix Price vs LY 2" xfId="13933"/>
    <cellStyle name="_Vol Mix Price vs LY_P&amp;L KFE" xfId="13934"/>
    <cellStyle name="_Vol Mix Price vs LY_Sheet3" xfId="13935"/>
    <cellStyle name="_VOL Productos" xfId="13936"/>
    <cellStyle name="_VOL Productos 2" xfId="13937"/>
    <cellStyle name="_VOL Productos_P&amp;L KFE" xfId="13938"/>
    <cellStyle name="_VOL Productos_Sheet3" xfId="13939"/>
    <cellStyle name="_VolRev Est  2009 v290409 conso" xfId="13940"/>
    <cellStyle name="_VolRev Est  2009 v290409 conso 2" xfId="13941"/>
    <cellStyle name="_VolRev Est  2009 v290409 conso_Opps&amp;Risks" xfId="13942"/>
    <cellStyle name="_VolRev Est  2009 v290409 conso_Opps&amp;Risks 2" xfId="13943"/>
    <cellStyle name="_VolRev Est  2009 v290409 conso_P&amp;L KFE" xfId="13944"/>
    <cellStyle name="_VolRev Est  2009 v290409 conso_Sheet1" xfId="13945"/>
    <cellStyle name="_VolRev Est  2009 v290409 conso_Sheet3" xfId="13946"/>
    <cellStyle name="_Volumes Q1 Actual" xfId="13947"/>
    <cellStyle name="_Workforce Pricing" xfId="13948"/>
    <cellStyle name="_Workforce Pricing_P&amp;L KFE" xfId="13949"/>
    <cellStyle name="_Workforce Pricing_Sheet3" xfId="13950"/>
    <cellStyle name="_Working Sheet" xfId="13951"/>
    <cellStyle name="_Worksheet in C: Documents and Settings HHUANG4 Local Settings Temporary Internet Files Content.IE5 HD86FZ5H Aries 19142_Aldea_18937_Completion_Notice(1)" xfId="13952"/>
    <cellStyle name="_Worksheet in C: Documents and Settings HHUANG4 Local Settings Temporary Internet Files Content.IE5 HD86FZ5H Aries 19142_Aldea_18937_Completion_Notice(1)_P&amp;L KFE" xfId="13953"/>
    <cellStyle name="_Worksheet in C: Documents and Settings HHUANG4 Local Settings Temporary Internet Files Content.IE5 HD86FZ5H Aries 19142_Aldea_18937_Completion_Notice(1)_Sheet3" xfId="13954"/>
    <cellStyle name="_Worksheet in C: Documents and Settings HHUANG4 Local Settings Temporary Internet Files Content.IE5 YNVODOHL Aries_19902_Aldea_19756_Completion_Notice_Cover_Letter(1)" xfId="13955"/>
    <cellStyle name="_Worksheet in C: Documents and Settings HHUANG4 Local Settings Temporary Internet Files Content.IE5 YNVODOHL Aries_19902_Aldea_19756_Completion_Notice_Cover_Letter(1)_P&amp;L KFE" xfId="13956"/>
    <cellStyle name="_Worksheet in C: Documents and Settings HHUANG4 Local Settings Temporary Internet Files Content.IE5 YNVODOHL Aries_19902_Aldea_19756_Completion_Notice_Cover_Letter(1)_Sheet3" xfId="13957"/>
    <cellStyle name="_Worksheet in C: Documents and Settings HHUANG4 Local Settings Temporary Internet Files OLK285 Aries 18913_Aldea_18693 1_Completion_Notice" xfId="13958"/>
    <cellStyle name="_Worksheet in C: Documents and Settings HHUANG4 Local Settings Temporary Internet Files OLK285 Aries 18913_Aldea_18693 1_Completion_Notice_P&amp;L KFE" xfId="13959"/>
    <cellStyle name="_Worksheet in C: Documents and Settings HHUANG4 Local Settings Temporary Internet Files OLK285 Aries 18913_Aldea_18693 1_Completion_Notice_Sheet3" xfId="13960"/>
    <cellStyle name="_Worksheet in C: Documents and Settings HHUANG4 Local Settings Temporary Internet Files OLK285 Aries 19692_Aldea_19517_Completion_Notice" xfId="13961"/>
    <cellStyle name="_Worksheet in C: Documents and Settings HHUANG4 Local Settings Temporary Internet Files OLK285 Aries 19692_Aldea_19517_Completion_Notice_P&amp;L KFE" xfId="13962"/>
    <cellStyle name="_Worksheet in C: Documents and Settings HHUANG4 Local Settings Temporary Internet Files OLK285 Aries 19692_Aldea_19517_Completion_Notice_Sheet3" xfId="13963"/>
    <cellStyle name="_Worksheet in C: Documents and Settings HHUANG4 Local Settings Temporary Internet Files OLK285 Aries 21257_Aldea_21656_Completion_Notice" xfId="13964"/>
    <cellStyle name="_Worksheet in C: Documents and Settings HHUANG4 Local Settings Temporary Internet Files OLK285 Aries 21257_Aldea_21656_Completion_Notice_P&amp;L KFE" xfId="13965"/>
    <cellStyle name="_Worksheet in C: Documents and Settings HHUANG4 Local Settings Temporary Internet Files OLK285 Aries 21257_Aldea_21656_Completion_Notice_Sheet3" xfId="13966"/>
    <cellStyle name="_Worksheet in C: Documents and Settings HHUANG4 Local Settings Temporary Internet Files OLK285 Aries_18748_Aldea_18237_Completion_Notice" xfId="13967"/>
    <cellStyle name="_Worksheet in C: Documents and Settings HHUANG4 Local Settings Temporary Internet Files OLK285 Aries_18748_Aldea_18237_Completion_Notice_P&amp;L KFE" xfId="13968"/>
    <cellStyle name="_Worksheet in C: Documents and Settings HHUANG4 Local Settings Temporary Internet Files OLK285 Aries_18748_Aldea_18237_Completion_Notice_Sheet3" xfId="13969"/>
    <cellStyle name="_Worksheet in D: Documents and Settings pz2vhg Local Settings Temporary Internet Files OLK44 Aries 18435 Aldea 18187 Completion Notice" xfId="13970"/>
    <cellStyle name="_Worksheet in D: Documents and Settings pz2vhg Local Settings Temporary Internet Files OLK44 Aries 18435 Aldea 18187 Completion Notice 2" xfId="13971"/>
    <cellStyle name="_Worksheet in D: Documents and Settings pz2vhg Local Settings Temporary Internet Files OLK44 Aries 18435 Aldea 18187 Completion Notice 2_P&amp;L KFE" xfId="13972"/>
    <cellStyle name="_Worksheet in D: Documents and Settings pz2vhg Local Settings Temporary Internet Files OLK44 Aries 18435 Aldea 18187 Completion Notice 2_Sheet3" xfId="13973"/>
    <cellStyle name="_Worksheet in D: Documents and Settings pz2vhg Local Settings Temporary Internet Files OLK44 Aries 18435 Aldea 18187 Completion Notice_P&amp;L KFE" xfId="13974"/>
    <cellStyle name="_Worksheet in D: Documents and Settings pz2vhg Local Settings Temporary Internet Files OLK44 Aries 18435 Aldea 18187 Completion Notice_Sheet3" xfId="13975"/>
    <cellStyle name="_Worksheet in Financial Review -Jan 19,2005 Consol (final)" xfId="13976"/>
    <cellStyle name="_Worksheet in Financial Review -Jan 19,2005 Consol (final) 2" xfId="13977"/>
    <cellStyle name="_Worksheet in Financial Review -Jan 19,2005 Consol (final)_Category Template AC'11 @Cst Fx 52W vs 53W" xfId="13978"/>
    <cellStyle name="_Worksheet in Financial Review -Jan 19,2005 Consol (final)_Category Template AC'11 @Cst Fx 52W vs 53W 2" xfId="13979"/>
    <cellStyle name="_Worksheet in Financial Review -Jan 19,2005 Consol (final)_Category Template AC'11 @Cst Fx 52W vs 53W_P&amp;L KFE" xfId="13980"/>
    <cellStyle name="_Worksheet in Financial Review -Jan 19,2005 Consol (final)_Category Template AC'11 @Cst Fx 52W vs 53W_Sheet3" xfId="13981"/>
    <cellStyle name="_Worksheet in Financial Review -Jan 19,2005 Consol (final)_P&amp;L KFE" xfId="13982"/>
    <cellStyle name="_Worksheet in Financial Review -Jan 19,2005 Consol (final)_Sheet3" xfId="13983"/>
    <cellStyle name="_Worksheet Volumen 300409 demand" xfId="13984"/>
    <cellStyle name="_Worksheet Volumen 300409 demand 2" xfId="13985"/>
    <cellStyle name="_Worksheet Volumen 300409 demand_P&amp;L KFE" xfId="13986"/>
    <cellStyle name="_Worksheet Volumen 300409 demand_Sheet3" xfId="13987"/>
    <cellStyle name="_Wrigley - 05 budget&amp;calendar 1R 050609 (23I)_Jun 16b" xfId="13988"/>
    <cellStyle name="_Wrigley - 05 budget&amp;calendar 1R 050609 (23I)_Jun 16b 2" xfId="13989"/>
    <cellStyle name="_Wrigley - 05 budget&amp;calendar 1R 050609 (23I)_Jun 16b_Book5" xfId="13990"/>
    <cellStyle name="_Wrigley - 05 budget&amp;calendar 1R 050609 (23I)_Jun 16b_Book5 2" xfId="13991"/>
    <cellStyle name="_Wrigley - 05 budget&amp;calendar 1R 050609 (23I)_Jun 16b_Book5_Category Template AC'11 @Cst Fx 52W vs 53W" xfId="13992"/>
    <cellStyle name="_Wrigley - 05 budget&amp;calendar 1R 050609 (23I)_Jun 16b_Book5_Category Template AC'11 @Cst Fx 52W vs 53W 2" xfId="13993"/>
    <cellStyle name="_Wrigley - 05 budget&amp;calendar 1R 050609 (23I)_Jun 16b_Book5_Category Template AC'11 @Cst Fx 52W vs 53W_P&amp;L KFE" xfId="13994"/>
    <cellStyle name="_Wrigley - 05 budget&amp;calendar 1R 050609 (23I)_Jun 16b_Book5_Category Template AC'11 @Cst Fx 52W vs 53W_Sheet3" xfId="13995"/>
    <cellStyle name="_Wrigley - 05 budget&amp;calendar 1R 050609 (23I)_Jun 16b_Book5_P&amp;L KFE" xfId="13996"/>
    <cellStyle name="_Wrigley - 05 budget&amp;calendar 1R 050609 (23I)_Jun 16b_Book5_Sheet3" xfId="13997"/>
    <cellStyle name="_Wrigley - 05 budget&amp;calendar 1R 050609 (23I)_Jun 16b_Category Template AC'11 @Cst Fx 52W vs 53W" xfId="13998"/>
    <cellStyle name="_Wrigley - 05 budget&amp;calendar 1R 050609 (23I)_Jun 16b_Category Template AC'11 @Cst Fx 52W vs 53W 2" xfId="13999"/>
    <cellStyle name="_Wrigley - 05 budget&amp;calendar 1R 050609 (23I)_Jun 16b_Category Template AC'11 @Cst Fx 52W vs 53W_P&amp;L KFE" xfId="14000"/>
    <cellStyle name="_Wrigley - 05 budget&amp;calendar 1R 050609 (23I)_Jun 16b_Category Template AC'11 @Cst Fx 52W vs 53W_Sheet3" xfId="14001"/>
    <cellStyle name="_Wrigley - 05 budget&amp;calendar 1R 050609 (23I)_Jun 16b_P&amp;L KFE" xfId="14002"/>
    <cellStyle name="_Wrigley - 05 budget&amp;calendar 1R 050609 (23I)_Jun 16b_Sheet3" xfId="14003"/>
    <cellStyle name="_Wrigley - 05 budget&amp;calendar 1R 050609 (23I)_Jun 16b_Wrigley - 05 budget&amp;calendar LE 050728 (25I)" xfId="14004"/>
    <cellStyle name="_Wrigley - 05 budget&amp;calendar 1R 050609 (23I)_Jun 16b_Wrigley - 05 budget&amp;calendar LE 050728 (25I) 2" xfId="14005"/>
    <cellStyle name="_Wrigley - 05 budget&amp;calendar 1R 050609 (23I)_Jun 16b_Wrigley - 05 budget&amp;calendar LE 050728 (25I)_Category Template AC'11 @Cst Fx 52W vs 53W" xfId="14006"/>
    <cellStyle name="_Wrigley - 05 budget&amp;calendar 1R 050609 (23I)_Jun 16b_Wrigley - 05 budget&amp;calendar LE 050728 (25I)_Category Template AC'11 @Cst Fx 52W vs 53W 2" xfId="14007"/>
    <cellStyle name="_Wrigley - 05 budget&amp;calendar 1R 050609 (23I)_Jun 16b_Wrigley - 05 budget&amp;calendar LE 050728 (25I)_Category Template AC'11 @Cst Fx 52W vs 53W_P&amp;L KFE" xfId="14008"/>
    <cellStyle name="_Wrigley - 05 budget&amp;calendar 1R 050609 (23I)_Jun 16b_Wrigley - 05 budget&amp;calendar LE 050728 (25I)_Category Template AC'11 @Cst Fx 52W vs 53W_Sheet3" xfId="14009"/>
    <cellStyle name="_Wrigley - 05 budget&amp;calendar 1R 050609 (23I)_Jun 16b_Wrigley - 05 budget&amp;calendar LE 050728 (25I)_P&amp;L KFE" xfId="14010"/>
    <cellStyle name="_Wrigley - 05 budget&amp;calendar 1R 050609 (23I)_Jun 16b_Wrigley - 05 budget&amp;calendar LE 050728 (25I)_Sheet3" xfId="14011"/>
    <cellStyle name="_Wrigley - 05 budget&amp;calendar 1R 050609 (23I)_Jun 16b_Wrigley - 05 budget&amp;calendar LE 050728 (25I)_Wrigley - 06 simple chart Sep 14" xfId="14012"/>
    <cellStyle name="_Wrigley - 05 budget&amp;calendar 1R 050609 (23I)_Jun 16b_Wrigley - 05 budget&amp;calendar LE 050728 (25I)_Wrigley - 06 simple chart Sep 14 2" xfId="14013"/>
    <cellStyle name="_Wrigley - 05 budget&amp;calendar 1R 050609 (23I)_Jun 16b_Wrigley - 05 budget&amp;calendar LE 050728 (25I)_Wrigley - 06 simple chart Sep 14_Category Template AC'11 @Cst Fx 52W vs 53W" xfId="14014"/>
    <cellStyle name="_Wrigley - 05 budget&amp;calendar 1R 050609 (23I)_Jun 16b_Wrigley - 05 budget&amp;calendar LE 050728 (25I)_Wrigley - 06 simple chart Sep 14_Category Template AC'11 @Cst Fx 52W vs 53W 2" xfId="14015"/>
    <cellStyle name="_Wrigley - 05 budget&amp;calendar 1R 050609 (23I)_Jun 16b_Wrigley - 05 budget&amp;calendar LE 050728 (25I)_Wrigley - 06 simple chart Sep 14_Category Template AC'11 @Cst Fx 52W vs 53W_P&amp;L KFE" xfId="14016"/>
    <cellStyle name="_Wrigley - 05 budget&amp;calendar 1R 050609 (23I)_Jun 16b_Wrigley - 05 budget&amp;calendar LE 050728 (25I)_Wrigley - 06 simple chart Sep 14_Category Template AC'11 @Cst Fx 52W vs 53W_Sheet3" xfId="14017"/>
    <cellStyle name="_Wrigley - 05 budget&amp;calendar 1R 050609 (23I)_Jun 16b_Wrigley - 05 budget&amp;calendar LE 050728 (25I)_Wrigley - 06 simple chart Sep 14_P&amp;L KFE" xfId="14018"/>
    <cellStyle name="_Wrigley - 05 budget&amp;calendar 1R 050609 (23I)_Jun 16b_Wrigley - 05 budget&amp;calendar LE 050728 (25I)_Wrigley - 06 simple chart Sep 14_Sheet3" xfId="14019"/>
    <cellStyle name="_Wrigley - 05 budget&amp;calendar 1R 050609 (23I)_Jun 16b_Wrigley - 05 budget&amp;calendar LE 050824 (25F)" xfId="14020"/>
    <cellStyle name="_Wrigley - 05 budget&amp;calendar 1R 050609 (23I)_Jun 16b_Wrigley - 05 budget&amp;calendar LE 050824 (25F) 2" xfId="14021"/>
    <cellStyle name="_Wrigley - 05 budget&amp;calendar 1R 050609 (23I)_Jun 16b_Wrigley - 05 budget&amp;calendar LE 050824 (25F)_Category Template AC'11 @Cst Fx 52W vs 53W" xfId="14022"/>
    <cellStyle name="_Wrigley - 05 budget&amp;calendar 1R 050609 (23I)_Jun 16b_Wrigley - 05 budget&amp;calendar LE 050824 (25F)_Category Template AC'11 @Cst Fx 52W vs 53W 2" xfId="14023"/>
    <cellStyle name="_Wrigley - 05 budget&amp;calendar 1R 050609 (23I)_Jun 16b_Wrigley - 05 budget&amp;calendar LE 050824 (25F)_Category Template AC'11 @Cst Fx 52W vs 53W_P&amp;L KFE" xfId="14024"/>
    <cellStyle name="_Wrigley - 05 budget&amp;calendar 1R 050609 (23I)_Jun 16b_Wrigley - 05 budget&amp;calendar LE 050824 (25F)_Category Template AC'11 @Cst Fx 52W vs 53W_Sheet3" xfId="14025"/>
    <cellStyle name="_Wrigley - 05 budget&amp;calendar 1R 050609 (23I)_Jun 16b_Wrigley - 05 budget&amp;calendar LE 050824 (25F)_P&amp;L KFE" xfId="14026"/>
    <cellStyle name="_Wrigley - 05 budget&amp;calendar 1R 050609 (23I)_Jun 16b_Wrigley - 05 budget&amp;calendar LE 050824 (25F)_Sheet3" xfId="14027"/>
    <cellStyle name="_Wrigley - 05 budget&amp;calendar 1R 050609 (23I)_Jun 16b_Wrigley - 05 budget&amp;calendar LE 050824 (25F)_Wrigley - 06 simple chart Sep 14" xfId="14028"/>
    <cellStyle name="_Wrigley - 05 budget&amp;calendar 1R 050609 (23I)_Jun 16b_Wrigley - 05 budget&amp;calendar LE 050824 (25F)_Wrigley - 06 simple chart Sep 14 2" xfId="14029"/>
    <cellStyle name="_Wrigley - 05 budget&amp;calendar 1R 050609 (23I)_Jun 16b_Wrigley - 05 budget&amp;calendar LE 050824 (25F)_Wrigley - 06 simple chart Sep 14_Category Template AC'11 @Cst Fx 52W vs 53W" xfId="14030"/>
    <cellStyle name="_Wrigley - 05 budget&amp;calendar 1R 050609 (23I)_Jun 16b_Wrigley - 05 budget&amp;calendar LE 050824 (25F)_Wrigley - 06 simple chart Sep 14_Category Template AC'11 @Cst Fx 52W vs 53W 2" xfId="14031"/>
    <cellStyle name="_Wrigley - 05 budget&amp;calendar 1R 050609 (23I)_Jun 16b_Wrigley - 05 budget&amp;calendar LE 050824 (25F)_Wrigley - 06 simple chart Sep 14_Category Template AC'11 @Cst Fx 52W vs 53W_P&amp;L KFE" xfId="14032"/>
    <cellStyle name="_Wrigley - 05 budget&amp;calendar 1R 050609 (23I)_Jun 16b_Wrigley - 05 budget&amp;calendar LE 050824 (25F)_Wrigley - 06 simple chart Sep 14_Category Template AC'11 @Cst Fx 52W vs 53W_Sheet3" xfId="14033"/>
    <cellStyle name="_Wrigley - 05 budget&amp;calendar 1R 050609 (23I)_Jun 16b_Wrigley - 05 budget&amp;calendar LE 050824 (25F)_Wrigley - 06 simple chart Sep 14_P&amp;L KFE" xfId="14034"/>
    <cellStyle name="_Wrigley - 05 budget&amp;calendar 1R 050609 (23I)_Jun 16b_Wrigley - 05 budget&amp;calendar LE 050824 (25F)_Wrigley - 06 simple chart Sep 14_Sheet3" xfId="14035"/>
    <cellStyle name="_Wrigley - 05 budget&amp;calendar 1R 050609 (23I)_Jun 16b_Wrigley - 05 budget&amp;calendar LE 050824 (25I)" xfId="14036"/>
    <cellStyle name="_Wrigley - 05 budget&amp;calendar 1R 050609 (23I)_Jun 16b_Wrigley - 05 budget&amp;calendar LE 050824 (25I) 2" xfId="14037"/>
    <cellStyle name="_Wrigley - 05 budget&amp;calendar 1R 050609 (23I)_Jun 16b_Wrigley - 05 budget&amp;calendar LE 050824 (25I)_Category Template AC'11 @Cst Fx 52W vs 53W" xfId="14038"/>
    <cellStyle name="_Wrigley - 05 budget&amp;calendar 1R 050609 (23I)_Jun 16b_Wrigley - 05 budget&amp;calendar LE 050824 (25I)_Category Template AC'11 @Cst Fx 52W vs 53W 2" xfId="14039"/>
    <cellStyle name="_Wrigley - 05 budget&amp;calendar 1R 050609 (23I)_Jun 16b_Wrigley - 05 budget&amp;calendar LE 050824 (25I)_Category Template AC'11 @Cst Fx 52W vs 53W_P&amp;L KFE" xfId="14040"/>
    <cellStyle name="_Wrigley - 05 budget&amp;calendar 1R 050609 (23I)_Jun 16b_Wrigley - 05 budget&amp;calendar LE 050824 (25I)_Category Template AC'11 @Cst Fx 52W vs 53W_Sheet3" xfId="14041"/>
    <cellStyle name="_Wrigley - 05 budget&amp;calendar 1R 050609 (23I)_Jun 16b_Wrigley - 05 budget&amp;calendar LE 050824 (25I)_P&amp;L KFE" xfId="14042"/>
    <cellStyle name="_Wrigley - 05 budget&amp;calendar 1R 050609 (23I)_Jun 16b_Wrigley - 05 budget&amp;calendar LE 050824 (25I)_Sheet3" xfId="14043"/>
    <cellStyle name="_Wrigley - 05 budget&amp;calendar 1R 050609 (23I)_Jun 16b_Wrigley - 05 budget&amp;calendar LE 050824 (25I)_Wrigley - 06 simple chart Sep 14" xfId="14044"/>
    <cellStyle name="_Wrigley - 05 budget&amp;calendar 1R 050609 (23I)_Jun 16b_Wrigley - 05 budget&amp;calendar LE 050824 (25I)_Wrigley - 06 simple chart Sep 14 2" xfId="14045"/>
    <cellStyle name="_Wrigley - 05 budget&amp;calendar 1R 050609 (23I)_Jun 16b_Wrigley - 05 budget&amp;calendar LE 050824 (25I)_Wrigley - 06 simple chart Sep 14_Category Template AC'11 @Cst Fx 52W vs 53W" xfId="14046"/>
    <cellStyle name="_Wrigley - 05 budget&amp;calendar 1R 050609 (23I)_Jun 16b_Wrigley - 05 budget&amp;calendar LE 050824 (25I)_Wrigley - 06 simple chart Sep 14_Category Template AC'11 @Cst Fx 52W vs 53W 2" xfId="14047"/>
    <cellStyle name="_Wrigley - 05 budget&amp;calendar 1R 050609 (23I)_Jun 16b_Wrigley - 05 budget&amp;calendar LE 050824 (25I)_Wrigley - 06 simple chart Sep 14_Category Template AC'11 @Cst Fx 52W vs 53W_P&amp;L KFE" xfId="14048"/>
    <cellStyle name="_Wrigley - 05 budget&amp;calendar 1R 050609 (23I)_Jun 16b_Wrigley - 05 budget&amp;calendar LE 050824 (25I)_Wrigley - 06 simple chart Sep 14_Category Template AC'11 @Cst Fx 52W vs 53W_Sheet3" xfId="14049"/>
    <cellStyle name="_Wrigley - 05 budget&amp;calendar 1R 050609 (23I)_Jun 16b_Wrigley - 05 budget&amp;calendar LE 050824 (25I)_Wrigley - 06 simple chart Sep 14_P&amp;L KFE" xfId="14050"/>
    <cellStyle name="_Wrigley - 05 budget&amp;calendar 1R 050609 (23I)_Jun 16b_Wrigley - 05 budget&amp;calendar LE 050824 (25I)_Wrigley - 06 simple chart Sep 14_Sheet3" xfId="14051"/>
    <cellStyle name="_Wrigley - 05 budget&amp;calendar 1R 050609 (23I)_Jun 16b_Wrigley - 06 simple chart Sep 14" xfId="14052"/>
    <cellStyle name="_Wrigley - 05 budget&amp;calendar 1R 050609 (23I)_Jun 16b_Wrigley - 06 simple chart Sep 14 2" xfId="14053"/>
    <cellStyle name="_Wrigley - 05 budget&amp;calendar 1R 050609 (23I)_Jun 16b_Wrigley - 06 simple chart Sep 14_Category Template AC'11 @Cst Fx 52W vs 53W" xfId="14054"/>
    <cellStyle name="_Wrigley - 05 budget&amp;calendar 1R 050609 (23I)_Jun 16b_Wrigley - 06 simple chart Sep 14_Category Template AC'11 @Cst Fx 52W vs 53W 2" xfId="14055"/>
    <cellStyle name="_Wrigley - 05 budget&amp;calendar 1R 050609 (23I)_Jun 16b_Wrigley - 06 simple chart Sep 14_Category Template AC'11 @Cst Fx 52W vs 53W_P&amp;L KFE" xfId="14056"/>
    <cellStyle name="_Wrigley - 05 budget&amp;calendar 1R 050609 (23I)_Jun 16b_Wrigley - 06 simple chart Sep 14_Category Template AC'11 @Cst Fx 52W vs 53W_Sheet3" xfId="14057"/>
    <cellStyle name="_Wrigley - 05 budget&amp;calendar 1R 050609 (23I)_Jun 16b_Wrigley - 06 simple chart Sep 14_P&amp;L KFE" xfId="14058"/>
    <cellStyle name="_Wrigley - 05 budget&amp;calendar 1R 050609 (23I)_Jun 16b_Wrigley - 06 simple chart Sep 14_Sheet3" xfId="14059"/>
    <cellStyle name="_Wrigley - 05 budget&amp;calendar LE 050824 (25I)" xfId="14060"/>
    <cellStyle name="_Wrigley - 05 budget&amp;calendar LE 050824 (25I) 2" xfId="14061"/>
    <cellStyle name="_Wrigley - 05 budget&amp;calendar LE 050824 (25I)_Category Template AC'11 @Cst Fx 52W vs 53W" xfId="14062"/>
    <cellStyle name="_Wrigley - 05 budget&amp;calendar LE 050824 (25I)_Category Template AC'11 @Cst Fx 52W vs 53W 2" xfId="14063"/>
    <cellStyle name="_Wrigley - 05 budget&amp;calendar LE 050824 (25I)_Category Template AC'11 @Cst Fx 52W vs 53W_P&amp;L KFE" xfId="14064"/>
    <cellStyle name="_Wrigley - 05 budget&amp;calendar LE 050824 (25I)_Category Template AC'11 @Cst Fx 52W vs 53W_Sheet3" xfId="14065"/>
    <cellStyle name="_Wrigley - 05 budget&amp;calendar LE 050824 (25I)_P&amp;L KFE" xfId="14066"/>
    <cellStyle name="_Wrigley - 05 budget&amp;calendar LE 050824 (25I)_Sheet3" xfId="14067"/>
    <cellStyle name="_Wrigley - 05 budget&amp;calendar LE 050824 (25I)_Wrigley - 06 simple chart Sep 14" xfId="14068"/>
    <cellStyle name="_Wrigley - 05 budget&amp;calendar LE 050824 (25I)_Wrigley - 06 simple chart Sep 14 2" xfId="14069"/>
    <cellStyle name="_Wrigley - 05 budget&amp;calendar LE 050824 (25I)_Wrigley - 06 simple chart Sep 14_Category Template AC'11 @Cst Fx 52W vs 53W" xfId="14070"/>
    <cellStyle name="_Wrigley - 05 budget&amp;calendar LE 050824 (25I)_Wrigley - 06 simple chart Sep 14_Category Template AC'11 @Cst Fx 52W vs 53W 2" xfId="14071"/>
    <cellStyle name="_Wrigley - 05 budget&amp;calendar LE 050824 (25I)_Wrigley - 06 simple chart Sep 14_Category Template AC'11 @Cst Fx 52W vs 53W_P&amp;L KFE" xfId="14072"/>
    <cellStyle name="_Wrigley - 05 budget&amp;calendar LE 050824 (25I)_Wrigley - 06 simple chart Sep 14_Category Template AC'11 @Cst Fx 52W vs 53W_Sheet3" xfId="14073"/>
    <cellStyle name="_Wrigley - 05 budget&amp;calendar LE 050824 (25I)_Wrigley - 06 simple chart Sep 14_P&amp;L KFE" xfId="14074"/>
    <cellStyle name="_Wrigley - 05 budget&amp;calendar LE 050824 (25I)_Wrigley - 06 simple chart Sep 14_Sheet3" xfId="14075"/>
    <cellStyle name="_Wrigley - 05 budget&amp;calendar R1 050525 (21I) internal formate June 15" xfId="14076"/>
    <cellStyle name="_Wrigley - 05 budget&amp;calendar R1 050525 (21I) internal formate June 15 2" xfId="14077"/>
    <cellStyle name="_Wrigley - 05 budget&amp;calendar R1 050525 (21I) internal formate June 15_Book5" xfId="14078"/>
    <cellStyle name="_Wrigley - 05 budget&amp;calendar R1 050525 (21I) internal formate June 15_Book5 2" xfId="14079"/>
    <cellStyle name="_Wrigley - 05 budget&amp;calendar R1 050525 (21I) internal formate June 15_Book5_Category Template AC'11 @Cst Fx 52W vs 53W" xfId="14080"/>
    <cellStyle name="_Wrigley - 05 budget&amp;calendar R1 050525 (21I) internal formate June 15_Book5_Category Template AC'11 @Cst Fx 52W vs 53W 2" xfId="14081"/>
    <cellStyle name="_Wrigley - 05 budget&amp;calendar R1 050525 (21I) internal formate June 15_Book5_Category Template AC'11 @Cst Fx 52W vs 53W_P&amp;L KFE" xfId="14082"/>
    <cellStyle name="_Wrigley - 05 budget&amp;calendar R1 050525 (21I) internal formate June 15_Book5_Category Template AC'11 @Cst Fx 52W vs 53W_Sheet3" xfId="14083"/>
    <cellStyle name="_Wrigley - 05 budget&amp;calendar R1 050525 (21I) internal formate June 15_Book5_P&amp;L KFE" xfId="14084"/>
    <cellStyle name="_Wrigley - 05 budget&amp;calendar R1 050525 (21I) internal formate June 15_Book5_Sheet3" xfId="14085"/>
    <cellStyle name="_Wrigley - 05 budget&amp;calendar R1 050525 (21I) internal formate June 15_Category Template AC'11 @Cst Fx 52W vs 53W" xfId="14086"/>
    <cellStyle name="_Wrigley - 05 budget&amp;calendar R1 050525 (21I) internal formate June 15_Category Template AC'11 @Cst Fx 52W vs 53W 2" xfId="14087"/>
    <cellStyle name="_Wrigley - 05 budget&amp;calendar R1 050525 (21I) internal formate June 15_Category Template AC'11 @Cst Fx 52W vs 53W_P&amp;L KFE" xfId="14088"/>
    <cellStyle name="_Wrigley - 05 budget&amp;calendar R1 050525 (21I) internal formate June 15_Category Template AC'11 @Cst Fx 52W vs 53W_Sheet3" xfId="14089"/>
    <cellStyle name="_Wrigley - 05 budget&amp;calendar R1 050525 (21I) internal formate June 15_P&amp;L KFE" xfId="14090"/>
    <cellStyle name="_Wrigley - 05 budget&amp;calendar R1 050525 (21I) internal formate June 15_Sheet3" xfId="14091"/>
    <cellStyle name="_Wrigley - 05 budget&amp;calendar R1 050525 (21I) internal formate June 15_Wrigley - 05 budget&amp;calendar LE 050728 (25I)" xfId="14092"/>
    <cellStyle name="_Wrigley - 05 budget&amp;calendar R1 050525 (21I) internal formate June 15_Wrigley - 05 budget&amp;calendar LE 050728 (25I) 2" xfId="14093"/>
    <cellStyle name="_Wrigley - 05 budget&amp;calendar R1 050525 (21I) internal formate June 15_Wrigley - 05 budget&amp;calendar LE 050728 (25I)_Category Template AC'11 @Cst Fx 52W vs 53W" xfId="14094"/>
    <cellStyle name="_Wrigley - 05 budget&amp;calendar R1 050525 (21I) internal formate June 15_Wrigley - 05 budget&amp;calendar LE 050728 (25I)_Category Template AC'11 @Cst Fx 52W vs 53W 2" xfId="14095"/>
    <cellStyle name="_Wrigley - 05 budget&amp;calendar R1 050525 (21I) internal formate June 15_Wrigley - 05 budget&amp;calendar LE 050728 (25I)_Category Template AC'11 @Cst Fx 52W vs 53W_P&amp;L KFE" xfId="14096"/>
    <cellStyle name="_Wrigley - 05 budget&amp;calendar R1 050525 (21I) internal formate June 15_Wrigley - 05 budget&amp;calendar LE 050728 (25I)_Category Template AC'11 @Cst Fx 52W vs 53W_Sheet3" xfId="14097"/>
    <cellStyle name="_Wrigley - 05 budget&amp;calendar R1 050525 (21I) internal formate June 15_Wrigley - 05 budget&amp;calendar LE 050728 (25I)_P&amp;L KFE" xfId="14098"/>
    <cellStyle name="_Wrigley - 05 budget&amp;calendar R1 050525 (21I) internal formate June 15_Wrigley - 05 budget&amp;calendar LE 050728 (25I)_Sheet3" xfId="14099"/>
    <cellStyle name="_Wrigley - 05 budget&amp;calendar R1 050525 (21I) internal formate June 15_Wrigley - 05 budget&amp;calendar LE 050728 (25I)_Wrigley - 06 simple chart Sep 14" xfId="14100"/>
    <cellStyle name="_Wrigley - 05 budget&amp;calendar R1 050525 (21I) internal formate June 15_Wrigley - 05 budget&amp;calendar LE 050728 (25I)_Wrigley - 06 simple chart Sep 14 2" xfId="14101"/>
    <cellStyle name="_Wrigley - 05 budget&amp;calendar R1 050525 (21I) internal formate June 15_Wrigley - 05 budget&amp;calendar LE 050728 (25I)_Wrigley - 06 simple chart Sep 14_Category Template AC'11 @Cst Fx 52W vs 53W" xfId="14102"/>
    <cellStyle name="_Wrigley - 05 budget&amp;calendar R1 050525 (21I) internal formate June 15_Wrigley - 05 budget&amp;calendar LE 050728 (25I)_Wrigley - 06 simple chart Sep 14_Category Template AC'11 @Cst Fx 52W vs 53W 2" xfId="14103"/>
    <cellStyle name="_Wrigley - 05 budget&amp;calendar R1 050525 (21I) internal formate June 15_Wrigley - 05 budget&amp;calendar LE 050728 (25I)_Wrigley - 06 simple chart Sep 14_Category Template AC'11 @Cst Fx 52W vs 53W_P&amp;L KFE" xfId="14104"/>
    <cellStyle name="_Wrigley - 05 budget&amp;calendar R1 050525 (21I) internal formate June 15_Wrigley - 05 budget&amp;calendar LE 050728 (25I)_Wrigley - 06 simple chart Sep 14_Category Template AC'11 @Cst Fx 52W vs 53W_Sheet3" xfId="14105"/>
    <cellStyle name="_Wrigley - 05 budget&amp;calendar R1 050525 (21I) internal formate June 15_Wrigley - 05 budget&amp;calendar LE 050728 (25I)_Wrigley - 06 simple chart Sep 14_P&amp;L KFE" xfId="14106"/>
    <cellStyle name="_Wrigley - 05 budget&amp;calendar R1 050525 (21I) internal formate June 15_Wrigley - 05 budget&amp;calendar LE 050728 (25I)_Wrigley - 06 simple chart Sep 14_Sheet3" xfId="14107"/>
    <cellStyle name="_Wrigley - 05 budget&amp;calendar R1 050525 (21I) internal formate June 15_Wrigley - 05 budget&amp;calendar LE 050824 (25F)" xfId="14108"/>
    <cellStyle name="_Wrigley - 05 budget&amp;calendar R1 050525 (21I) internal formate June 15_Wrigley - 05 budget&amp;calendar LE 050824 (25F) 2" xfId="14109"/>
    <cellStyle name="_Wrigley - 05 budget&amp;calendar R1 050525 (21I) internal formate June 15_Wrigley - 05 budget&amp;calendar LE 050824 (25F)_Category Template AC'11 @Cst Fx 52W vs 53W" xfId="14110"/>
    <cellStyle name="_Wrigley - 05 budget&amp;calendar R1 050525 (21I) internal formate June 15_Wrigley - 05 budget&amp;calendar LE 050824 (25F)_Category Template AC'11 @Cst Fx 52W vs 53W 2" xfId="14111"/>
    <cellStyle name="_Wrigley - 05 budget&amp;calendar R1 050525 (21I) internal formate June 15_Wrigley - 05 budget&amp;calendar LE 050824 (25F)_Category Template AC'11 @Cst Fx 52W vs 53W_P&amp;L KFE" xfId="14112"/>
    <cellStyle name="_Wrigley - 05 budget&amp;calendar R1 050525 (21I) internal formate June 15_Wrigley - 05 budget&amp;calendar LE 050824 (25F)_Category Template AC'11 @Cst Fx 52W vs 53W_Sheet3" xfId="14113"/>
    <cellStyle name="_Wrigley - 05 budget&amp;calendar R1 050525 (21I) internal formate June 15_Wrigley - 05 budget&amp;calendar LE 050824 (25F)_P&amp;L KFE" xfId="14114"/>
    <cellStyle name="_Wrigley - 05 budget&amp;calendar R1 050525 (21I) internal formate June 15_Wrigley - 05 budget&amp;calendar LE 050824 (25F)_Sheet3" xfId="14115"/>
    <cellStyle name="_Wrigley - 05 budget&amp;calendar R1 050525 (21I) internal formate June 15_Wrigley - 05 budget&amp;calendar LE 050824 (25F)_Wrigley - 06 simple chart Sep 14" xfId="14116"/>
    <cellStyle name="_Wrigley - 05 budget&amp;calendar R1 050525 (21I) internal formate June 15_Wrigley - 05 budget&amp;calendar LE 050824 (25F)_Wrigley - 06 simple chart Sep 14 2" xfId="14117"/>
    <cellStyle name="_Wrigley - 05 budget&amp;calendar R1 050525 (21I) internal formate June 15_Wrigley - 05 budget&amp;calendar LE 050824 (25F)_Wrigley - 06 simple chart Sep 14_Category Template AC'11 @Cst Fx 52W vs 53W" xfId="14118"/>
    <cellStyle name="_Wrigley - 05 budget&amp;calendar R1 050525 (21I) internal formate June 15_Wrigley - 05 budget&amp;calendar LE 050824 (25F)_Wrigley - 06 simple chart Sep 14_Category Template AC'11 @Cst Fx 52W vs 53W 2" xfId="14119"/>
    <cellStyle name="_Wrigley - 05 budget&amp;calendar R1 050525 (21I) internal formate June 15_Wrigley - 05 budget&amp;calendar LE 050824 (25F)_Wrigley - 06 simple chart Sep 14_Category Template AC'11 @Cst Fx 52W vs 53W_P&amp;L KFE" xfId="14120"/>
    <cellStyle name="_Wrigley - 05 budget&amp;calendar R1 050525 (21I) internal formate June 15_Wrigley - 05 budget&amp;calendar LE 050824 (25F)_Wrigley - 06 simple chart Sep 14_Category Template AC'11 @Cst Fx 52W vs 53W_Sheet3" xfId="14121"/>
    <cellStyle name="_Wrigley - 05 budget&amp;calendar R1 050525 (21I) internal formate June 15_Wrigley - 05 budget&amp;calendar LE 050824 (25F)_Wrigley - 06 simple chart Sep 14_P&amp;L KFE" xfId="14122"/>
    <cellStyle name="_Wrigley - 05 budget&amp;calendar R1 050525 (21I) internal formate June 15_Wrigley - 05 budget&amp;calendar LE 050824 (25F)_Wrigley - 06 simple chart Sep 14_Sheet3" xfId="14123"/>
    <cellStyle name="_Wrigley - 05 budget&amp;calendar R1 050525 (21I) internal formate June 15_Wrigley - 05 budget&amp;calendar LE 050824 (25I)" xfId="14124"/>
    <cellStyle name="_Wrigley - 05 budget&amp;calendar R1 050525 (21I) internal formate June 15_Wrigley - 05 budget&amp;calendar LE 050824 (25I) 2" xfId="14125"/>
    <cellStyle name="_Wrigley - 05 budget&amp;calendar R1 050525 (21I) internal formate June 15_Wrigley - 05 budget&amp;calendar LE 050824 (25I)_Category Template AC'11 @Cst Fx 52W vs 53W" xfId="14126"/>
    <cellStyle name="_Wrigley - 05 budget&amp;calendar R1 050525 (21I) internal formate June 15_Wrigley - 05 budget&amp;calendar LE 050824 (25I)_Category Template AC'11 @Cst Fx 52W vs 53W 2" xfId="14127"/>
    <cellStyle name="_Wrigley - 05 budget&amp;calendar R1 050525 (21I) internal formate June 15_Wrigley - 05 budget&amp;calendar LE 050824 (25I)_Category Template AC'11 @Cst Fx 52W vs 53W_P&amp;L KFE" xfId="14128"/>
    <cellStyle name="_Wrigley - 05 budget&amp;calendar R1 050525 (21I) internal formate June 15_Wrigley - 05 budget&amp;calendar LE 050824 (25I)_Category Template AC'11 @Cst Fx 52W vs 53W_Sheet3" xfId="14129"/>
    <cellStyle name="_Wrigley - 05 budget&amp;calendar R1 050525 (21I) internal formate June 15_Wrigley - 05 budget&amp;calendar LE 050824 (25I)_P&amp;L KFE" xfId="14130"/>
    <cellStyle name="_Wrigley - 05 budget&amp;calendar R1 050525 (21I) internal formate June 15_Wrigley - 05 budget&amp;calendar LE 050824 (25I)_Sheet3" xfId="14131"/>
    <cellStyle name="_Wrigley - 05 budget&amp;calendar R1 050525 (21I) internal formate June 15_Wrigley - 05 budget&amp;calendar LE 050824 (25I)_Wrigley - 06 simple chart Sep 14" xfId="14132"/>
    <cellStyle name="_Wrigley - 05 budget&amp;calendar R1 050525 (21I) internal formate June 15_Wrigley - 05 budget&amp;calendar LE 050824 (25I)_Wrigley - 06 simple chart Sep 14 2" xfId="14133"/>
    <cellStyle name="_Wrigley - 05 budget&amp;calendar R1 050525 (21I) internal formate June 15_Wrigley - 05 budget&amp;calendar LE 050824 (25I)_Wrigley - 06 simple chart Sep 14_Category Template AC'11 @Cst Fx 52W vs 53W" xfId="14134"/>
    <cellStyle name="_Wrigley - 05 budget&amp;calendar R1 050525 (21I) internal formate June 15_Wrigley - 05 budget&amp;calendar LE 050824 (25I)_Wrigley - 06 simple chart Sep 14_Category Template AC'11 @Cst Fx 52W vs 53W 2" xfId="14135"/>
    <cellStyle name="_Wrigley - 05 budget&amp;calendar R1 050525 (21I) internal formate June 15_Wrigley - 05 budget&amp;calendar LE 050824 (25I)_Wrigley - 06 simple chart Sep 14_Category Template AC'11 @Cst Fx 52W vs 53W_P&amp;L KFE" xfId="14136"/>
    <cellStyle name="_Wrigley - 05 budget&amp;calendar R1 050525 (21I) internal formate June 15_Wrigley - 05 budget&amp;calendar LE 050824 (25I)_Wrigley - 06 simple chart Sep 14_Category Template AC'11 @Cst Fx 52W vs 53W_Sheet3" xfId="14137"/>
    <cellStyle name="_Wrigley - 05 budget&amp;calendar R1 050525 (21I) internal formate June 15_Wrigley - 05 budget&amp;calendar LE 050824 (25I)_Wrigley - 06 simple chart Sep 14_P&amp;L KFE" xfId="14138"/>
    <cellStyle name="_Wrigley - 05 budget&amp;calendar R1 050525 (21I) internal formate June 15_Wrigley - 05 budget&amp;calendar LE 050824 (25I)_Wrigley - 06 simple chart Sep 14_Sheet3" xfId="14139"/>
    <cellStyle name="_Wrigley - 05 budget&amp;calendar R1 050525 (21I) internal formate June 15_Wrigley - 06 simple chart Sep 14" xfId="14140"/>
    <cellStyle name="_Wrigley - 05 budget&amp;calendar R1 050525 (21I) internal formate June 15_Wrigley - 06 simple chart Sep 14 2" xfId="14141"/>
    <cellStyle name="_Wrigley - 05 budget&amp;calendar R1 050525 (21I) internal formate June 15_Wrigley - 06 simple chart Sep 14_Category Template AC'11 @Cst Fx 52W vs 53W" xfId="14142"/>
    <cellStyle name="_Wrigley - 05 budget&amp;calendar R1 050525 (21I) internal formate June 15_Wrigley - 06 simple chart Sep 14_Category Template AC'11 @Cst Fx 52W vs 53W 2" xfId="14143"/>
    <cellStyle name="_Wrigley - 05 budget&amp;calendar R1 050525 (21I) internal formate June 15_Wrigley - 06 simple chart Sep 14_Category Template AC'11 @Cst Fx 52W vs 53W_P&amp;L KFE" xfId="14144"/>
    <cellStyle name="_Wrigley - 05 budget&amp;calendar R1 050525 (21I) internal formate June 15_Wrigley - 06 simple chart Sep 14_Category Template AC'11 @Cst Fx 52W vs 53W_Sheet3" xfId="14145"/>
    <cellStyle name="_Wrigley - 05 budget&amp;calendar R1 050525 (21I) internal formate June 15_Wrigley - 06 simple chart Sep 14_P&amp;L KFE" xfId="14146"/>
    <cellStyle name="_Wrigley - 05 budget&amp;calendar R1 050525 (21I) internal formate June 15_Wrigley - 06 simple chart Sep 14_Sheet3" xfId="14147"/>
    <cellStyle name="_Wrigley - 06 simple chart Sep 14" xfId="14148"/>
    <cellStyle name="_Wrigley - 06 simple chart Sep 14 2" xfId="14149"/>
    <cellStyle name="_Wrigley - 06 simple chart Sep 14_Category Template AC'11 @Cst Fx 52W vs 53W" xfId="14150"/>
    <cellStyle name="_Wrigley - 06 simple chart Sep 14_Category Template AC'11 @Cst Fx 52W vs 53W 2" xfId="14151"/>
    <cellStyle name="_Wrigley - 06 simple chart Sep 14_Category Template AC'11 @Cst Fx 52W vs 53W_P&amp;L KFE" xfId="14152"/>
    <cellStyle name="_Wrigley - 06 simple chart Sep 14_Category Template AC'11 @Cst Fx 52W vs 53W_Sheet3" xfId="14153"/>
    <cellStyle name="_Wrigley - 06 simple chart Sep 14_P&amp;L KFE" xfId="14154"/>
    <cellStyle name="_Wrigley - 06 simple chart Sep 14_Sheet3" xfId="14155"/>
    <cellStyle name="_XMM cost comparison - 20070709" xfId="14156"/>
    <cellStyle name="_XMM cost comparison - 20070709 2" xfId="14157"/>
    <cellStyle name="_XMM cost comparison - 20070709_Category Template AC'11 @Cst Fx 52W vs 53W" xfId="14158"/>
    <cellStyle name="_XMM cost comparison - 20070709_Category Template AC'11 @Cst Fx 52W vs 53W 2" xfId="14159"/>
    <cellStyle name="_XMM cost comparison - 20070709_Category Template AC'11 @Cst Fx 52W vs 53W_P&amp;L KFE" xfId="14160"/>
    <cellStyle name="_XMM cost comparison - 20070709_Category Template AC'11 @Cst Fx 52W vs 53W_Sheet3" xfId="14161"/>
    <cellStyle name="_XMM cost comparison - 20070709_P&amp;L KFE" xfId="14162"/>
    <cellStyle name="_XMM cost comparison - 20070709_Sheet3" xfId="14163"/>
    <cellStyle name="{Comma [0]}" xfId="14164"/>
    <cellStyle name="{Comma [0]} 2" xfId="14165"/>
    <cellStyle name="{Comma}" xfId="14166"/>
    <cellStyle name="{Comma} 2" xfId="14167"/>
    <cellStyle name="{Date}" xfId="14168"/>
    <cellStyle name="{Date} 2" xfId="14169"/>
    <cellStyle name="{Month}" xfId="14170"/>
    <cellStyle name="{Month} 2" xfId="14171"/>
    <cellStyle name="{Percent}" xfId="14172"/>
    <cellStyle name="{Percent} 2" xfId="14173"/>
    <cellStyle name="{Thousand [0]}" xfId="14174"/>
    <cellStyle name="{Thousand [0]} 2" xfId="14175"/>
    <cellStyle name="{Thousand}" xfId="14176"/>
    <cellStyle name="{Thousand} 2" xfId="14177"/>
    <cellStyle name="{Z'0000(1 dec)}" xfId="14178"/>
    <cellStyle name="{Z'0000(1 dec)} 2" xfId="14179"/>
    <cellStyle name="{Z'0000(4 dec)}" xfId="14180"/>
    <cellStyle name="{Z'0000(4 dec)} 2" xfId="14181"/>
    <cellStyle name="’Ê‰Ý [0.00]_Area" xfId="14182"/>
    <cellStyle name="’Ê‰Ý_Area" xfId="14183"/>
    <cellStyle name="=C:\WINNT\SYSTEM32\COMMAND.COM" xfId="14184"/>
    <cellStyle name="=C:\WINNT35\SYSTEM32\COMMAND.COM" xfId="14185"/>
    <cellStyle name="=C:\WINNT35\SYSTEM32\COMMAND.COM 2" xfId="14186"/>
    <cellStyle name="¬µrka" xfId="14187"/>
    <cellStyle name="¬µrka 2" xfId="14188"/>
    <cellStyle name="¬µrka 3" xfId="14189"/>
    <cellStyle name="¬µrka_P&amp;L KFE" xfId="14190"/>
    <cellStyle name="•W_Area" xfId="14191"/>
    <cellStyle name="0" xfId="14192"/>
    <cellStyle name="0 2" xfId="14193"/>
    <cellStyle name="0,0_x000d__x000a_NA_x000d__x000a_" xfId="14194"/>
    <cellStyle name="0,0_x000d__x000a_NA_x000d__x000a_ 2" xfId="14195"/>
    <cellStyle name="0__P09 - Key Drivers KBE" xfId="14196"/>
    <cellStyle name="0__P09 - Key Drivers KBE 2" xfId="14197"/>
    <cellStyle name="0__P09 - Key Drivers KBE_P&amp;L KFE" xfId="14198"/>
    <cellStyle name="0__P09 - Key Drivers KBE_Sheet3" xfId="14199"/>
    <cellStyle name="0__P10 - Key Drivers KBE" xfId="14200"/>
    <cellStyle name="0__P10 - Key Drivers KBE 2" xfId="14201"/>
    <cellStyle name="0__P10 - Key Drivers KBE_P&amp;L KFE" xfId="14202"/>
    <cellStyle name="0__P10 - Key Drivers KBE_Sheet3" xfId="14203"/>
    <cellStyle name="0_2011 Incentive Pay EU (2)" xfId="14204"/>
    <cellStyle name="0_2011 Incentive Pay EU (2)_P&amp;L KFE" xfId="14205"/>
    <cellStyle name="0_2011 Incentive Pay EU (2)_Sheet3" xfId="14206"/>
    <cellStyle name="0_2011 Targets by category Aug 25" xfId="14207"/>
    <cellStyle name="0_AC11 bridge Sept30 2010" xfId="14208"/>
    <cellStyle name="0_AR_TUC new line_Szekes v10" xfId="14209"/>
    <cellStyle name="0_ASO P10, Q4  S38 27-09 bis" xfId="14210"/>
    <cellStyle name="0_AugFC_Managem_Bridges_Biscuits (2)" xfId="14211"/>
    <cellStyle name="0_BIS_Bridges_after_Feedback_DE_CH" xfId="14212"/>
    <cellStyle name="0_Biscuits ACT10 P12 USD" xfId="14213"/>
    <cellStyle name="0_Biscuits ACT10 P12 USD_P&amp;L KFE" xfId="14214"/>
    <cellStyle name="0_Biscuits ACT10 P12 USD_Sheet3" xfId="14215"/>
    <cellStyle name="0_Biscuits Top Line Rate Charts" xfId="14216"/>
    <cellStyle name="0_bridge" xfId="14217"/>
    <cellStyle name="0_Category PnL Template_140910" xfId="14218"/>
    <cellStyle name="0_Category PnL Template_140910 2" xfId="14219"/>
    <cellStyle name="0_Category PnL Template_140910_Biscuits Actual Results P01" xfId="14220"/>
    <cellStyle name="0_Category PnL Template_140910_Biscuits Actual Results P01 2" xfId="14221"/>
    <cellStyle name="0_Category PnL Template_140910_Biscuits Actual Results P01_P&amp;L KFE" xfId="14222"/>
    <cellStyle name="0_Category PnL Template_140910_Biscuits Actual Results P01_Sheet3" xfId="14223"/>
    <cellStyle name="0_Category PnL Template_140910_Biscuits Actual Results P02" xfId="14224"/>
    <cellStyle name="0_Category PnL Template_140910_Biscuits Actual Results P02 2" xfId="14225"/>
    <cellStyle name="0_Category PnL Template_140910_Biscuits Actual Results P02_P&amp;L KFE" xfId="14226"/>
    <cellStyle name="0_Category PnL Template_140910_Biscuits Actual Results P02_Sheet3" xfId="14227"/>
    <cellStyle name="0_Category PnL Template_140910_Biscuits Actual Results P04" xfId="14228"/>
    <cellStyle name="0_Category PnL Template_140910_Biscuits Actual Results P04_P&amp;L KFE" xfId="14229"/>
    <cellStyle name="0_Category PnL Template_140910_Biscuits Actual Results P04_Sheet3" xfId="14230"/>
    <cellStyle name="0_Category PnL Template_140910_Biscuits Actual Results P1 BIS" xfId="14231"/>
    <cellStyle name="0_Category PnL Template_140910_Biscuits Actual Results P1 BIS 2" xfId="14232"/>
    <cellStyle name="0_Category PnL Template_140910_Biscuits Actual Results P1 BIS_P&amp;L KFE" xfId="14233"/>
    <cellStyle name="0_Category PnL Template_140910_Biscuits Actual Results P1 BIS_Sheet3" xfId="14234"/>
    <cellStyle name="0_Category PnL Template_140910_Biscuits Actual Results P10" xfId="14235"/>
    <cellStyle name="0_Category PnL Template_140910_Biscuits Actual Results P10 2" xfId="14236"/>
    <cellStyle name="0_Category PnL Template_140910_Biscuits Actual Results P10_P&amp;L KFE" xfId="14237"/>
    <cellStyle name="0_Category PnL Template_140910_Biscuits Actual Results P10_Sheet3" xfId="14238"/>
    <cellStyle name="0_Category PnL Template_140910_Biscuits Actual Results P11" xfId="14239"/>
    <cellStyle name="0_Category PnL Template_140910_Biscuits Actual Results P11 2" xfId="14240"/>
    <cellStyle name="0_Category PnL Template_140910_Biscuits Actual Results P11_P&amp;L KFE" xfId="14241"/>
    <cellStyle name="0_Category PnL Template_140910_Biscuits Actual Results P11_Sheet3" xfId="14242"/>
    <cellStyle name="0_Category PnL Template_140910_Biscuits Actual Results P12" xfId="14243"/>
    <cellStyle name="0_Category PnL Template_140910_Biscuits Actual Results P12 161210" xfId="14244"/>
    <cellStyle name="0_Category PnL Template_140910_Biscuits Actual Results P12 161210 2" xfId="14245"/>
    <cellStyle name="0_Category PnL Template_140910_Biscuits Actual Results P12 161210_P&amp;L KFE" xfId="14246"/>
    <cellStyle name="0_Category PnL Template_140910_Biscuits Actual Results P12 161210_Sheet3" xfId="14247"/>
    <cellStyle name="0_Category PnL Template_140910_Biscuits Actual Results P12 2" xfId="14248"/>
    <cellStyle name="0_Category PnL Template_140910_Biscuits Actual Results P12 Conso T2" xfId="14249"/>
    <cellStyle name="0_Category PnL Template_140910_Biscuits Actual Results P12 Conso T2 2" xfId="14250"/>
    <cellStyle name="0_Category PnL Template_140910_Biscuits Actual Results P12 Conso T2_P&amp;L KFE" xfId="14251"/>
    <cellStyle name="0_Category PnL Template_140910_Biscuits Actual Results P12 Conso T2_Sheet3" xfId="14252"/>
    <cellStyle name="0_Category PnL Template_140910_Biscuits Actual Results P12_P&amp;L KFE" xfId="14253"/>
    <cellStyle name="0_Category PnL Template_140910_Biscuits Actual Results P12_Sheet3" xfId="14254"/>
    <cellStyle name="0_Category PnL Template_140910_Category Template_Actuals" xfId="14255"/>
    <cellStyle name="0_Category PnL Template_140910_Category Template_Actuals 2" xfId="14256"/>
    <cellStyle name="0_Category PnL Template_140910_Category Template_Actuals NEW" xfId="14257"/>
    <cellStyle name="0_Category PnL Template_140910_Category Template_Actuals NEW 2" xfId="14258"/>
    <cellStyle name="0_Category PnL Template_140910_Category Template_Actuals NEW_P&amp;L KFE" xfId="14259"/>
    <cellStyle name="0_Category PnL Template_140910_Category Template_Actuals NEW_Sheet3" xfId="14260"/>
    <cellStyle name="0_Category PnL Template_140910_Category Template_Actuals_P&amp;L KFE" xfId="14261"/>
    <cellStyle name="0_Category PnL Template_140910_Category Template_Actuals_Sheet3" xfId="14262"/>
    <cellStyle name="0_Category PnL Template_140910_P&amp;L KFE" xfId="14263"/>
    <cellStyle name="0_Category PnL Template_140910_P&amp;L P06 AFH AC US" xfId="14264"/>
    <cellStyle name="0_Category PnL Template_140910_P&amp;L P06 AFH AC US_P&amp;L KFE" xfId="14265"/>
    <cellStyle name="0_Category PnL Template_140910_P&amp;L P06 AFH AC US_Sheet3" xfId="14266"/>
    <cellStyle name="0_Category PnL Template_140910_Sheet3" xfId="14267"/>
    <cellStyle name="0_Category PnL Template_140910_VRAN YTD" xfId="14268"/>
    <cellStyle name="0_Category PnL Template_140910_VRAN YTD 2" xfId="14269"/>
    <cellStyle name="0_Category PnL Template_140910_VRAN YTD_P&amp;L KFE" xfId="14270"/>
    <cellStyle name="0_Category PnL Template_140910_VRAN YTD_Sheet3" xfId="14271"/>
    <cellStyle name="0_Category PnL Template_201010 (4)" xfId="14272"/>
    <cellStyle name="0_Category PnL Template_201010 (4) 2" xfId="14273"/>
    <cellStyle name="0_Category PnL Template_201010 (4)_Biscuits Actual Results P02" xfId="14274"/>
    <cellStyle name="0_Category PnL Template_201010 (4)_Biscuits Actual Results P02 2" xfId="14275"/>
    <cellStyle name="0_Category PnL Template_201010 (4)_Biscuits Actual Results P02_P&amp;L KFE" xfId="14276"/>
    <cellStyle name="0_Category PnL Template_201010 (4)_Biscuits Actual Results P02_Sheet3" xfId="14277"/>
    <cellStyle name="0_Category PnL Template_201010 (4)_NC Drivers P10 T1" xfId="14278"/>
    <cellStyle name="0_Category PnL Template_201010 (4)_NC Drivers P10 T1 2" xfId="14279"/>
    <cellStyle name="0_Category PnL Template_201010 (4)_NC Drivers P10 T1_O&amp;R Nov Fc conso" xfId="14280"/>
    <cellStyle name="0_Category PnL Template_201010 (4)_NC Drivers P10 T1_O&amp;R Nov Fc conso 2" xfId="14281"/>
    <cellStyle name="0_Category PnL Template_201010 (4)_NC Drivers P10 T1_O&amp;R Nov Fc conso_P&amp;L KFE" xfId="14282"/>
    <cellStyle name="0_Category PnL Template_201010 (4)_NC Drivers P10 T1_O&amp;R Nov Fc conso_Sheet3" xfId="14283"/>
    <cellStyle name="0_Category PnL Template_201010 (4)_NC Drivers P10 T1_P&amp;L KFE" xfId="14284"/>
    <cellStyle name="0_Category PnL Template_201010 (4)_NC Drivers P10 T1_Sheet3" xfId="14285"/>
    <cellStyle name="0_Category PnL Template_201010 (4)_O&amp;R Nov Fc conso" xfId="14286"/>
    <cellStyle name="0_Category PnL Template_201010 (4)_O&amp;R Nov Fc conso 2" xfId="14287"/>
    <cellStyle name="0_Category PnL Template_201010 (4)_O&amp;R Nov Fc conso_P&amp;L KFE" xfId="14288"/>
    <cellStyle name="0_Category PnL Template_201010 (4)_O&amp;R Nov Fc conso_Sheet3" xfId="14289"/>
    <cellStyle name="0_Category PnL Template_201010 (4)_P&amp;L KFE" xfId="14290"/>
    <cellStyle name="0_Category PnL Template_201010 (4)_Sheet3" xfId="14291"/>
    <cellStyle name="0_Category Targets 2011_1.2" xfId="14292"/>
    <cellStyle name="0_Category Template AC'11 Oct7 Feedback" xfId="14293"/>
    <cellStyle name="0_Category Template AC'11_sent to countries" xfId="14294"/>
    <cellStyle name="0_Category Template AC'11_sent to countries ( euro )" xfId="14295"/>
    <cellStyle name="0_Category Template AC'11_sent to countries ( euro )_after feedback" xfId="14296"/>
    <cellStyle name="0_Cheese" xfId="14297"/>
    <cellStyle name="0_Cheese 2" xfId="14298"/>
    <cellStyle name="0_Cost bridge" xfId="14299"/>
    <cellStyle name="0_Cost vs AugFcst_NovDec" xfId="14300"/>
    <cellStyle name="0_Cost vs AugFcst_NovDec 2" xfId="14301"/>
    <cellStyle name="0_Cost vs AugFcst_NovDec_Opps&amp;Risks" xfId="14302"/>
    <cellStyle name="0_Cost vs AugFcst_NovDec_Opps&amp;Risks 2" xfId="14303"/>
    <cellStyle name="0_costRUR" xfId="14304"/>
    <cellStyle name="0_costRUR_AR_TUC new line_Szekes v10" xfId="14305"/>
    <cellStyle name="0_Data Capture Presentación" xfId="14306"/>
    <cellStyle name="0_DCD HK 04132005" xfId="14307"/>
    <cellStyle name="0_DCD HK 04132005_AP Country OB09 DCD Template" xfId="14308"/>
    <cellStyle name="0_DCD HK 04132005_AP Country OB09 DCD Template-M&amp;S NPD" xfId="14309"/>
    <cellStyle name="0_DCD PRC 04132005" xfId="14310"/>
    <cellStyle name="0_DCD PRC 04132005_AP Country OB09 DCD Template" xfId="14311"/>
    <cellStyle name="0_DCD PRC 04132005_AP Country OB09 DCD Template-M&amp;S NPD" xfId="14312"/>
    <cellStyle name="0_DCD TW 04132005" xfId="14313"/>
    <cellStyle name="0_DCD TW 04132005_AP Country OB09 DCD Template" xfId="14314"/>
    <cellStyle name="0_DCD TW 04132005_AP Country OB09 DCD Template-M&amp;S NPD" xfId="14315"/>
    <cellStyle name="0_disposal Torch1" xfId="14316"/>
    <cellStyle name="0_disposal Torch1 2" xfId="14317"/>
    <cellStyle name="0_disposal Torch1_Book2" xfId="14318"/>
    <cellStyle name="0_disposal Torch1_Book4" xfId="14319"/>
    <cellStyle name="0_disposal Torch1_costRUR" xfId="14320"/>
    <cellStyle name="0_disposal Torch1_KFE Severance Masterfile New (10) Update 2010 09_mw_hw" xfId="14321"/>
    <cellStyle name="0_disposal Torch1_Master File_US_Canada_COMPENSATION" xfId="14322"/>
    <cellStyle name="0_disposal Torch1_Master File_US_Canada_COMPENSATION (Comp Version)" xfId="14323"/>
    <cellStyle name="0_disposal Torch1_P&amp;L KFE" xfId="14324"/>
    <cellStyle name="0_disposal Torch1_Sheet3" xfId="14325"/>
    <cellStyle name="0_disposal Torch1_xyz" xfId="14326"/>
    <cellStyle name="0_DSF OB09 DCD" xfId="14327"/>
    <cellStyle name="0_DWH  Quarterly Reports - working file" xfId="14328"/>
    <cellStyle name="0_DWH  Quarterly Reports - working file_OI Bridge 0" xfId="14329"/>
    <cellStyle name="0_DWH  Quarterly Reports - working file_OI Bridge 1" xfId="14330"/>
    <cellStyle name="0_DWH  Quarterly Reports 0311 - working file" xfId="14331"/>
    <cellStyle name="0_DWH  Quarterly Reports 0311 - working file_OI Bridge 0" xfId="14332"/>
    <cellStyle name="0_DWH  Quarterly Reports 0311 - working file_OI Bridge 1" xfId="14333"/>
    <cellStyle name="0_DWH 0413" xfId="14334"/>
    <cellStyle name="0_DWH 0413_OI Bridge 0" xfId="14335"/>
    <cellStyle name="0_DWH 0413_OI Bridge 1" xfId="14336"/>
    <cellStyle name="0_EVA COGS AC11 vs AugFc_24-09" xfId="14337"/>
    <cellStyle name="0_EVA vs PY - MTD" xfId="14338"/>
    <cellStyle name="0_EVA vs PY - MTD_KFE VRO &amp; VAs Source - (03-10) - inc. Cadbury" xfId="14339"/>
    <cellStyle name="0_EVA vs PY - MTD_KFE VRO &amp; VAs Source - (03-10) - inc. Cadbury_OI Bridge 0" xfId="14340"/>
    <cellStyle name="0_EVA vs PY - MTD_KFE VRO &amp; VAs Source - (03-10) - inc. Cadbury_OI Bridge 1" xfId="14341"/>
    <cellStyle name="0_EVA vs PY - MTD_OI Bridge 0" xfId="14342"/>
    <cellStyle name="0_EVA vs PY - MTD_OI Bridge 1" xfId="14343"/>
    <cellStyle name="0_Feuil1" xfId="14344"/>
    <cellStyle name="0_Floating Chart (version 1)" xfId="14345"/>
    <cellStyle name="0_International Chargeback Summary - 2_Sep 9" xfId="14346"/>
    <cellStyle name="0_International Chargeback Summary - 2_Sep 9_P&amp;L KFE" xfId="14347"/>
    <cellStyle name="0_International Chargeback Summary - 2_Sep 9_Sheet3" xfId="14348"/>
    <cellStyle name="0_Italy Mgmt bridge AC'11 vs Aug Fc" xfId="14349"/>
    <cellStyle name="0_KFE Coffee AOP10 Retrieves_Country Template" xfId="14350"/>
    <cellStyle name="0_KFE Coffee AOP10 Retrieves_Country Template 2" xfId="14351"/>
    <cellStyle name="0_KFE Coffee FebFc" xfId="14352"/>
    <cellStyle name="0_KFE Coffee FebFc 2" xfId="14353"/>
    <cellStyle name="0_KFE Coffee FebFc_Opps&amp;Risks" xfId="14354"/>
    <cellStyle name="0_KFE Coffee FebFc_Opps&amp;Risks 2" xfId="14355"/>
    <cellStyle name="0_KFE VRO &amp; VAs Source - (03-10) - excl. Cadbury" xfId="14356"/>
    <cellStyle name="0_KFE VRO &amp; VAs Source - (03-10) - excl. Cadbury_OI Bridge 0" xfId="14357"/>
    <cellStyle name="0_KFE VRO &amp; VAs Source - (03-10) - excl. Cadbury_OI Bridge 1" xfId="14358"/>
    <cellStyle name="0_KFNA EVAs &amp; Net Rev VAs vs PY - (11-09)" xfId="14359"/>
    <cellStyle name="0_KFNA EVAs &amp; Net Rev VAs vs PY - (11-09)_KFE VRO &amp; VAs Source - (03-10) - inc. Cadbury" xfId="14360"/>
    <cellStyle name="0_KFNA EVAs &amp; Net Rev VAs vs PY - (11-09)_KFE VRO &amp; VAs Source - (03-10) - inc. Cadbury_OI Bridge 0" xfId="14361"/>
    <cellStyle name="0_KFNA EVAs &amp; Net Rev VAs vs PY - (11-09)_KFE VRO &amp; VAs Source - (03-10) - inc. Cadbury_OI Bridge 1" xfId="14362"/>
    <cellStyle name="0_KFNA EVAs &amp; Net Rev VAs vs PY - (11-09)_OI Bridge 0" xfId="14363"/>
    <cellStyle name="0_KFNA EVAs &amp; Net Rev VAs vs PY - (11-09)_OI Bridge 1" xfId="14364"/>
    <cellStyle name="0_KFT EVA &amp; Net Revenue VA vs. PY source - (02-10) Rpt Ex" xfId="14365"/>
    <cellStyle name="0_KFT EVA &amp; Net Revenue VA vs. PY source - (02-10) Rpt Ex_OI Bridge 0" xfId="14366"/>
    <cellStyle name="0_KFT EVA &amp; Net Revenue VA vs. PY source - (02-10) Rpt Ex_OI Bridge 1" xfId="14367"/>
    <cellStyle name="0_KFT EVA &amp; Net Revenue VA vs. PY source - (06-10) - excl. Cadbury" xfId="14368"/>
    <cellStyle name="0_KFT EVA &amp; Net Revenue VA vs. PY source - (06-10) - excl. Cadbury_OI Bridge 0" xfId="14369"/>
    <cellStyle name="0_KFT EVA &amp; Net Revenue VA vs. PY source - (06-10) - excl. Cadbury_OI Bridge 1" xfId="14370"/>
    <cellStyle name="0_Kraft Japan OB09 DCD" xfId="14371"/>
    <cellStyle name="0_Mgmt bridge AC'11 vs Aug Fc_Spain" xfId="14372"/>
    <cellStyle name="0_Mgmt Bridge DAC_O_R_c (2)" xfId="14373"/>
    <cellStyle name="0_Monthly report P01 USD" xfId="14374"/>
    <cellStyle name="0_Monthly report P01 USD_P&amp;L KFE" xfId="14375"/>
    <cellStyle name="0_Monthly report P01 USD_Sheet3" xfId="14376"/>
    <cellStyle name="0_NC Drivers PY Qrt excl Cadbury" xfId="14377"/>
    <cellStyle name="0_New Scorecard P02 draft" xfId="14378"/>
    <cellStyle name="0_NF" xfId="14379"/>
    <cellStyle name="0_NF 2" xfId="14380"/>
    <cellStyle name="0_NF_ACT" xfId="14381"/>
    <cellStyle name="0_NF_ACT 2" xfId="14382"/>
    <cellStyle name="0_NF_ADJ" xfId="14383"/>
    <cellStyle name="0_NF_ADJ 2" xfId="14384"/>
    <cellStyle name="0_NF_Cash Flow" xfId="14385"/>
    <cellStyle name="0_NF_Cash Flow 2" xfId="14386"/>
    <cellStyle name="0_Nov Fc Template Confectionery Biscuits" xfId="14387"/>
    <cellStyle name="0_NovFc FY" xfId="14388"/>
    <cellStyle name="0_NovFc FY 2" xfId="14389"/>
    <cellStyle name="0_NovFc FY_Opps&amp;Risks" xfId="14390"/>
    <cellStyle name="0_NovFc FY_Opps&amp;Risks 2" xfId="14391"/>
    <cellStyle name="0_NR Growth AC11" xfId="14392"/>
    <cellStyle name="0_O&amp;R  @ Latest Fc" xfId="14393"/>
    <cellStyle name="0_O&amp;R  @ Latest Fc 2" xfId="14394"/>
    <cellStyle name="0_O&amp;R  @ Latest Fc_Opps&amp;Risks" xfId="14395"/>
    <cellStyle name="0_O&amp;R  @ Latest Fc_Opps&amp;Risks 2" xfId="14396"/>
    <cellStyle name="0_P&amp;L KFE" xfId="14397"/>
    <cellStyle name="0_P&amp;L Qrt" xfId="14398"/>
    <cellStyle name="0_PA" xfId="14399"/>
    <cellStyle name="0_PRC OB09 DCD" xfId="14400"/>
    <cellStyle name="0_PRC OB09 vs Act08 (0203)" xfId="14401"/>
    <cellStyle name="0_Pricing Bridge" xfId="14402"/>
    <cellStyle name="0_Pricing Bridge - Pricing Actions AC 2011 (3)" xfId="14403"/>
    <cellStyle name="0_RIG &amp; NC graphs" xfId="14404"/>
    <cellStyle name="0_Savings EU 20090907" xfId="14405"/>
    <cellStyle name="0_Savings EU 20090907 2" xfId="14406"/>
    <cellStyle name="0_Savings EU 20090907_CNTY template WIP" xfId="14407"/>
    <cellStyle name="0_Savings EU 20090907_CNTY template WIP 2" xfId="14408"/>
    <cellStyle name="0_Savings EU 20090907_KFE Coffee NovFc" xfId="14409"/>
    <cellStyle name="0_Savings EU 20090907_KFE Coffee NovFc 2" xfId="14410"/>
    <cellStyle name="0_Savings EU 20090907_KFE Coffee NovFc Test" xfId="14411"/>
    <cellStyle name="0_Savings EU 20090907_KFE Coffee NovFc Test 2" xfId="14412"/>
    <cellStyle name="0_Savings EU 20090907_O&amp;R" xfId="14413"/>
    <cellStyle name="0_Savings EU 20090907_O&amp;R 2" xfId="14414"/>
    <cellStyle name="0_Savings EU 20090907_O&amp;R AFH" xfId="14415"/>
    <cellStyle name="0_Savings EU 20090907_O&amp;R AFH 2" xfId="14416"/>
    <cellStyle name="0_Savor - EUR Logistics - Impact - in SP10" xfId="14417"/>
    <cellStyle name="0_Savor - EUR Logistics - Impact - in SP10 2" xfId="14418"/>
    <cellStyle name="0_Savor - EUR Logistics - Impact - in SP10_CNTY template WIP" xfId="14419"/>
    <cellStyle name="0_Savor - EUR Logistics - Impact - in SP10_CNTY template WIP 2" xfId="14420"/>
    <cellStyle name="0_Savor - EUR Logistics - Impact - in SP10_KFE Coffee NovFc" xfId="14421"/>
    <cellStyle name="0_Savor - EUR Logistics - Impact - in SP10_KFE Coffee NovFc 2" xfId="14422"/>
    <cellStyle name="0_Savor - EUR Logistics - Impact - in SP10_KFE Coffee NovFc Test" xfId="14423"/>
    <cellStyle name="0_Savor - EUR Logistics - Impact - in SP10_KFE Coffee NovFc Test 2" xfId="14424"/>
    <cellStyle name="0_Savor - EUR Logistics - Impact - in SP10_O&amp;R" xfId="14425"/>
    <cellStyle name="0_Savor - EUR Logistics - Impact - in SP10_O&amp;R 2" xfId="14426"/>
    <cellStyle name="0_Savor - EUR Logistics - Impact - in SP10_O&amp;R AFH" xfId="14427"/>
    <cellStyle name="0_Savor - EUR Logistics - Impact - in SP10_O&amp;R AFH 2" xfId="14428"/>
    <cellStyle name="0_Scorecard Example" xfId="14429"/>
    <cellStyle name="0_Scorecard Example_Scorecard P02" xfId="14430"/>
    <cellStyle name="0_Scorecard P02" xfId="14431"/>
    <cellStyle name="0_Sheet1" xfId="14432"/>
    <cellStyle name="0_Sheet3" xfId="14433"/>
    <cellStyle name="0_Template Aug Fc AOP (3)" xfId="14434"/>
    <cellStyle name="0_TW OB09 DCD" xfId="14435"/>
    <cellStyle name="0_TW OB09 vs Act08 Template (Jan21)" xfId="14436"/>
    <cellStyle name="0_UK - 24Sep Bridge" xfId="14437"/>
    <cellStyle name="0_YTD vs AOP" xfId="14438"/>
    <cellStyle name="0_YTD vs AOP 2" xfId="14439"/>
    <cellStyle name="0_YTD vs AOP_P&amp;L KFE" xfId="14440"/>
    <cellStyle name="0_YTD vs AOP_Sheet3" xfId="14441"/>
    <cellStyle name="0_YTD vs AUGFC" xfId="14442"/>
    <cellStyle name="0_YTD vs AUGFC 2" xfId="14443"/>
    <cellStyle name="0_YTD vs AUGFC_P&amp;L KFE" xfId="14444"/>
    <cellStyle name="0_YTD vs AUGFC_Sheet3" xfId="14445"/>
    <cellStyle name="0_YTD vs PY" xfId="14446"/>
    <cellStyle name="0_YTD vs PY 2" xfId="14447"/>
    <cellStyle name="0_YTD vs PY_P&amp;L KFE" xfId="14448"/>
    <cellStyle name="0_YTD vs PY_Sheet3" xfId="14449"/>
    <cellStyle name="1" xfId="14450"/>
    <cellStyle name="1 000 K?_G Tableau Bord" xfId="14451"/>
    <cellStyle name="1 000 Kč_G Tableau Bord" xfId="14452"/>
    <cellStyle name="1 10" xfId="14453"/>
    <cellStyle name="1 11" xfId="14454"/>
    <cellStyle name="1 12" xfId="14455"/>
    <cellStyle name="1 13" xfId="14456"/>
    <cellStyle name="1 14" xfId="14457"/>
    <cellStyle name="1 15" xfId="14458"/>
    <cellStyle name="1 16" xfId="14459"/>
    <cellStyle name="1 17" xfId="14460"/>
    <cellStyle name="1 18" xfId="14461"/>
    <cellStyle name="1 2" xfId="14462"/>
    <cellStyle name="1 3" xfId="14463"/>
    <cellStyle name="1 3 2" xfId="14464"/>
    <cellStyle name="1 4" xfId="14465"/>
    <cellStyle name="1 5" xfId="14466"/>
    <cellStyle name="1 6" xfId="14467"/>
    <cellStyle name="1 7" xfId="14468"/>
    <cellStyle name="1 8" xfId="14469"/>
    <cellStyle name="1 9" xfId="14470"/>
    <cellStyle name="1__P09 - Key Drivers KBE" xfId="14471"/>
    <cellStyle name="1__P09 - Key Drivers KBE 2" xfId="14472"/>
    <cellStyle name="1__P09 - Key Drivers KBE_P&amp;L KFE" xfId="14473"/>
    <cellStyle name="1__P09 - Key Drivers KBE_Sheet3" xfId="14474"/>
    <cellStyle name="1__P10 - Key Drivers KBE" xfId="14475"/>
    <cellStyle name="1__P10 - Key Drivers KBE 2" xfId="14476"/>
    <cellStyle name="1__P10 - Key Drivers KBE_P&amp;L KFE" xfId="14477"/>
    <cellStyle name="1__P10 - Key Drivers KBE_Sheet3" xfId="14478"/>
    <cellStyle name="1_04_Power Brands" xfId="14479"/>
    <cellStyle name="1_2011 Targets by category Aug 25" xfId="14480"/>
    <cellStyle name="1_AC11 bridge Sept30 2010" xfId="14481"/>
    <cellStyle name="1_AP Country OB09 DCD Template" xfId="14482"/>
    <cellStyle name="1_AP Country OB09 DCD Template-M&amp;S NPD" xfId="14483"/>
    <cellStyle name="1_ASO P10, Q4  S38 27-09 bis" xfId="14484"/>
    <cellStyle name="1_AugFC_Managem_Bridges_Biscuits (2)" xfId="14485"/>
    <cellStyle name="1_BIS_Bridges_after_Feedback_DE_CH" xfId="14486"/>
    <cellStyle name="1_Biscuits Top Line Rate Charts" xfId="14487"/>
    <cellStyle name="1_bridge" xfId="14488"/>
    <cellStyle name="1_Category PnL Template_140910" xfId="14489"/>
    <cellStyle name="1_Category PnL Template_140910 2" xfId="14490"/>
    <cellStyle name="1_Category PnL Template_140910_Biscuits Actual Results P01" xfId="14491"/>
    <cellStyle name="1_Category PnL Template_140910_Biscuits Actual Results P01 2" xfId="14492"/>
    <cellStyle name="1_Category PnL Template_140910_Biscuits Actual Results P01_P&amp;L KFE" xfId="14493"/>
    <cellStyle name="1_Category PnL Template_140910_Biscuits Actual Results P01_Sheet3" xfId="14494"/>
    <cellStyle name="1_Category PnL Template_140910_Biscuits Actual Results P02" xfId="14495"/>
    <cellStyle name="1_Category PnL Template_140910_Biscuits Actual Results P02 2" xfId="14496"/>
    <cellStyle name="1_Category PnL Template_140910_Biscuits Actual Results P02_P&amp;L KFE" xfId="14497"/>
    <cellStyle name="1_Category PnL Template_140910_Biscuits Actual Results P02_Sheet3" xfId="14498"/>
    <cellStyle name="1_Category PnL Template_140910_Biscuits Actual Results P04" xfId="14499"/>
    <cellStyle name="1_Category PnL Template_140910_Biscuits Actual Results P04_P&amp;L KFE" xfId="14500"/>
    <cellStyle name="1_Category PnL Template_140910_Biscuits Actual Results P04_Sheet3" xfId="14501"/>
    <cellStyle name="1_Category PnL Template_140910_Biscuits Actual Results P1 BIS" xfId="14502"/>
    <cellStyle name="1_Category PnL Template_140910_Biscuits Actual Results P1 BIS 2" xfId="14503"/>
    <cellStyle name="1_Category PnL Template_140910_Biscuits Actual Results P1 BIS_P&amp;L KFE" xfId="14504"/>
    <cellStyle name="1_Category PnL Template_140910_Biscuits Actual Results P1 BIS_Sheet3" xfId="14505"/>
    <cellStyle name="1_Category PnL Template_140910_Biscuits Actual Results P10" xfId="14506"/>
    <cellStyle name="1_Category PnL Template_140910_Biscuits Actual Results P10 2" xfId="14507"/>
    <cellStyle name="1_Category PnL Template_140910_Biscuits Actual Results P10_P&amp;L KFE" xfId="14508"/>
    <cellStyle name="1_Category PnL Template_140910_Biscuits Actual Results P10_Sheet3" xfId="14509"/>
    <cellStyle name="1_Category PnL Template_140910_Biscuits Actual Results P11" xfId="14510"/>
    <cellStyle name="1_Category PnL Template_140910_Biscuits Actual Results P11 2" xfId="14511"/>
    <cellStyle name="1_Category PnL Template_140910_Biscuits Actual Results P11_P&amp;L KFE" xfId="14512"/>
    <cellStyle name="1_Category PnL Template_140910_Biscuits Actual Results P11_Sheet3" xfId="14513"/>
    <cellStyle name="1_Category PnL Template_140910_Biscuits Actual Results P12" xfId="14514"/>
    <cellStyle name="1_Category PnL Template_140910_Biscuits Actual Results P12 161210" xfId="14515"/>
    <cellStyle name="1_Category PnL Template_140910_Biscuits Actual Results P12 161210 2" xfId="14516"/>
    <cellStyle name="1_Category PnL Template_140910_Biscuits Actual Results P12 161210_P&amp;L KFE" xfId="14517"/>
    <cellStyle name="1_Category PnL Template_140910_Biscuits Actual Results P12 161210_Sheet3" xfId="14518"/>
    <cellStyle name="1_Category PnL Template_140910_Biscuits Actual Results P12 2" xfId="14519"/>
    <cellStyle name="1_Category PnL Template_140910_Biscuits Actual Results P12 Conso T2" xfId="14520"/>
    <cellStyle name="1_Category PnL Template_140910_Biscuits Actual Results P12 Conso T2 2" xfId="14521"/>
    <cellStyle name="1_Category PnL Template_140910_Biscuits Actual Results P12 Conso T2_P&amp;L KFE" xfId="14522"/>
    <cellStyle name="1_Category PnL Template_140910_Biscuits Actual Results P12 Conso T2_Sheet3" xfId="14523"/>
    <cellStyle name="1_Category PnL Template_140910_Biscuits Actual Results P12_P&amp;L KFE" xfId="14524"/>
    <cellStyle name="1_Category PnL Template_140910_Biscuits Actual Results P12_Sheet3" xfId="14525"/>
    <cellStyle name="1_Category PnL Template_140910_Category Template_Actuals" xfId="14526"/>
    <cellStyle name="1_Category PnL Template_140910_Category Template_Actuals 2" xfId="14527"/>
    <cellStyle name="1_Category PnL Template_140910_Category Template_Actuals NEW" xfId="14528"/>
    <cellStyle name="1_Category PnL Template_140910_Category Template_Actuals NEW 2" xfId="14529"/>
    <cellStyle name="1_Category PnL Template_140910_Category Template_Actuals NEW_P&amp;L KFE" xfId="14530"/>
    <cellStyle name="1_Category PnL Template_140910_Category Template_Actuals NEW_Sheet3" xfId="14531"/>
    <cellStyle name="1_Category PnL Template_140910_Category Template_Actuals_P&amp;L KFE" xfId="14532"/>
    <cellStyle name="1_Category PnL Template_140910_Category Template_Actuals_Sheet3" xfId="14533"/>
    <cellStyle name="1_Category PnL Template_140910_P&amp;L KFE" xfId="14534"/>
    <cellStyle name="1_Category PnL Template_140910_P&amp;L P06 AFH AC US" xfId="14535"/>
    <cellStyle name="1_Category PnL Template_140910_P&amp;L P06 AFH AC US_P&amp;L KFE" xfId="14536"/>
    <cellStyle name="1_Category PnL Template_140910_P&amp;L P06 AFH AC US_Sheet3" xfId="14537"/>
    <cellStyle name="1_Category PnL Template_140910_Sheet3" xfId="14538"/>
    <cellStyle name="1_Category PnL Template_140910_VRAN YTD" xfId="14539"/>
    <cellStyle name="1_Category PnL Template_140910_VRAN YTD 2" xfId="14540"/>
    <cellStyle name="1_Category PnL Template_140910_VRAN YTD_P&amp;L KFE" xfId="14541"/>
    <cellStyle name="1_Category PnL Template_140910_VRAN YTD_Sheet3" xfId="14542"/>
    <cellStyle name="1_Category PnL Template_201010 (4)" xfId="14543"/>
    <cellStyle name="1_Category PnL Template_201010 (4) 2" xfId="14544"/>
    <cellStyle name="1_Category PnL Template_201010 (4)_Biscuits Actual Results P02" xfId="14545"/>
    <cellStyle name="1_Category PnL Template_201010 (4)_Biscuits Actual Results P02 2" xfId="14546"/>
    <cellStyle name="1_Category PnL Template_201010 (4)_Biscuits Actual Results P02_P&amp;L KFE" xfId="14547"/>
    <cellStyle name="1_Category PnL Template_201010 (4)_Biscuits Actual Results P02_Sheet3" xfId="14548"/>
    <cellStyle name="1_Category PnL Template_201010 (4)_NC Drivers P10 T1" xfId="14549"/>
    <cellStyle name="1_Category PnL Template_201010 (4)_NC Drivers P10 T1 2" xfId="14550"/>
    <cellStyle name="1_Category PnL Template_201010 (4)_NC Drivers P10 T1_O&amp;R Nov Fc conso" xfId="14551"/>
    <cellStyle name="1_Category PnL Template_201010 (4)_NC Drivers P10 T1_O&amp;R Nov Fc conso 2" xfId="14552"/>
    <cellStyle name="1_Category PnL Template_201010 (4)_NC Drivers P10 T1_O&amp;R Nov Fc conso_P&amp;L KFE" xfId="14553"/>
    <cellStyle name="1_Category PnL Template_201010 (4)_NC Drivers P10 T1_O&amp;R Nov Fc conso_Sheet3" xfId="14554"/>
    <cellStyle name="1_Category PnL Template_201010 (4)_NC Drivers P10 T1_P&amp;L KFE" xfId="14555"/>
    <cellStyle name="1_Category PnL Template_201010 (4)_NC Drivers P10 T1_Sheet3" xfId="14556"/>
    <cellStyle name="1_Category PnL Template_201010 (4)_O&amp;R Nov Fc conso" xfId="14557"/>
    <cellStyle name="1_Category PnL Template_201010 (4)_O&amp;R Nov Fc conso 2" xfId="14558"/>
    <cellStyle name="1_Category PnL Template_201010 (4)_O&amp;R Nov Fc conso_P&amp;L KFE" xfId="14559"/>
    <cellStyle name="1_Category PnL Template_201010 (4)_O&amp;R Nov Fc conso_Sheet3" xfId="14560"/>
    <cellStyle name="1_Category PnL Template_201010 (4)_P&amp;L KFE" xfId="14561"/>
    <cellStyle name="1_Category PnL Template_201010 (4)_Sheet3" xfId="14562"/>
    <cellStyle name="1_Category Targets 2011_1.2" xfId="14563"/>
    <cellStyle name="1_Category Template AC'11 Oct7 Feedback" xfId="14564"/>
    <cellStyle name="1_Category Template AC'11_sent to countries" xfId="14565"/>
    <cellStyle name="1_Category Template AC'11_sent to countries ( euro )" xfId="14566"/>
    <cellStyle name="1_Category Template AC'11_sent to countries ( euro )_after feedback" xfId="14567"/>
    <cellStyle name="1_Cheese" xfId="14568"/>
    <cellStyle name="1_Cheese 2" xfId="14569"/>
    <cellStyle name="1_Cost bridge" xfId="14570"/>
    <cellStyle name="1_Cost vs AugFcst_NovDec" xfId="14571"/>
    <cellStyle name="1_Cost vs AugFcst_NovDec 2" xfId="14572"/>
    <cellStyle name="1_Cost vs AugFcst_NovDec_Opps&amp;Risks" xfId="14573"/>
    <cellStyle name="1_Cost vs AugFcst_NovDec_Opps&amp;Risks 2" xfId="14574"/>
    <cellStyle name="1_Data Capture Presentación" xfId="14575"/>
    <cellStyle name="1_DCD HK 04132005" xfId="14576"/>
    <cellStyle name="1_DCD PRC 04132005" xfId="14577"/>
    <cellStyle name="1_DCD TW 04132005" xfId="14578"/>
    <cellStyle name="1_DSF OB09 DCD" xfId="14579"/>
    <cellStyle name="1_DWH  Quarterly Reports - working file" xfId="14580"/>
    <cellStyle name="1_DWH  Quarterly Reports - working file_OI Bridge 0" xfId="14581"/>
    <cellStyle name="1_DWH  Quarterly Reports - working file_OI Bridge 1" xfId="14582"/>
    <cellStyle name="1_DWH  Quarterly Reports 0311 - working file" xfId="14583"/>
    <cellStyle name="1_DWH  Quarterly Reports 0311 - working file_OI Bridge 0" xfId="14584"/>
    <cellStyle name="1_DWH  Quarterly Reports 0311 - working file_OI Bridge 1" xfId="14585"/>
    <cellStyle name="1_DWH 0413" xfId="14586"/>
    <cellStyle name="1_DWH 0413_OI Bridge 0" xfId="14587"/>
    <cellStyle name="1_DWH 0413_OI Bridge 1" xfId="14588"/>
    <cellStyle name="1_EVA COGS AC11 vs AugFc_24-09" xfId="14589"/>
    <cellStyle name="1_EVA vs PY - MTD" xfId="14590"/>
    <cellStyle name="1_EVA vs PY - MTD_KFE VRO &amp; VAs Source - (03-10) - inc. Cadbury" xfId="14591"/>
    <cellStyle name="1_EVA vs PY - MTD_KFE VRO &amp; VAs Source - (03-10) - inc. Cadbury_OI Bridge 0" xfId="14592"/>
    <cellStyle name="1_EVA vs PY - MTD_KFE VRO &amp; VAs Source - (03-10) - inc. Cadbury_OI Bridge 1" xfId="14593"/>
    <cellStyle name="1_EVA vs PY - MTD_OI Bridge 0" xfId="14594"/>
    <cellStyle name="1_EVA vs PY - MTD_OI Bridge 1" xfId="14595"/>
    <cellStyle name="1_Feuil1" xfId="14596"/>
    <cellStyle name="1_Floating Chart (version 1)" xfId="14597"/>
    <cellStyle name="1_International Chargeback Summary - 2_Sep 9" xfId="14598"/>
    <cellStyle name="1_International Chargeback Summary - 2_Sep 9_P&amp;L KFE" xfId="14599"/>
    <cellStyle name="1_International Chargeback Summary - 2_Sep 9_Sheet3" xfId="14600"/>
    <cellStyle name="1_Italy Mgmt bridge AC'11 vs Aug Fc" xfId="14601"/>
    <cellStyle name="1_KFE Coffee AOP10 Retrieves_Country Template" xfId="14602"/>
    <cellStyle name="1_KFE Coffee AOP10 Retrieves_Country Template 2" xfId="14603"/>
    <cellStyle name="1_KFE VRO &amp; VAs Source - (03-10) - excl. Cadbury" xfId="14604"/>
    <cellStyle name="1_KFE VRO &amp; VAs Source - (03-10) - excl. Cadbury_OI Bridge 0" xfId="14605"/>
    <cellStyle name="1_KFE VRO &amp; VAs Source - (03-10) - excl. Cadbury_OI Bridge 1" xfId="14606"/>
    <cellStyle name="1_KFNA EVAs &amp; Net Rev VAs vs PY - (11-09)" xfId="14607"/>
    <cellStyle name="1_KFNA EVAs &amp; Net Rev VAs vs PY - (11-09)_KFE VRO &amp; VAs Source - (03-10) - inc. Cadbury" xfId="14608"/>
    <cellStyle name="1_KFNA EVAs &amp; Net Rev VAs vs PY - (11-09)_KFE VRO &amp; VAs Source - (03-10) - inc. Cadbury_OI Bridge 0" xfId="14609"/>
    <cellStyle name="1_KFNA EVAs &amp; Net Rev VAs vs PY - (11-09)_KFE VRO &amp; VAs Source - (03-10) - inc. Cadbury_OI Bridge 1" xfId="14610"/>
    <cellStyle name="1_KFNA EVAs &amp; Net Rev VAs vs PY - (11-09)_OI Bridge 0" xfId="14611"/>
    <cellStyle name="1_KFNA EVAs &amp; Net Rev VAs vs PY - (11-09)_OI Bridge 1" xfId="14612"/>
    <cellStyle name="1_KFT EVA &amp; Net Revenue VA vs. PY source - (02-10) Rpt Ex" xfId="14613"/>
    <cellStyle name="1_KFT EVA &amp; Net Revenue VA vs. PY source - (02-10) Rpt Ex_OI Bridge 0" xfId="14614"/>
    <cellStyle name="1_KFT EVA &amp; Net Revenue VA vs. PY source - (02-10) Rpt Ex_OI Bridge 1" xfId="14615"/>
    <cellStyle name="1_KFT EVA &amp; Net Revenue VA vs. PY source - (06-10) - excl. Cadbury" xfId="14616"/>
    <cellStyle name="1_KFT EVA &amp; Net Revenue VA vs. PY source - (06-10) - excl. Cadbury_OI Bridge 0" xfId="14617"/>
    <cellStyle name="1_KFT EVA &amp; Net Revenue VA vs. PY source - (06-10) - excl. Cadbury_OI Bridge 1" xfId="14618"/>
    <cellStyle name="1_Kraft Japan OB09 DCD" xfId="14619"/>
    <cellStyle name="1_Mgmt bridge AC'11 vs Aug Fc_Spain" xfId="14620"/>
    <cellStyle name="1_Mgmt Bridge DAC_O_R_c (2)" xfId="14621"/>
    <cellStyle name="1_NC Drivers PY Qrt excl Cadbury" xfId="14622"/>
    <cellStyle name="1_New Scorecard P02 draft" xfId="14623"/>
    <cellStyle name="1_NF" xfId="14624"/>
    <cellStyle name="1_NF 2" xfId="14625"/>
    <cellStyle name="1_NF_ACT" xfId="14626"/>
    <cellStyle name="1_NF_ACT 2" xfId="14627"/>
    <cellStyle name="1_NF_ADJ" xfId="14628"/>
    <cellStyle name="1_NF_ADJ 2" xfId="14629"/>
    <cellStyle name="1_NF_Cash Flow" xfId="14630"/>
    <cellStyle name="1_NF_Cash Flow 2" xfId="14631"/>
    <cellStyle name="1_Nov Fc Template Confectionery Biscuits" xfId="14632"/>
    <cellStyle name="1_NR Growth AC11" xfId="14633"/>
    <cellStyle name="1_O&amp;R  @ Latest Fc" xfId="14634"/>
    <cellStyle name="1_O&amp;R  @ Latest Fc 2" xfId="14635"/>
    <cellStyle name="1_O&amp;R  @ Latest Fc_Opps&amp;Risks" xfId="14636"/>
    <cellStyle name="1_O&amp;R  @ Latest Fc_Opps&amp;Risks 2" xfId="14637"/>
    <cellStyle name="1_P&amp;L KFE" xfId="14638"/>
    <cellStyle name="1_P&amp;L Qrt" xfId="14639"/>
    <cellStyle name="1_PA" xfId="14640"/>
    <cellStyle name="1_PRC OB09 DCD" xfId="14641"/>
    <cellStyle name="1_PRC OB09 vs Act08 (0203)" xfId="14642"/>
    <cellStyle name="1_Pricing Bridge" xfId="14643"/>
    <cellStyle name="1_Pricing Bridge - Pricing Actions AC 2011 (3)" xfId="14644"/>
    <cellStyle name="1_Q1 vs LY - Cost Drivers_20110304" xfId="14645"/>
    <cellStyle name="1_RIG &amp; NC graphs" xfId="14646"/>
    <cellStyle name="1_S2  2011 AC - Cost Drivers Nov 18 v2" xfId="14647"/>
    <cellStyle name="1_Savings EU 20090907" xfId="14648"/>
    <cellStyle name="1_Savings EU 20090907 2" xfId="14649"/>
    <cellStyle name="1_Savings EU 20090907_CNTY template WIP" xfId="14650"/>
    <cellStyle name="1_Savings EU 20090907_CNTY template WIP 2" xfId="14651"/>
    <cellStyle name="1_Savings EU 20090907_KFE Coffee NovFc" xfId="14652"/>
    <cellStyle name="1_Savings EU 20090907_KFE Coffee NovFc 2" xfId="14653"/>
    <cellStyle name="1_Savings EU 20090907_KFE Coffee NovFc Test" xfId="14654"/>
    <cellStyle name="1_Savings EU 20090907_KFE Coffee NovFc Test 2" xfId="14655"/>
    <cellStyle name="1_Savings EU 20090907_O&amp;R" xfId="14656"/>
    <cellStyle name="1_Savings EU 20090907_O&amp;R 2" xfId="14657"/>
    <cellStyle name="1_Savings EU 20090907_O&amp;R AFH" xfId="14658"/>
    <cellStyle name="1_Savings EU 20090907_O&amp;R AFH 2" xfId="14659"/>
    <cellStyle name="1_Scorecard Example" xfId="14660"/>
    <cellStyle name="1_Scorecard Example_Scorecard P02" xfId="14661"/>
    <cellStyle name="1_Scorecard P02" xfId="14662"/>
    <cellStyle name="1_Sheet1" xfId="14663"/>
    <cellStyle name="1_Sheet3" xfId="14664"/>
    <cellStyle name="1_Template Aug Fc AOP (3)" xfId="14665"/>
    <cellStyle name="1_TW OB09 DCD" xfId="14666"/>
    <cellStyle name="1_TW OB09 vs Act08 Template (Jan21)" xfId="14667"/>
    <cellStyle name="1_UK - 24Sep Bridge" xfId="14668"/>
    <cellStyle name="1_YTD vs AOP" xfId="14669"/>
    <cellStyle name="1_YTD vs AOP 2" xfId="14670"/>
    <cellStyle name="1_YTD vs AOP_P&amp;L KFE" xfId="14671"/>
    <cellStyle name="1_YTD vs AOP_Sheet3" xfId="14672"/>
    <cellStyle name="1_YTD vs AUGFC" xfId="14673"/>
    <cellStyle name="1_YTD vs AUGFC 2" xfId="14674"/>
    <cellStyle name="1_YTD vs AUGFC_P&amp;L KFE" xfId="14675"/>
    <cellStyle name="1_YTD vs AUGFC_Sheet3" xfId="14676"/>
    <cellStyle name="1_YTD vs PY" xfId="14677"/>
    <cellStyle name="1_YTD vs PY 2" xfId="14678"/>
    <cellStyle name="1_YTD vs PY_P&amp;L KFE" xfId="14679"/>
    <cellStyle name="1_YTD vs PY_Sheet3" xfId="14680"/>
    <cellStyle name="1_ZZ_2011 AC Revised - Cost Drivers_Procurement_20110206" xfId="14681"/>
    <cellStyle name="1_ZZ_2011 AC Revised - Cost Drivers_Procurement_20110206a" xfId="14682"/>
    <cellStyle name="10" xfId="14683"/>
    <cellStyle name="1000s (0)" xfId="14684"/>
    <cellStyle name="2.Ccdíué" xfId="14685"/>
    <cellStyle name="2.Ccdíué 2" xfId="14686"/>
    <cellStyle name="2.Жирный" xfId="14687"/>
    <cellStyle name="20 % - Accent1" xfId="14688"/>
    <cellStyle name="20 % - Accent2" xfId="14689"/>
    <cellStyle name="20 % - Accent3" xfId="14690"/>
    <cellStyle name="20 % - Accent4" xfId="14691"/>
    <cellStyle name="20 % - Accent5" xfId="14692"/>
    <cellStyle name="20 % - Accent6" xfId="14693"/>
    <cellStyle name="20% - Accent1 10" xfId="14694"/>
    <cellStyle name="20% - Accent1 2" xfId="14695"/>
    <cellStyle name="20% - Accent1 2 2" xfId="14696"/>
    <cellStyle name="20% - Accent1 2 3" xfId="14697"/>
    <cellStyle name="20% - Accent1 3" xfId="14698"/>
    <cellStyle name="20% - Accent1 3 2" xfId="14699"/>
    <cellStyle name="20% - Accent1 3 3" xfId="14700"/>
    <cellStyle name="20% - Accent1 4" xfId="14701"/>
    <cellStyle name="20% - Accent1 4 2" xfId="14702"/>
    <cellStyle name="20% - Accent1 4 3" xfId="14703"/>
    <cellStyle name="20% - Accent1 5" xfId="14704"/>
    <cellStyle name="20% - Accent1 5 2" xfId="14705"/>
    <cellStyle name="20% - Accent1 6" xfId="14706"/>
    <cellStyle name="20% - Accent1 7" xfId="14707"/>
    <cellStyle name="20% - Accent1 8" xfId="14708"/>
    <cellStyle name="20% - Accent1 9" xfId="14709"/>
    <cellStyle name="20% - Accent2 10" xfId="14710"/>
    <cellStyle name="20% - Accent2 2" xfId="14711"/>
    <cellStyle name="20% - Accent2 2 2" xfId="14712"/>
    <cellStyle name="20% - Accent2 2 3" xfId="14713"/>
    <cellStyle name="20% - Accent2 3" xfId="14714"/>
    <cellStyle name="20% - Accent2 3 2" xfId="14715"/>
    <cellStyle name="20% - Accent2 3 3" xfId="14716"/>
    <cellStyle name="20% - Accent2 4" xfId="14717"/>
    <cellStyle name="20% - Accent2 4 2" xfId="14718"/>
    <cellStyle name="20% - Accent2 4 3" xfId="14719"/>
    <cellStyle name="20% - Accent2 5" xfId="14720"/>
    <cellStyle name="20% - Accent2 5 2" xfId="14721"/>
    <cellStyle name="20% - Accent2 6" xfId="14722"/>
    <cellStyle name="20% - Accent2 7" xfId="14723"/>
    <cellStyle name="20% - Accent2 8" xfId="14724"/>
    <cellStyle name="20% - Accent2 9" xfId="14725"/>
    <cellStyle name="20% - Accent3 10" xfId="14726"/>
    <cellStyle name="20% - Accent3 2" xfId="14727"/>
    <cellStyle name="20% - Accent3 2 2" xfId="14728"/>
    <cellStyle name="20% - Accent3 2 3" xfId="14729"/>
    <cellStyle name="20% - Accent3 3" xfId="14730"/>
    <cellStyle name="20% - Accent3 3 2" xfId="14731"/>
    <cellStyle name="20% - Accent3 3 3" xfId="14732"/>
    <cellStyle name="20% - Accent3 4" xfId="14733"/>
    <cellStyle name="20% - Accent3 4 2" xfId="14734"/>
    <cellStyle name="20% - Accent3 4 3" xfId="14735"/>
    <cellStyle name="20% - Accent3 5" xfId="14736"/>
    <cellStyle name="20% - Accent3 5 2" xfId="14737"/>
    <cellStyle name="20% - Accent3 6" xfId="14738"/>
    <cellStyle name="20% - Accent3 7" xfId="14739"/>
    <cellStyle name="20% - Accent3 8" xfId="14740"/>
    <cellStyle name="20% - Accent3 9" xfId="14741"/>
    <cellStyle name="20% - Accent4 10" xfId="14742"/>
    <cellStyle name="20% - Accent4 2" xfId="14743"/>
    <cellStyle name="20% - Accent4 2 2" xfId="14744"/>
    <cellStyle name="20% - Accent4 2 3" xfId="14745"/>
    <cellStyle name="20% - Accent4 3" xfId="14746"/>
    <cellStyle name="20% - Accent4 3 2" xfId="14747"/>
    <cellStyle name="20% - Accent4 3 3" xfId="14748"/>
    <cellStyle name="20% - Accent4 4" xfId="14749"/>
    <cellStyle name="20% - Accent4 4 2" xfId="14750"/>
    <cellStyle name="20% - Accent4 4 3" xfId="14751"/>
    <cellStyle name="20% - Accent4 5" xfId="14752"/>
    <cellStyle name="20% - Accent4 5 2" xfId="14753"/>
    <cellStyle name="20% - Accent4 6" xfId="14754"/>
    <cellStyle name="20% - Accent4 7" xfId="14755"/>
    <cellStyle name="20% - Accent4 8" xfId="14756"/>
    <cellStyle name="20% - Accent4 9" xfId="14757"/>
    <cellStyle name="20% - Accent5 10" xfId="14758"/>
    <cellStyle name="20% - Accent5 2" xfId="14759"/>
    <cellStyle name="20% - Accent5 2 2" xfId="14760"/>
    <cellStyle name="20% - Accent5 2 3" xfId="14761"/>
    <cellStyle name="20% - Accent5 3" xfId="14762"/>
    <cellStyle name="20% - Accent5 3 2" xfId="14763"/>
    <cellStyle name="20% - Accent5 3 3" xfId="14764"/>
    <cellStyle name="20% - Accent5 4" xfId="14765"/>
    <cellStyle name="20% - Accent5 4 2" xfId="14766"/>
    <cellStyle name="20% - Accent5 4 3" xfId="14767"/>
    <cellStyle name="20% - Accent5 5" xfId="14768"/>
    <cellStyle name="20% - Accent5 5 2" xfId="14769"/>
    <cellStyle name="20% - Accent5 6" xfId="14770"/>
    <cellStyle name="20% - Accent5 7" xfId="14771"/>
    <cellStyle name="20% - Accent5 8" xfId="14772"/>
    <cellStyle name="20% - Accent5 9" xfId="14773"/>
    <cellStyle name="20% - Accent6 10" xfId="14774"/>
    <cellStyle name="20% - Accent6 2" xfId="14775"/>
    <cellStyle name="20% - Accent6 2 2" xfId="14776"/>
    <cellStyle name="20% - Accent6 2 3" xfId="14777"/>
    <cellStyle name="20% - Accent6 3" xfId="14778"/>
    <cellStyle name="20% - Accent6 3 2" xfId="14779"/>
    <cellStyle name="20% - Accent6 3 3" xfId="14780"/>
    <cellStyle name="20% - Accent6 4" xfId="14781"/>
    <cellStyle name="20% - Accent6 4 2" xfId="14782"/>
    <cellStyle name="20% - Accent6 4 3" xfId="14783"/>
    <cellStyle name="20% - Accent6 5" xfId="14784"/>
    <cellStyle name="20% - Accent6 5 2" xfId="14785"/>
    <cellStyle name="20% - Accent6 6" xfId="14786"/>
    <cellStyle name="20% - Accent6 7" xfId="14787"/>
    <cellStyle name="20% - Accent6 8" xfId="14788"/>
    <cellStyle name="20% - Accent6 9" xfId="14789"/>
    <cellStyle name="20% - Akzent1" xfId="14790"/>
    <cellStyle name="20% - Akzent1 2" xfId="14791"/>
    <cellStyle name="20% - Akzent2" xfId="14792"/>
    <cellStyle name="20% - Akzent2 2" xfId="14793"/>
    <cellStyle name="20% - Akzent3" xfId="14794"/>
    <cellStyle name="20% - Akzent3 2" xfId="14795"/>
    <cellStyle name="20% - Akzent4" xfId="14796"/>
    <cellStyle name="20% - Akzent4 2" xfId="14797"/>
    <cellStyle name="20% - Akzent5" xfId="14798"/>
    <cellStyle name="20% - Akzent5 2" xfId="14799"/>
    <cellStyle name="20% - Akzent6" xfId="14800"/>
    <cellStyle name="20% - Akzent6 2" xfId="14801"/>
    <cellStyle name="20% - Cor1" xfId="14802"/>
    <cellStyle name="20% - Cor1 2" xfId="14803"/>
    <cellStyle name="20% - Cor2" xfId="14804"/>
    <cellStyle name="20% - Cor2 2" xfId="14805"/>
    <cellStyle name="20% - Cor3" xfId="14806"/>
    <cellStyle name="20% - Cor3 2" xfId="14807"/>
    <cellStyle name="20% - Cor4" xfId="14808"/>
    <cellStyle name="20% - Cor4 2" xfId="14809"/>
    <cellStyle name="20% - Cor5" xfId="14810"/>
    <cellStyle name="20% - Cor5 2" xfId="14811"/>
    <cellStyle name="20% - Cor6" xfId="14812"/>
    <cellStyle name="20% - Cor6 2" xfId="14813"/>
    <cellStyle name="20% - Énfasis1" xfId="14814"/>
    <cellStyle name="20% - Énfasis1 2" xfId="14815"/>
    <cellStyle name="20% - Énfasis2" xfId="14816"/>
    <cellStyle name="20% - Énfasis2 2" xfId="14817"/>
    <cellStyle name="20% - Énfasis3" xfId="14818"/>
    <cellStyle name="20% - Énfasis3 2" xfId="14819"/>
    <cellStyle name="20% - Énfasis4" xfId="14820"/>
    <cellStyle name="20% - Énfasis4 2" xfId="14821"/>
    <cellStyle name="20% - Énfasis5" xfId="14822"/>
    <cellStyle name="20% - Énfasis5 2" xfId="14823"/>
    <cellStyle name="20% - Énfasis6" xfId="14824"/>
    <cellStyle name="20% - Énfasis6 2" xfId="14825"/>
    <cellStyle name="20% - Акцент1" xfId="14826"/>
    <cellStyle name="20% - Акцент2" xfId="14827"/>
    <cellStyle name="20% - Акцент3" xfId="14828"/>
    <cellStyle name="20% - Акцент4" xfId="14829"/>
    <cellStyle name="20% - Акцент5" xfId="14830"/>
    <cellStyle name="20% - Акцент6" xfId="14831"/>
    <cellStyle name="2decimal" xfId="14832"/>
    <cellStyle name="2decimal 2" xfId="14833"/>
    <cellStyle name="2decimal_P&amp;L KFE" xfId="14834"/>
    <cellStyle name="40 % - Accent1" xfId="14835"/>
    <cellStyle name="40 % - Accent2" xfId="14836"/>
    <cellStyle name="40 % - Accent3" xfId="14837"/>
    <cellStyle name="40 % - Accent4" xfId="14838"/>
    <cellStyle name="40 % - Accent5" xfId="14839"/>
    <cellStyle name="40 % - Accent6" xfId="14840"/>
    <cellStyle name="40% - Accent1 10" xfId="14841"/>
    <cellStyle name="40% - Accent1 2" xfId="14842"/>
    <cellStyle name="40% - Accent1 2 2" xfId="14843"/>
    <cellStyle name="40% - Accent1 2 3" xfId="14844"/>
    <cellStyle name="40% - Accent1 3" xfId="14845"/>
    <cellStyle name="40% - Accent1 3 2" xfId="14846"/>
    <cellStyle name="40% - Accent1 3 3" xfId="14847"/>
    <cellStyle name="40% - Accent1 4" xfId="14848"/>
    <cellStyle name="40% - Accent1 4 2" xfId="14849"/>
    <cellStyle name="40% - Accent1 4 3" xfId="14850"/>
    <cellStyle name="40% - Accent1 5" xfId="14851"/>
    <cellStyle name="40% - Accent1 5 2" xfId="14852"/>
    <cellStyle name="40% - Accent1 6" xfId="14853"/>
    <cellStyle name="40% - Accent1 7" xfId="14854"/>
    <cellStyle name="40% - Accent1 8" xfId="14855"/>
    <cellStyle name="40% - Accent1 9" xfId="14856"/>
    <cellStyle name="40% - Accent2 10" xfId="14857"/>
    <cellStyle name="40% - Accent2 2" xfId="14858"/>
    <cellStyle name="40% - Accent2 2 2" xfId="14859"/>
    <cellStyle name="40% - Accent2 2 3" xfId="14860"/>
    <cellStyle name="40% - Accent2 3" xfId="14861"/>
    <cellStyle name="40% - Accent2 3 2" xfId="14862"/>
    <cellStyle name="40% - Accent2 3 3" xfId="14863"/>
    <cellStyle name="40% - Accent2 4" xfId="14864"/>
    <cellStyle name="40% - Accent2 4 2" xfId="14865"/>
    <cellStyle name="40% - Accent2 4 3" xfId="14866"/>
    <cellStyle name="40% - Accent2 5" xfId="14867"/>
    <cellStyle name="40% - Accent2 5 2" xfId="14868"/>
    <cellStyle name="40% - Accent2 6" xfId="14869"/>
    <cellStyle name="40% - Accent2 7" xfId="14870"/>
    <cellStyle name="40% - Accent2 8" xfId="14871"/>
    <cellStyle name="40% - Accent2 9" xfId="14872"/>
    <cellStyle name="40% - Accent3 10" xfId="14873"/>
    <cellStyle name="40% - Accent3 2" xfId="14874"/>
    <cellStyle name="40% - Accent3 2 2" xfId="14875"/>
    <cellStyle name="40% - Accent3 2 3" xfId="14876"/>
    <cellStyle name="40% - Accent3 3" xfId="14877"/>
    <cellStyle name="40% - Accent3 3 2" xfId="14878"/>
    <cellStyle name="40% - Accent3 3 3" xfId="14879"/>
    <cellStyle name="40% - Accent3 4" xfId="14880"/>
    <cellStyle name="40% - Accent3 4 2" xfId="14881"/>
    <cellStyle name="40% - Accent3 4 3" xfId="14882"/>
    <cellStyle name="40% - Accent3 5" xfId="14883"/>
    <cellStyle name="40% - Accent3 5 2" xfId="14884"/>
    <cellStyle name="40% - Accent3 6" xfId="14885"/>
    <cellStyle name="40% - Accent3 7" xfId="14886"/>
    <cellStyle name="40% - Accent3 8" xfId="14887"/>
    <cellStyle name="40% - Accent3 9" xfId="14888"/>
    <cellStyle name="40% - Accent4 10" xfId="14889"/>
    <cellStyle name="40% - Accent4 2" xfId="14890"/>
    <cellStyle name="40% - Accent4 2 2" xfId="14891"/>
    <cellStyle name="40% - Accent4 2 3" xfId="14892"/>
    <cellStyle name="40% - Accent4 3" xfId="14893"/>
    <cellStyle name="40% - Accent4 3 2" xfId="14894"/>
    <cellStyle name="40% - Accent4 3 3" xfId="14895"/>
    <cellStyle name="40% - Accent4 4" xfId="14896"/>
    <cellStyle name="40% - Accent4 4 2" xfId="14897"/>
    <cellStyle name="40% - Accent4 4 3" xfId="14898"/>
    <cellStyle name="40% - Accent4 5" xfId="14899"/>
    <cellStyle name="40% - Accent4 5 2" xfId="14900"/>
    <cellStyle name="40% - Accent4 6" xfId="14901"/>
    <cellStyle name="40% - Accent4 7" xfId="14902"/>
    <cellStyle name="40% - Accent4 8" xfId="14903"/>
    <cellStyle name="40% - Accent4 9" xfId="14904"/>
    <cellStyle name="40% - Accent5 10" xfId="14905"/>
    <cellStyle name="40% - Accent5 2" xfId="14906"/>
    <cellStyle name="40% - Accent5 2 2" xfId="14907"/>
    <cellStyle name="40% - Accent5 2 3" xfId="14908"/>
    <cellStyle name="40% - Accent5 3" xfId="14909"/>
    <cellStyle name="40% - Accent5 3 2" xfId="14910"/>
    <cellStyle name="40% - Accent5 3 3" xfId="14911"/>
    <cellStyle name="40% - Accent5 4" xfId="14912"/>
    <cellStyle name="40% - Accent5 4 2" xfId="14913"/>
    <cellStyle name="40% - Accent5 4 3" xfId="14914"/>
    <cellStyle name="40% - Accent5 5" xfId="14915"/>
    <cellStyle name="40% - Accent5 5 2" xfId="14916"/>
    <cellStyle name="40% - Accent5 6" xfId="14917"/>
    <cellStyle name="40% - Accent5 7" xfId="14918"/>
    <cellStyle name="40% - Accent5 8" xfId="14919"/>
    <cellStyle name="40% - Accent5 9" xfId="14920"/>
    <cellStyle name="40% - Accent6 10" xfId="14921"/>
    <cellStyle name="40% - Accent6 2" xfId="14922"/>
    <cellStyle name="40% - Accent6 2 2" xfId="14923"/>
    <cellStyle name="40% - Accent6 2 3" xfId="14924"/>
    <cellStyle name="40% - Accent6 3" xfId="14925"/>
    <cellStyle name="40% - Accent6 3 2" xfId="14926"/>
    <cellStyle name="40% - Accent6 3 3" xfId="14927"/>
    <cellStyle name="40% - Accent6 4" xfId="14928"/>
    <cellStyle name="40% - Accent6 4 2" xfId="14929"/>
    <cellStyle name="40% - Accent6 4 3" xfId="14930"/>
    <cellStyle name="40% - Accent6 5" xfId="14931"/>
    <cellStyle name="40% - Accent6 5 2" xfId="14932"/>
    <cellStyle name="40% - Accent6 6" xfId="14933"/>
    <cellStyle name="40% - Accent6 7" xfId="14934"/>
    <cellStyle name="40% - Accent6 8" xfId="14935"/>
    <cellStyle name="40% - Accent6 9" xfId="14936"/>
    <cellStyle name="40% - Akzent1" xfId="14937"/>
    <cellStyle name="40% - Akzent1 2" xfId="14938"/>
    <cellStyle name="40% - Akzent2" xfId="14939"/>
    <cellStyle name="40% - Akzent2 2" xfId="14940"/>
    <cellStyle name="40% - Akzent3" xfId="14941"/>
    <cellStyle name="40% - Akzent3 2" xfId="14942"/>
    <cellStyle name="40% - Akzent4" xfId="14943"/>
    <cellStyle name="40% - Akzent4 2" xfId="14944"/>
    <cellStyle name="40% - Akzent5" xfId="14945"/>
    <cellStyle name="40% - Akzent5 2" xfId="14946"/>
    <cellStyle name="40% - Akzent6" xfId="14947"/>
    <cellStyle name="40% - Akzent6 2" xfId="14948"/>
    <cellStyle name="40% - Cor1" xfId="14949"/>
    <cellStyle name="40% - Cor1 2" xfId="14950"/>
    <cellStyle name="40% - Cor2" xfId="14951"/>
    <cellStyle name="40% - Cor2 2" xfId="14952"/>
    <cellStyle name="40% - Cor3" xfId="14953"/>
    <cellStyle name="40% - Cor3 2" xfId="14954"/>
    <cellStyle name="40% - Cor4" xfId="14955"/>
    <cellStyle name="40% - Cor4 2" xfId="14956"/>
    <cellStyle name="40% - Cor5" xfId="14957"/>
    <cellStyle name="40% - Cor5 2" xfId="14958"/>
    <cellStyle name="40% - Cor6" xfId="14959"/>
    <cellStyle name="40% - Cor6 2" xfId="14960"/>
    <cellStyle name="40% - Énfasis1" xfId="14961"/>
    <cellStyle name="40% - Énfasis1 2" xfId="14962"/>
    <cellStyle name="40% - Énfasis2" xfId="14963"/>
    <cellStyle name="40% - Énfasis2 2" xfId="14964"/>
    <cellStyle name="40% - Énfasis3" xfId="14965"/>
    <cellStyle name="40% - Énfasis3 2" xfId="14966"/>
    <cellStyle name="40% - Énfasis4" xfId="14967"/>
    <cellStyle name="40% - Énfasis4 2" xfId="14968"/>
    <cellStyle name="40% - Énfasis5" xfId="14969"/>
    <cellStyle name="40% - Énfasis5 2" xfId="14970"/>
    <cellStyle name="40% - Énfasis6" xfId="14971"/>
    <cellStyle name="40% - Énfasis6 2" xfId="14972"/>
    <cellStyle name="40% - Акцент1" xfId="14973"/>
    <cellStyle name="40% - Акцент2" xfId="14974"/>
    <cellStyle name="40% - Акцент3" xfId="14975"/>
    <cellStyle name="40% - Акцент4" xfId="14976"/>
    <cellStyle name="40% - Акцент5" xfId="14977"/>
    <cellStyle name="40% - Акцент6" xfId="14978"/>
    <cellStyle name="60 % - Accent1" xfId="14979"/>
    <cellStyle name="60 % - Accent2" xfId="14980"/>
    <cellStyle name="60 % - Accent3" xfId="14981"/>
    <cellStyle name="60 % - Accent4" xfId="14982"/>
    <cellStyle name="60 % - Accent5" xfId="14983"/>
    <cellStyle name="60 % - Accent6" xfId="14984"/>
    <cellStyle name="60% - Accent1 10" xfId="14985"/>
    <cellStyle name="60% - Accent1 2" xfId="14986"/>
    <cellStyle name="60% - Accent1 2 2" xfId="14987"/>
    <cellStyle name="60% - Accent1 3" xfId="14988"/>
    <cellStyle name="60% - Accent1 3 2" xfId="14989"/>
    <cellStyle name="60% - Accent1 4" xfId="14990"/>
    <cellStyle name="60% - Accent1 4 2" xfId="14991"/>
    <cellStyle name="60% - Accent1 5" xfId="14992"/>
    <cellStyle name="60% - Accent1 6" xfId="14993"/>
    <cellStyle name="60% - Accent1 7" xfId="14994"/>
    <cellStyle name="60% - Accent1 8" xfId="14995"/>
    <cellStyle name="60% - Accent1 9" xfId="14996"/>
    <cellStyle name="60% - Accent2 10" xfId="14997"/>
    <cellStyle name="60% - Accent2 2" xfId="14998"/>
    <cellStyle name="60% - Accent2 2 2" xfId="14999"/>
    <cellStyle name="60% - Accent2 3" xfId="15000"/>
    <cellStyle name="60% - Accent2 3 2" xfId="15001"/>
    <cellStyle name="60% - Accent2 4" xfId="15002"/>
    <cellStyle name="60% - Accent2 4 2" xfId="15003"/>
    <cellStyle name="60% - Accent2 5" xfId="15004"/>
    <cellStyle name="60% - Accent2 6" xfId="15005"/>
    <cellStyle name="60% - Accent2 7" xfId="15006"/>
    <cellStyle name="60% - Accent2 8" xfId="15007"/>
    <cellStyle name="60% - Accent2 9" xfId="15008"/>
    <cellStyle name="60% - Accent3 10" xfId="15009"/>
    <cellStyle name="60% - Accent3 2" xfId="15010"/>
    <cellStyle name="60% - Accent3 2 2" xfId="15011"/>
    <cellStyle name="60% - Accent3 3" xfId="15012"/>
    <cellStyle name="60% - Accent3 3 2" xfId="15013"/>
    <cellStyle name="60% - Accent3 4" xfId="15014"/>
    <cellStyle name="60% - Accent3 4 2" xfId="15015"/>
    <cellStyle name="60% - Accent3 5" xfId="15016"/>
    <cellStyle name="60% - Accent3 6" xfId="15017"/>
    <cellStyle name="60% - Accent3 7" xfId="15018"/>
    <cellStyle name="60% - Accent3 8" xfId="15019"/>
    <cellStyle name="60% - Accent3 9" xfId="15020"/>
    <cellStyle name="60% - Accent4 10" xfId="15021"/>
    <cellStyle name="60% - Accent4 2" xfId="15022"/>
    <cellStyle name="60% - Accent4 2 2" xfId="15023"/>
    <cellStyle name="60% - Accent4 3" xfId="15024"/>
    <cellStyle name="60% - Accent4 3 2" xfId="15025"/>
    <cellStyle name="60% - Accent4 4" xfId="15026"/>
    <cellStyle name="60% - Accent4 4 2" xfId="15027"/>
    <cellStyle name="60% - Accent4 5" xfId="15028"/>
    <cellStyle name="60% - Accent4 6" xfId="15029"/>
    <cellStyle name="60% - Accent4 7" xfId="15030"/>
    <cellStyle name="60% - Accent4 8" xfId="15031"/>
    <cellStyle name="60% - Accent4 9" xfId="15032"/>
    <cellStyle name="60% - Accent5 10" xfId="15033"/>
    <cellStyle name="60% - Accent5 2" xfId="15034"/>
    <cellStyle name="60% - Accent5 2 2" xfId="15035"/>
    <cellStyle name="60% - Accent5 3" xfId="15036"/>
    <cellStyle name="60% - Accent5 3 2" xfId="15037"/>
    <cellStyle name="60% - Accent5 4" xfId="15038"/>
    <cellStyle name="60% - Accent5 4 2" xfId="15039"/>
    <cellStyle name="60% - Accent5 5" xfId="15040"/>
    <cellStyle name="60% - Accent5 6" xfId="15041"/>
    <cellStyle name="60% - Accent5 7" xfId="15042"/>
    <cellStyle name="60% - Accent5 8" xfId="15043"/>
    <cellStyle name="60% - Accent5 9" xfId="15044"/>
    <cellStyle name="60% - Accent6 10" xfId="15045"/>
    <cellStyle name="60% - Accent6 2" xfId="15046"/>
    <cellStyle name="60% - Accent6 2 2" xfId="15047"/>
    <cellStyle name="60% - Accent6 3" xfId="15048"/>
    <cellStyle name="60% - Accent6 3 2" xfId="15049"/>
    <cellStyle name="60% - Accent6 4" xfId="15050"/>
    <cellStyle name="60% - Accent6 4 2" xfId="15051"/>
    <cellStyle name="60% - Accent6 5" xfId="15052"/>
    <cellStyle name="60% - Accent6 6" xfId="15053"/>
    <cellStyle name="60% - Accent6 7" xfId="15054"/>
    <cellStyle name="60% - Accent6 8" xfId="15055"/>
    <cellStyle name="60% - Accent6 9" xfId="15056"/>
    <cellStyle name="60% - Akzent1" xfId="15057"/>
    <cellStyle name="60% - Akzent1 2" xfId="15058"/>
    <cellStyle name="60% - Akzent2" xfId="15059"/>
    <cellStyle name="60% - Akzent2 2" xfId="15060"/>
    <cellStyle name="60% - Akzent3" xfId="15061"/>
    <cellStyle name="60% - Akzent3 2" xfId="15062"/>
    <cellStyle name="60% - Akzent4" xfId="15063"/>
    <cellStyle name="60% - Akzent4 2" xfId="15064"/>
    <cellStyle name="60% - Akzent5" xfId="15065"/>
    <cellStyle name="60% - Akzent5 2" xfId="15066"/>
    <cellStyle name="60% - Akzent6" xfId="15067"/>
    <cellStyle name="60% - Akzent6 2" xfId="15068"/>
    <cellStyle name="60% - Cor1" xfId="15069"/>
    <cellStyle name="60% - Cor1 2" xfId="15070"/>
    <cellStyle name="60% - Cor2" xfId="15071"/>
    <cellStyle name="60% - Cor2 2" xfId="15072"/>
    <cellStyle name="60% - Cor3" xfId="15073"/>
    <cellStyle name="60% - Cor3 2" xfId="15074"/>
    <cellStyle name="60% - Cor4" xfId="15075"/>
    <cellStyle name="60% - Cor4 2" xfId="15076"/>
    <cellStyle name="60% - Cor5" xfId="15077"/>
    <cellStyle name="60% - Cor5 2" xfId="15078"/>
    <cellStyle name="60% - Cor6" xfId="15079"/>
    <cellStyle name="60% - Cor6 2" xfId="15080"/>
    <cellStyle name="60% - Énfasis1" xfId="15081"/>
    <cellStyle name="60% - Énfasis1 2" xfId="15082"/>
    <cellStyle name="60% - Énfasis2" xfId="15083"/>
    <cellStyle name="60% - Énfasis2 2" xfId="15084"/>
    <cellStyle name="60% - Énfasis3" xfId="15085"/>
    <cellStyle name="60% - Énfasis3 2" xfId="15086"/>
    <cellStyle name="60% - Énfasis4" xfId="15087"/>
    <cellStyle name="60% - Énfasis4 2" xfId="15088"/>
    <cellStyle name="60% - Énfasis5" xfId="15089"/>
    <cellStyle name="60% - Énfasis5 2" xfId="15090"/>
    <cellStyle name="60% - Énfasis6" xfId="15091"/>
    <cellStyle name="60% - Énfasis6 2" xfId="15092"/>
    <cellStyle name="60% - Акцент1" xfId="15093"/>
    <cellStyle name="60% - Акцент2" xfId="15094"/>
    <cellStyle name="60% - Акцент3" xfId="15095"/>
    <cellStyle name="60% - Акцент4" xfId="15096"/>
    <cellStyle name="60% - Акцент5" xfId="15097"/>
    <cellStyle name="60% - Акцент6" xfId="15098"/>
    <cellStyle name="7" xfId="15099"/>
    <cellStyle name="7 2" xfId="15100"/>
    <cellStyle name="9" xfId="15101"/>
    <cellStyle name="9_P&amp;L KFE" xfId="15102"/>
    <cellStyle name="9_Sheet3" xfId="15103"/>
    <cellStyle name="ac" xfId="15104"/>
    <cellStyle name="ac 2" xfId="15105"/>
    <cellStyle name="Accent1 - 20%" xfId="15106"/>
    <cellStyle name="Accent1 - 20% 2" xfId="15107"/>
    <cellStyle name="Accent1 - 40%" xfId="15108"/>
    <cellStyle name="Accent1 - 40% 2" xfId="15109"/>
    <cellStyle name="Accent1 - 60%" xfId="15110"/>
    <cellStyle name="Accent1 - 60% 2" xfId="15111"/>
    <cellStyle name="Accent1 10" xfId="15112"/>
    <cellStyle name="Accent1 100" xfId="18191"/>
    <cellStyle name="Accent1 101" xfId="18192"/>
    <cellStyle name="Accent1 102" xfId="18193"/>
    <cellStyle name="Accent1 103" xfId="18194"/>
    <cellStyle name="Accent1 104" xfId="18195"/>
    <cellStyle name="Accent1 105" xfId="18196"/>
    <cellStyle name="Accent1 106" xfId="18197"/>
    <cellStyle name="Accent1 107" xfId="18198"/>
    <cellStyle name="Accent1 108" xfId="18199"/>
    <cellStyle name="Accent1 109" xfId="18200"/>
    <cellStyle name="Accent1 11" xfId="15113"/>
    <cellStyle name="Accent1 110" xfId="18201"/>
    <cellStyle name="Accent1 111" xfId="18202"/>
    <cellStyle name="Accent1 112" xfId="18203"/>
    <cellStyle name="Accent1 113" xfId="18204"/>
    <cellStyle name="Accent1 114" xfId="18205"/>
    <cellStyle name="Accent1 115" xfId="18206"/>
    <cellStyle name="Accent1 116" xfId="18207"/>
    <cellStyle name="Accent1 117" xfId="18208"/>
    <cellStyle name="Accent1 118" xfId="18209"/>
    <cellStyle name="Accent1 119" xfId="18210"/>
    <cellStyle name="Accent1 12" xfId="15114"/>
    <cellStyle name="Accent1 120" xfId="18211"/>
    <cellStyle name="Accent1 121" xfId="18212"/>
    <cellStyle name="Accent1 122" xfId="18213"/>
    <cellStyle name="Accent1 123" xfId="18214"/>
    <cellStyle name="Accent1 124" xfId="18215"/>
    <cellStyle name="Accent1 125" xfId="18216"/>
    <cellStyle name="Accent1 126" xfId="18217"/>
    <cellStyle name="Accent1 127" xfId="18218"/>
    <cellStyle name="Accent1 128" xfId="18219"/>
    <cellStyle name="Accent1 129" xfId="18220"/>
    <cellStyle name="Accent1 13" xfId="15115"/>
    <cellStyle name="Accent1 130" xfId="18221"/>
    <cellStyle name="Accent1 131" xfId="18222"/>
    <cellStyle name="Accent1 132" xfId="18223"/>
    <cellStyle name="Accent1 133" xfId="18224"/>
    <cellStyle name="Accent1 134" xfId="18225"/>
    <cellStyle name="Accent1 135" xfId="18226"/>
    <cellStyle name="Accent1 136" xfId="18227"/>
    <cellStyle name="Accent1 137" xfId="18228"/>
    <cellStyle name="Accent1 138" xfId="18229"/>
    <cellStyle name="Accent1 139" xfId="18230"/>
    <cellStyle name="Accent1 14" xfId="15116"/>
    <cellStyle name="Accent1 140" xfId="18231"/>
    <cellStyle name="Accent1 141" xfId="18232"/>
    <cellStyle name="Accent1 142" xfId="18233"/>
    <cellStyle name="Accent1 143" xfId="18234"/>
    <cellStyle name="Accent1 144" xfId="18235"/>
    <cellStyle name="Accent1 145" xfId="18236"/>
    <cellStyle name="Accent1 146" xfId="18237"/>
    <cellStyle name="Accent1 147" xfId="18238"/>
    <cellStyle name="Accent1 15" xfId="15117"/>
    <cellStyle name="Accent1 16" xfId="15118"/>
    <cellStyle name="Accent1 17" xfId="15119"/>
    <cellStyle name="Accent1 18" xfId="15120"/>
    <cellStyle name="Accent1 19" xfId="15121"/>
    <cellStyle name="Accent1 2" xfId="15122"/>
    <cellStyle name="Accent1 2 2" xfId="15123"/>
    <cellStyle name="Accent1 2 3" xfId="15124"/>
    <cellStyle name="Accent1 2 4" xfId="15125"/>
    <cellStyle name="Accent1 20" xfId="15126"/>
    <cellStyle name="Accent1 21" xfId="15127"/>
    <cellStyle name="Accent1 22" xfId="15128"/>
    <cellStyle name="Accent1 23" xfId="15129"/>
    <cellStyle name="Accent1 24" xfId="15130"/>
    <cellStyle name="Accent1 25" xfId="15131"/>
    <cellStyle name="Accent1 26" xfId="15132"/>
    <cellStyle name="Accent1 27" xfId="15133"/>
    <cellStyle name="Accent1 28" xfId="15134"/>
    <cellStyle name="Accent1 29" xfId="15135"/>
    <cellStyle name="Accent1 3" xfId="15136"/>
    <cellStyle name="Accent1 3 2" xfId="15137"/>
    <cellStyle name="Accent1 30" xfId="15138"/>
    <cellStyle name="Accent1 31" xfId="15139"/>
    <cellStyle name="Accent1 32" xfId="15140"/>
    <cellStyle name="Accent1 33" xfId="15141"/>
    <cellStyle name="Accent1 34" xfId="15142"/>
    <cellStyle name="Accent1 35" xfId="15143"/>
    <cellStyle name="Accent1 36" xfId="15144"/>
    <cellStyle name="Accent1 37" xfId="15145"/>
    <cellStyle name="Accent1 38" xfId="15146"/>
    <cellStyle name="Accent1 39" xfId="15147"/>
    <cellStyle name="Accent1 4" xfId="15148"/>
    <cellStyle name="Accent1 4 2" xfId="15149"/>
    <cellStyle name="Accent1 40" xfId="15150"/>
    <cellStyle name="Accent1 41" xfId="15151"/>
    <cellStyle name="Accent1 42" xfId="15152"/>
    <cellStyle name="Accent1 43" xfId="15153"/>
    <cellStyle name="Accent1 44" xfId="15154"/>
    <cellStyle name="Accent1 45" xfId="15155"/>
    <cellStyle name="Accent1 46" xfId="18239"/>
    <cellStyle name="Accent1 47" xfId="18240"/>
    <cellStyle name="Accent1 48" xfId="18241"/>
    <cellStyle name="Accent1 49" xfId="18242"/>
    <cellStyle name="Accent1 5" xfId="15156"/>
    <cellStyle name="Accent1 50" xfId="18243"/>
    <cellStyle name="Accent1 51" xfId="18244"/>
    <cellStyle name="Accent1 52" xfId="18245"/>
    <cellStyle name="Accent1 53" xfId="18246"/>
    <cellStyle name="Accent1 54" xfId="18247"/>
    <cellStyle name="Accent1 55" xfId="18248"/>
    <cellStyle name="Accent1 56" xfId="18249"/>
    <cellStyle name="Accent1 57" xfId="18250"/>
    <cellStyle name="Accent1 58" xfId="18251"/>
    <cellStyle name="Accent1 59" xfId="18252"/>
    <cellStyle name="Accent1 6" xfId="15157"/>
    <cellStyle name="Accent1 60" xfId="18253"/>
    <cellStyle name="Accent1 61" xfId="18254"/>
    <cellStyle name="Accent1 62" xfId="18255"/>
    <cellStyle name="Accent1 63" xfId="18256"/>
    <cellStyle name="Accent1 64" xfId="18257"/>
    <cellStyle name="Accent1 65" xfId="18258"/>
    <cellStyle name="Accent1 66" xfId="18259"/>
    <cellStyle name="Accent1 67" xfId="18260"/>
    <cellStyle name="Accent1 68" xfId="18261"/>
    <cellStyle name="Accent1 69" xfId="18262"/>
    <cellStyle name="Accent1 7" xfId="15158"/>
    <cellStyle name="Accent1 70" xfId="18263"/>
    <cellStyle name="Accent1 71" xfId="18264"/>
    <cellStyle name="Accent1 72" xfId="18265"/>
    <cellStyle name="Accent1 73" xfId="18266"/>
    <cellStyle name="Accent1 74" xfId="18267"/>
    <cellStyle name="Accent1 75" xfId="18268"/>
    <cellStyle name="Accent1 76" xfId="18269"/>
    <cellStyle name="Accent1 77" xfId="18270"/>
    <cellStyle name="Accent1 78" xfId="18271"/>
    <cellStyle name="Accent1 79" xfId="18272"/>
    <cellStyle name="Accent1 8" xfId="15159"/>
    <cellStyle name="Accent1 80" xfId="18273"/>
    <cellStyle name="Accent1 81" xfId="18274"/>
    <cellStyle name="Accent1 82" xfId="18275"/>
    <cellStyle name="Accent1 83" xfId="18276"/>
    <cellStyle name="Accent1 84" xfId="18277"/>
    <cellStyle name="Accent1 85" xfId="18278"/>
    <cellStyle name="Accent1 86" xfId="18279"/>
    <cellStyle name="Accent1 87" xfId="18280"/>
    <cellStyle name="Accent1 88" xfId="18281"/>
    <cellStyle name="Accent1 89" xfId="18282"/>
    <cellStyle name="Accent1 9" xfId="15160"/>
    <cellStyle name="Accent1 90" xfId="18283"/>
    <cellStyle name="Accent1 91" xfId="18284"/>
    <cellStyle name="Accent1 92" xfId="18285"/>
    <cellStyle name="Accent1 93" xfId="18286"/>
    <cellStyle name="Accent1 94" xfId="18287"/>
    <cellStyle name="Accent1 95" xfId="18288"/>
    <cellStyle name="Accent1 96" xfId="18289"/>
    <cellStyle name="Accent1 97" xfId="18290"/>
    <cellStyle name="Accent1 98" xfId="18291"/>
    <cellStyle name="Accent1 99" xfId="18292"/>
    <cellStyle name="Accent2 - 20%" xfId="15161"/>
    <cellStyle name="Accent2 - 20% 2" xfId="15162"/>
    <cellStyle name="Accent2 - 40%" xfId="15163"/>
    <cellStyle name="Accent2 - 40% 2" xfId="15164"/>
    <cellStyle name="Accent2 - 60%" xfId="15165"/>
    <cellStyle name="Accent2 - 60% 2" xfId="15166"/>
    <cellStyle name="Accent2 10" xfId="15167"/>
    <cellStyle name="Accent2 100" xfId="18293"/>
    <cellStyle name="Accent2 101" xfId="18294"/>
    <cellStyle name="Accent2 102" xfId="18295"/>
    <cellStyle name="Accent2 103" xfId="18296"/>
    <cellStyle name="Accent2 104" xfId="18297"/>
    <cellStyle name="Accent2 105" xfId="18298"/>
    <cellStyle name="Accent2 106" xfId="18299"/>
    <cellStyle name="Accent2 107" xfId="18300"/>
    <cellStyle name="Accent2 108" xfId="18301"/>
    <cellStyle name="Accent2 109" xfId="18302"/>
    <cellStyle name="Accent2 11" xfId="15168"/>
    <cellStyle name="Accent2 110" xfId="18303"/>
    <cellStyle name="Accent2 111" xfId="18304"/>
    <cellStyle name="Accent2 112" xfId="18305"/>
    <cellStyle name="Accent2 113" xfId="18306"/>
    <cellStyle name="Accent2 114" xfId="18307"/>
    <cellStyle name="Accent2 115" xfId="18308"/>
    <cellStyle name="Accent2 116" xfId="18309"/>
    <cellStyle name="Accent2 117" xfId="18310"/>
    <cellStyle name="Accent2 118" xfId="18311"/>
    <cellStyle name="Accent2 119" xfId="18312"/>
    <cellStyle name="Accent2 12" xfId="15169"/>
    <cellStyle name="Accent2 120" xfId="18313"/>
    <cellStyle name="Accent2 121" xfId="18314"/>
    <cellStyle name="Accent2 122" xfId="18315"/>
    <cellStyle name="Accent2 123" xfId="18316"/>
    <cellStyle name="Accent2 124" xfId="18317"/>
    <cellStyle name="Accent2 125" xfId="18318"/>
    <cellStyle name="Accent2 126" xfId="18319"/>
    <cellStyle name="Accent2 127" xfId="18320"/>
    <cellStyle name="Accent2 128" xfId="18321"/>
    <cellStyle name="Accent2 129" xfId="18322"/>
    <cellStyle name="Accent2 13" xfId="15170"/>
    <cellStyle name="Accent2 130" xfId="18323"/>
    <cellStyle name="Accent2 131" xfId="18324"/>
    <cellStyle name="Accent2 132" xfId="18325"/>
    <cellStyle name="Accent2 133" xfId="18326"/>
    <cellStyle name="Accent2 134" xfId="18327"/>
    <cellStyle name="Accent2 135" xfId="18328"/>
    <cellStyle name="Accent2 136" xfId="18329"/>
    <cellStyle name="Accent2 137" xfId="18330"/>
    <cellStyle name="Accent2 138" xfId="18331"/>
    <cellStyle name="Accent2 139" xfId="18332"/>
    <cellStyle name="Accent2 14" xfId="15171"/>
    <cellStyle name="Accent2 140" xfId="18333"/>
    <cellStyle name="Accent2 141" xfId="18334"/>
    <cellStyle name="Accent2 142" xfId="18335"/>
    <cellStyle name="Accent2 143" xfId="18336"/>
    <cellStyle name="Accent2 144" xfId="18337"/>
    <cellStyle name="Accent2 145" xfId="18338"/>
    <cellStyle name="Accent2 146" xfId="18339"/>
    <cellStyle name="Accent2 147" xfId="18340"/>
    <cellStyle name="Accent2 15" xfId="15172"/>
    <cellStyle name="Accent2 16" xfId="15173"/>
    <cellStyle name="Accent2 17" xfId="15174"/>
    <cellStyle name="Accent2 18" xfId="15175"/>
    <cellStyle name="Accent2 19" xfId="15176"/>
    <cellStyle name="Accent2 2" xfId="15177"/>
    <cellStyle name="Accent2 2 2" xfId="15178"/>
    <cellStyle name="Accent2 2 3" xfId="15179"/>
    <cellStyle name="Accent2 2 4" xfId="15180"/>
    <cellStyle name="Accent2 20" xfId="15181"/>
    <cellStyle name="Accent2 21" xfId="15182"/>
    <cellStyle name="Accent2 22" xfId="15183"/>
    <cellStyle name="Accent2 23" xfId="15184"/>
    <cellStyle name="Accent2 24" xfId="15185"/>
    <cellStyle name="Accent2 25" xfId="15186"/>
    <cellStyle name="Accent2 26" xfId="15187"/>
    <cellStyle name="Accent2 27" xfId="15188"/>
    <cellStyle name="Accent2 28" xfId="15189"/>
    <cellStyle name="Accent2 29" xfId="15190"/>
    <cellStyle name="Accent2 3" xfId="15191"/>
    <cellStyle name="Accent2 3 2" xfId="15192"/>
    <cellStyle name="Accent2 30" xfId="15193"/>
    <cellStyle name="Accent2 31" xfId="15194"/>
    <cellStyle name="Accent2 32" xfId="15195"/>
    <cellStyle name="Accent2 33" xfId="15196"/>
    <cellStyle name="Accent2 34" xfId="15197"/>
    <cellStyle name="Accent2 35" xfId="15198"/>
    <cellStyle name="Accent2 36" xfId="15199"/>
    <cellStyle name="Accent2 37" xfId="15200"/>
    <cellStyle name="Accent2 38" xfId="15201"/>
    <cellStyle name="Accent2 39" xfId="15202"/>
    <cellStyle name="Accent2 4" xfId="15203"/>
    <cellStyle name="Accent2 4 2" xfId="15204"/>
    <cellStyle name="Accent2 40" xfId="15205"/>
    <cellStyle name="Accent2 41" xfId="15206"/>
    <cellStyle name="Accent2 42" xfId="15207"/>
    <cellStyle name="Accent2 43" xfId="15208"/>
    <cellStyle name="Accent2 44" xfId="15209"/>
    <cellStyle name="Accent2 45" xfId="15210"/>
    <cellStyle name="Accent2 46" xfId="18341"/>
    <cellStyle name="Accent2 47" xfId="18342"/>
    <cellStyle name="Accent2 48" xfId="18343"/>
    <cellStyle name="Accent2 49" xfId="18344"/>
    <cellStyle name="Accent2 5" xfId="15211"/>
    <cellStyle name="Accent2 50" xfId="18345"/>
    <cellStyle name="Accent2 51" xfId="18346"/>
    <cellStyle name="Accent2 52" xfId="18347"/>
    <cellStyle name="Accent2 53" xfId="18348"/>
    <cellStyle name="Accent2 54" xfId="18349"/>
    <cellStyle name="Accent2 55" xfId="18350"/>
    <cellStyle name="Accent2 56" xfId="18351"/>
    <cellStyle name="Accent2 57" xfId="18352"/>
    <cellStyle name="Accent2 58" xfId="18353"/>
    <cellStyle name="Accent2 59" xfId="18354"/>
    <cellStyle name="Accent2 6" xfId="15212"/>
    <cellStyle name="Accent2 60" xfId="18355"/>
    <cellStyle name="Accent2 61" xfId="18356"/>
    <cellStyle name="Accent2 62" xfId="18357"/>
    <cellStyle name="Accent2 63" xfId="18358"/>
    <cellStyle name="Accent2 64" xfId="18359"/>
    <cellStyle name="Accent2 65" xfId="18360"/>
    <cellStyle name="Accent2 66" xfId="18361"/>
    <cellStyle name="Accent2 67" xfId="18362"/>
    <cellStyle name="Accent2 68" xfId="18363"/>
    <cellStyle name="Accent2 69" xfId="18364"/>
    <cellStyle name="Accent2 7" xfId="15213"/>
    <cellStyle name="Accent2 70" xfId="18365"/>
    <cellStyle name="Accent2 71" xfId="18366"/>
    <cellStyle name="Accent2 72" xfId="18367"/>
    <cellStyle name="Accent2 73" xfId="18368"/>
    <cellStyle name="Accent2 74" xfId="18369"/>
    <cellStyle name="Accent2 75" xfId="18370"/>
    <cellStyle name="Accent2 76" xfId="18371"/>
    <cellStyle name="Accent2 77" xfId="18372"/>
    <cellStyle name="Accent2 78" xfId="18373"/>
    <cellStyle name="Accent2 79" xfId="18374"/>
    <cellStyle name="Accent2 8" xfId="15214"/>
    <cellStyle name="Accent2 80" xfId="18375"/>
    <cellStyle name="Accent2 81" xfId="18376"/>
    <cellStyle name="Accent2 82" xfId="18377"/>
    <cellStyle name="Accent2 83" xfId="18378"/>
    <cellStyle name="Accent2 84" xfId="18379"/>
    <cellStyle name="Accent2 85" xfId="18380"/>
    <cellStyle name="Accent2 86" xfId="18381"/>
    <cellStyle name="Accent2 87" xfId="18382"/>
    <cellStyle name="Accent2 88" xfId="18383"/>
    <cellStyle name="Accent2 89" xfId="18384"/>
    <cellStyle name="Accent2 9" xfId="15215"/>
    <cellStyle name="Accent2 90" xfId="18385"/>
    <cellStyle name="Accent2 91" xfId="18386"/>
    <cellStyle name="Accent2 92" xfId="18387"/>
    <cellStyle name="Accent2 93" xfId="18388"/>
    <cellStyle name="Accent2 94" xfId="18389"/>
    <cellStyle name="Accent2 95" xfId="18390"/>
    <cellStyle name="Accent2 96" xfId="18391"/>
    <cellStyle name="Accent2 97" xfId="18392"/>
    <cellStyle name="Accent2 98" xfId="18393"/>
    <cellStyle name="Accent2 99" xfId="18394"/>
    <cellStyle name="Accent3 - 20%" xfId="15216"/>
    <cellStyle name="Accent3 - 20% 2" xfId="15217"/>
    <cellStyle name="Accent3 - 40%" xfId="15218"/>
    <cellStyle name="Accent3 - 40% 2" xfId="15219"/>
    <cellStyle name="Accent3 - 60%" xfId="15220"/>
    <cellStyle name="Accent3 - 60% 2" xfId="15221"/>
    <cellStyle name="Accent3 10" xfId="15222"/>
    <cellStyle name="Accent3 100" xfId="18395"/>
    <cellStyle name="Accent3 101" xfId="18396"/>
    <cellStyle name="Accent3 102" xfId="18397"/>
    <cellStyle name="Accent3 103" xfId="18398"/>
    <cellStyle name="Accent3 104" xfId="18399"/>
    <cellStyle name="Accent3 105" xfId="18400"/>
    <cellStyle name="Accent3 106" xfId="18401"/>
    <cellStyle name="Accent3 107" xfId="18402"/>
    <cellStyle name="Accent3 108" xfId="18403"/>
    <cellStyle name="Accent3 109" xfId="18404"/>
    <cellStyle name="Accent3 11" xfId="15223"/>
    <cellStyle name="Accent3 110" xfId="18405"/>
    <cellStyle name="Accent3 111" xfId="18406"/>
    <cellStyle name="Accent3 112" xfId="18407"/>
    <cellStyle name="Accent3 113" xfId="18408"/>
    <cellStyle name="Accent3 114" xfId="18409"/>
    <cellStyle name="Accent3 115" xfId="18410"/>
    <cellStyle name="Accent3 116" xfId="18411"/>
    <cellStyle name="Accent3 117" xfId="18412"/>
    <cellStyle name="Accent3 118" xfId="18413"/>
    <cellStyle name="Accent3 119" xfId="18414"/>
    <cellStyle name="Accent3 12" xfId="15224"/>
    <cellStyle name="Accent3 120" xfId="18415"/>
    <cellStyle name="Accent3 121" xfId="18416"/>
    <cellStyle name="Accent3 122" xfId="18417"/>
    <cellStyle name="Accent3 123" xfId="18418"/>
    <cellStyle name="Accent3 124" xfId="18419"/>
    <cellStyle name="Accent3 125" xfId="18420"/>
    <cellStyle name="Accent3 126" xfId="18421"/>
    <cellStyle name="Accent3 127" xfId="18422"/>
    <cellStyle name="Accent3 128" xfId="18423"/>
    <cellStyle name="Accent3 129" xfId="18424"/>
    <cellStyle name="Accent3 13" xfId="15225"/>
    <cellStyle name="Accent3 130" xfId="18425"/>
    <cellStyle name="Accent3 131" xfId="18426"/>
    <cellStyle name="Accent3 132" xfId="18427"/>
    <cellStyle name="Accent3 133" xfId="18428"/>
    <cellStyle name="Accent3 134" xfId="18429"/>
    <cellStyle name="Accent3 135" xfId="18430"/>
    <cellStyle name="Accent3 136" xfId="18431"/>
    <cellStyle name="Accent3 137" xfId="18432"/>
    <cellStyle name="Accent3 138" xfId="18433"/>
    <cellStyle name="Accent3 139" xfId="18434"/>
    <cellStyle name="Accent3 14" xfId="15226"/>
    <cellStyle name="Accent3 140" xfId="18435"/>
    <cellStyle name="Accent3 141" xfId="18436"/>
    <cellStyle name="Accent3 142" xfId="18437"/>
    <cellStyle name="Accent3 143" xfId="18438"/>
    <cellStyle name="Accent3 144" xfId="18439"/>
    <cellStyle name="Accent3 145" xfId="18440"/>
    <cellStyle name="Accent3 146" xfId="18441"/>
    <cellStyle name="Accent3 147" xfId="18442"/>
    <cellStyle name="Accent3 15" xfId="15227"/>
    <cellStyle name="Accent3 16" xfId="15228"/>
    <cellStyle name="Accent3 17" xfId="15229"/>
    <cellStyle name="Accent3 18" xfId="15230"/>
    <cellStyle name="Accent3 19" xfId="15231"/>
    <cellStyle name="Accent3 2" xfId="15232"/>
    <cellStyle name="Accent3 2 2" xfId="15233"/>
    <cellStyle name="Accent3 2 3" xfId="15234"/>
    <cellStyle name="Accent3 2 4" xfId="15235"/>
    <cellStyle name="Accent3 20" xfId="15236"/>
    <cellStyle name="Accent3 21" xfId="15237"/>
    <cellStyle name="Accent3 22" xfId="15238"/>
    <cellStyle name="Accent3 23" xfId="15239"/>
    <cellStyle name="Accent3 24" xfId="15240"/>
    <cellStyle name="Accent3 25" xfId="15241"/>
    <cellStyle name="Accent3 26" xfId="15242"/>
    <cellStyle name="Accent3 27" xfId="15243"/>
    <cellStyle name="Accent3 28" xfId="15244"/>
    <cellStyle name="Accent3 29" xfId="15245"/>
    <cellStyle name="Accent3 3" xfId="15246"/>
    <cellStyle name="Accent3 3 2" xfId="15247"/>
    <cellStyle name="Accent3 30" xfId="15248"/>
    <cellStyle name="Accent3 31" xfId="15249"/>
    <cellStyle name="Accent3 32" xfId="15250"/>
    <cellStyle name="Accent3 33" xfId="15251"/>
    <cellStyle name="Accent3 34" xfId="15252"/>
    <cellStyle name="Accent3 35" xfId="15253"/>
    <cellStyle name="Accent3 36" xfId="15254"/>
    <cellStyle name="Accent3 37" xfId="15255"/>
    <cellStyle name="Accent3 38" xfId="15256"/>
    <cellStyle name="Accent3 39" xfId="15257"/>
    <cellStyle name="Accent3 4" xfId="15258"/>
    <cellStyle name="Accent3 4 2" xfId="15259"/>
    <cellStyle name="Accent3 40" xfId="15260"/>
    <cellStyle name="Accent3 41" xfId="15261"/>
    <cellStyle name="Accent3 42" xfId="15262"/>
    <cellStyle name="Accent3 43" xfId="15263"/>
    <cellStyle name="Accent3 44" xfId="15264"/>
    <cellStyle name="Accent3 45" xfId="15265"/>
    <cellStyle name="Accent3 46" xfId="18443"/>
    <cellStyle name="Accent3 47" xfId="18444"/>
    <cellStyle name="Accent3 48" xfId="18445"/>
    <cellStyle name="Accent3 49" xfId="18446"/>
    <cellStyle name="Accent3 5" xfId="15266"/>
    <cellStyle name="Accent3 50" xfId="18447"/>
    <cellStyle name="Accent3 51" xfId="18448"/>
    <cellStyle name="Accent3 52" xfId="18449"/>
    <cellStyle name="Accent3 53" xfId="18450"/>
    <cellStyle name="Accent3 54" xfId="18451"/>
    <cellStyle name="Accent3 55" xfId="18452"/>
    <cellStyle name="Accent3 56" xfId="18453"/>
    <cellStyle name="Accent3 57" xfId="18454"/>
    <cellStyle name="Accent3 58" xfId="18455"/>
    <cellStyle name="Accent3 59" xfId="18456"/>
    <cellStyle name="Accent3 6" xfId="15267"/>
    <cellStyle name="Accent3 60" xfId="18457"/>
    <cellStyle name="Accent3 61" xfId="18458"/>
    <cellStyle name="Accent3 62" xfId="18459"/>
    <cellStyle name="Accent3 63" xfId="18460"/>
    <cellStyle name="Accent3 64" xfId="18461"/>
    <cellStyle name="Accent3 65" xfId="18462"/>
    <cellStyle name="Accent3 66" xfId="18463"/>
    <cellStyle name="Accent3 67" xfId="18464"/>
    <cellStyle name="Accent3 68" xfId="18465"/>
    <cellStyle name="Accent3 69" xfId="18466"/>
    <cellStyle name="Accent3 7" xfId="15268"/>
    <cellStyle name="Accent3 70" xfId="18467"/>
    <cellStyle name="Accent3 71" xfId="18468"/>
    <cellStyle name="Accent3 72" xfId="18469"/>
    <cellStyle name="Accent3 73" xfId="18470"/>
    <cellStyle name="Accent3 74" xfId="18471"/>
    <cellStyle name="Accent3 75" xfId="18472"/>
    <cellStyle name="Accent3 76" xfId="18473"/>
    <cellStyle name="Accent3 77" xfId="18474"/>
    <cellStyle name="Accent3 78" xfId="18475"/>
    <cellStyle name="Accent3 79" xfId="18476"/>
    <cellStyle name="Accent3 8" xfId="15269"/>
    <cellStyle name="Accent3 80" xfId="18477"/>
    <cellStyle name="Accent3 81" xfId="18478"/>
    <cellStyle name="Accent3 82" xfId="18479"/>
    <cellStyle name="Accent3 83" xfId="18480"/>
    <cellStyle name="Accent3 84" xfId="18481"/>
    <cellStyle name="Accent3 85" xfId="18482"/>
    <cellStyle name="Accent3 86" xfId="18483"/>
    <cellStyle name="Accent3 87" xfId="18484"/>
    <cellStyle name="Accent3 88" xfId="18485"/>
    <cellStyle name="Accent3 89" xfId="18486"/>
    <cellStyle name="Accent3 9" xfId="15270"/>
    <cellStyle name="Accent3 90" xfId="18487"/>
    <cellStyle name="Accent3 91" xfId="18488"/>
    <cellStyle name="Accent3 92" xfId="18489"/>
    <cellStyle name="Accent3 93" xfId="18490"/>
    <cellStyle name="Accent3 94" xfId="18491"/>
    <cellStyle name="Accent3 95" xfId="18492"/>
    <cellStyle name="Accent3 96" xfId="18493"/>
    <cellStyle name="Accent3 97" xfId="18494"/>
    <cellStyle name="Accent3 98" xfId="18495"/>
    <cellStyle name="Accent3 99" xfId="18496"/>
    <cellStyle name="Accent4 - 20%" xfId="15271"/>
    <cellStyle name="Accent4 - 20% 2" xfId="15272"/>
    <cellStyle name="Accent4 - 40%" xfId="15273"/>
    <cellStyle name="Accent4 - 40% 2" xfId="15274"/>
    <cellStyle name="Accent4 - 60%" xfId="15275"/>
    <cellStyle name="Accent4 - 60% 2" xfId="15276"/>
    <cellStyle name="Accent4 10" xfId="15277"/>
    <cellStyle name="Accent4 100" xfId="18497"/>
    <cellStyle name="Accent4 101" xfId="18498"/>
    <cellStyle name="Accent4 102" xfId="18499"/>
    <cellStyle name="Accent4 103" xfId="18500"/>
    <cellStyle name="Accent4 104" xfId="18501"/>
    <cellStyle name="Accent4 105" xfId="18502"/>
    <cellStyle name="Accent4 106" xfId="18503"/>
    <cellStyle name="Accent4 107" xfId="18504"/>
    <cellStyle name="Accent4 108" xfId="18505"/>
    <cellStyle name="Accent4 109" xfId="18506"/>
    <cellStyle name="Accent4 11" xfId="15278"/>
    <cellStyle name="Accent4 110" xfId="18507"/>
    <cellStyle name="Accent4 111" xfId="18508"/>
    <cellStyle name="Accent4 112" xfId="18509"/>
    <cellStyle name="Accent4 113" xfId="18510"/>
    <cellStyle name="Accent4 114" xfId="18511"/>
    <cellStyle name="Accent4 115" xfId="18512"/>
    <cellStyle name="Accent4 116" xfId="18513"/>
    <cellStyle name="Accent4 117" xfId="18514"/>
    <cellStyle name="Accent4 118" xfId="18515"/>
    <cellStyle name="Accent4 119" xfId="18516"/>
    <cellStyle name="Accent4 12" xfId="15279"/>
    <cellStyle name="Accent4 120" xfId="18517"/>
    <cellStyle name="Accent4 121" xfId="18518"/>
    <cellStyle name="Accent4 122" xfId="18519"/>
    <cellStyle name="Accent4 123" xfId="18520"/>
    <cellStyle name="Accent4 124" xfId="18521"/>
    <cellStyle name="Accent4 125" xfId="18522"/>
    <cellStyle name="Accent4 126" xfId="18523"/>
    <cellStyle name="Accent4 127" xfId="18524"/>
    <cellStyle name="Accent4 128" xfId="18525"/>
    <cellStyle name="Accent4 129" xfId="18526"/>
    <cellStyle name="Accent4 13" xfId="15280"/>
    <cellStyle name="Accent4 130" xfId="18527"/>
    <cellStyle name="Accent4 131" xfId="18528"/>
    <cellStyle name="Accent4 132" xfId="18529"/>
    <cellStyle name="Accent4 133" xfId="18530"/>
    <cellStyle name="Accent4 134" xfId="18531"/>
    <cellStyle name="Accent4 135" xfId="18532"/>
    <cellStyle name="Accent4 136" xfId="18533"/>
    <cellStyle name="Accent4 137" xfId="18534"/>
    <cellStyle name="Accent4 138" xfId="18535"/>
    <cellStyle name="Accent4 139" xfId="18536"/>
    <cellStyle name="Accent4 14" xfId="15281"/>
    <cellStyle name="Accent4 140" xfId="18537"/>
    <cellStyle name="Accent4 141" xfId="18538"/>
    <cellStyle name="Accent4 142" xfId="18539"/>
    <cellStyle name="Accent4 143" xfId="18540"/>
    <cellStyle name="Accent4 144" xfId="18541"/>
    <cellStyle name="Accent4 145" xfId="18542"/>
    <cellStyle name="Accent4 146" xfId="18543"/>
    <cellStyle name="Accent4 147" xfId="18544"/>
    <cellStyle name="Accent4 15" xfId="15282"/>
    <cellStyle name="Accent4 16" xfId="15283"/>
    <cellStyle name="Accent4 17" xfId="15284"/>
    <cellStyle name="Accent4 18" xfId="15285"/>
    <cellStyle name="Accent4 19" xfId="15286"/>
    <cellStyle name="Accent4 2" xfId="15287"/>
    <cellStyle name="Accent4 2 2" xfId="15288"/>
    <cellStyle name="Accent4 2 3" xfId="15289"/>
    <cellStyle name="Accent4 2 4" xfId="15290"/>
    <cellStyle name="Accent4 20" xfId="15291"/>
    <cellStyle name="Accent4 21" xfId="15292"/>
    <cellStyle name="Accent4 22" xfId="15293"/>
    <cellStyle name="Accent4 23" xfId="15294"/>
    <cellStyle name="Accent4 24" xfId="15295"/>
    <cellStyle name="Accent4 25" xfId="15296"/>
    <cellStyle name="Accent4 26" xfId="15297"/>
    <cellStyle name="Accent4 27" xfId="15298"/>
    <cellStyle name="Accent4 28" xfId="15299"/>
    <cellStyle name="Accent4 29" xfId="15300"/>
    <cellStyle name="Accent4 3" xfId="15301"/>
    <cellStyle name="Accent4 3 2" xfId="15302"/>
    <cellStyle name="Accent4 30" xfId="15303"/>
    <cellStyle name="Accent4 31" xfId="15304"/>
    <cellStyle name="Accent4 32" xfId="15305"/>
    <cellStyle name="Accent4 33" xfId="15306"/>
    <cellStyle name="Accent4 34" xfId="15307"/>
    <cellStyle name="Accent4 35" xfId="15308"/>
    <cellStyle name="Accent4 36" xfId="15309"/>
    <cellStyle name="Accent4 37" xfId="15310"/>
    <cellStyle name="Accent4 38" xfId="15311"/>
    <cellStyle name="Accent4 39" xfId="15312"/>
    <cellStyle name="Accent4 4" xfId="15313"/>
    <cellStyle name="Accent4 4 2" xfId="15314"/>
    <cellStyle name="Accent4 40" xfId="15315"/>
    <cellStyle name="Accent4 41" xfId="15316"/>
    <cellStyle name="Accent4 42" xfId="15317"/>
    <cellStyle name="Accent4 43" xfId="15318"/>
    <cellStyle name="Accent4 44" xfId="15319"/>
    <cellStyle name="Accent4 45" xfId="15320"/>
    <cellStyle name="Accent4 46" xfId="18545"/>
    <cellStyle name="Accent4 47" xfId="18546"/>
    <cellStyle name="Accent4 48" xfId="18547"/>
    <cellStyle name="Accent4 49" xfId="18548"/>
    <cellStyle name="Accent4 5" xfId="15321"/>
    <cellStyle name="Accent4 50" xfId="18549"/>
    <cellStyle name="Accent4 51" xfId="18550"/>
    <cellStyle name="Accent4 52" xfId="18551"/>
    <cellStyle name="Accent4 53" xfId="18552"/>
    <cellStyle name="Accent4 54" xfId="18553"/>
    <cellStyle name="Accent4 55" xfId="18554"/>
    <cellStyle name="Accent4 56" xfId="18555"/>
    <cellStyle name="Accent4 57" xfId="18556"/>
    <cellStyle name="Accent4 58" xfId="18557"/>
    <cellStyle name="Accent4 59" xfId="18558"/>
    <cellStyle name="Accent4 6" xfId="15322"/>
    <cellStyle name="Accent4 60" xfId="18559"/>
    <cellStyle name="Accent4 61" xfId="18560"/>
    <cellStyle name="Accent4 62" xfId="18561"/>
    <cellStyle name="Accent4 63" xfId="18562"/>
    <cellStyle name="Accent4 64" xfId="18563"/>
    <cellStyle name="Accent4 65" xfId="18564"/>
    <cellStyle name="Accent4 66" xfId="18565"/>
    <cellStyle name="Accent4 67" xfId="18566"/>
    <cellStyle name="Accent4 68" xfId="18567"/>
    <cellStyle name="Accent4 69" xfId="18568"/>
    <cellStyle name="Accent4 7" xfId="15323"/>
    <cellStyle name="Accent4 70" xfId="18569"/>
    <cellStyle name="Accent4 71" xfId="18570"/>
    <cellStyle name="Accent4 72" xfId="18571"/>
    <cellStyle name="Accent4 73" xfId="18572"/>
    <cellStyle name="Accent4 74" xfId="18573"/>
    <cellStyle name="Accent4 75" xfId="18574"/>
    <cellStyle name="Accent4 76" xfId="18575"/>
    <cellStyle name="Accent4 77" xfId="18576"/>
    <cellStyle name="Accent4 78" xfId="18577"/>
    <cellStyle name="Accent4 79" xfId="18578"/>
    <cellStyle name="Accent4 8" xfId="15324"/>
    <cellStyle name="Accent4 80" xfId="18579"/>
    <cellStyle name="Accent4 81" xfId="18580"/>
    <cellStyle name="Accent4 82" xfId="18581"/>
    <cellStyle name="Accent4 83" xfId="18582"/>
    <cellStyle name="Accent4 84" xfId="18583"/>
    <cellStyle name="Accent4 85" xfId="18584"/>
    <cellStyle name="Accent4 86" xfId="18585"/>
    <cellStyle name="Accent4 87" xfId="18586"/>
    <cellStyle name="Accent4 88" xfId="18587"/>
    <cellStyle name="Accent4 89" xfId="18588"/>
    <cellStyle name="Accent4 9" xfId="15325"/>
    <cellStyle name="Accent4 90" xfId="18589"/>
    <cellStyle name="Accent4 91" xfId="18590"/>
    <cellStyle name="Accent4 92" xfId="18591"/>
    <cellStyle name="Accent4 93" xfId="18592"/>
    <cellStyle name="Accent4 94" xfId="18593"/>
    <cellStyle name="Accent4 95" xfId="18594"/>
    <cellStyle name="Accent4 96" xfId="18595"/>
    <cellStyle name="Accent4 97" xfId="18596"/>
    <cellStyle name="Accent4 98" xfId="18597"/>
    <cellStyle name="Accent4 99" xfId="18598"/>
    <cellStyle name="Accent5 - 20%" xfId="15326"/>
    <cellStyle name="Accent5 - 20% 2" xfId="15327"/>
    <cellStyle name="Accent5 - 40%" xfId="15328"/>
    <cellStyle name="Accent5 - 40% 2" xfId="15329"/>
    <cellStyle name="Accent5 - 60%" xfId="15330"/>
    <cellStyle name="Accent5 - 60% 2" xfId="15331"/>
    <cellStyle name="Accent5 10" xfId="15332"/>
    <cellStyle name="Accent5 100" xfId="18599"/>
    <cellStyle name="Accent5 101" xfId="18600"/>
    <cellStyle name="Accent5 102" xfId="18601"/>
    <cellStyle name="Accent5 103" xfId="18602"/>
    <cellStyle name="Accent5 104" xfId="18603"/>
    <cellStyle name="Accent5 105" xfId="18604"/>
    <cellStyle name="Accent5 106" xfId="18605"/>
    <cellStyle name="Accent5 107" xfId="18606"/>
    <cellStyle name="Accent5 108" xfId="18607"/>
    <cellStyle name="Accent5 109" xfId="18608"/>
    <cellStyle name="Accent5 11" xfId="15333"/>
    <cellStyle name="Accent5 110" xfId="18609"/>
    <cellStyle name="Accent5 111" xfId="18610"/>
    <cellStyle name="Accent5 112" xfId="18611"/>
    <cellStyle name="Accent5 113" xfId="18612"/>
    <cellStyle name="Accent5 114" xfId="18613"/>
    <cellStyle name="Accent5 115" xfId="18614"/>
    <cellStyle name="Accent5 116" xfId="18615"/>
    <cellStyle name="Accent5 117" xfId="18616"/>
    <cellStyle name="Accent5 118" xfId="18617"/>
    <cellStyle name="Accent5 119" xfId="18618"/>
    <cellStyle name="Accent5 12" xfId="15334"/>
    <cellStyle name="Accent5 120" xfId="18619"/>
    <cellStyle name="Accent5 121" xfId="18620"/>
    <cellStyle name="Accent5 122" xfId="18621"/>
    <cellStyle name="Accent5 123" xfId="18622"/>
    <cellStyle name="Accent5 124" xfId="18623"/>
    <cellStyle name="Accent5 125" xfId="18624"/>
    <cellStyle name="Accent5 126" xfId="18625"/>
    <cellStyle name="Accent5 127" xfId="18626"/>
    <cellStyle name="Accent5 128" xfId="18627"/>
    <cellStyle name="Accent5 129" xfId="18628"/>
    <cellStyle name="Accent5 13" xfId="15335"/>
    <cellStyle name="Accent5 130" xfId="18629"/>
    <cellStyle name="Accent5 131" xfId="18630"/>
    <cellStyle name="Accent5 132" xfId="18631"/>
    <cellStyle name="Accent5 133" xfId="18632"/>
    <cellStyle name="Accent5 134" xfId="18633"/>
    <cellStyle name="Accent5 135" xfId="18634"/>
    <cellStyle name="Accent5 136" xfId="18635"/>
    <cellStyle name="Accent5 137" xfId="18636"/>
    <cellStyle name="Accent5 138" xfId="18637"/>
    <cellStyle name="Accent5 139" xfId="18638"/>
    <cellStyle name="Accent5 14" xfId="15336"/>
    <cellStyle name="Accent5 140" xfId="18639"/>
    <cellStyle name="Accent5 141" xfId="18640"/>
    <cellStyle name="Accent5 142" xfId="18641"/>
    <cellStyle name="Accent5 143" xfId="18642"/>
    <cellStyle name="Accent5 144" xfId="18643"/>
    <cellStyle name="Accent5 145" xfId="18644"/>
    <cellStyle name="Accent5 146" xfId="18645"/>
    <cellStyle name="Accent5 147" xfId="18646"/>
    <cellStyle name="Accent5 15" xfId="15337"/>
    <cellStyle name="Accent5 16" xfId="15338"/>
    <cellStyle name="Accent5 17" xfId="15339"/>
    <cellStyle name="Accent5 18" xfId="15340"/>
    <cellStyle name="Accent5 19" xfId="15341"/>
    <cellStyle name="Accent5 2" xfId="15342"/>
    <cellStyle name="Accent5 2 2" xfId="15343"/>
    <cellStyle name="Accent5 2 3" xfId="15344"/>
    <cellStyle name="Accent5 2 4" xfId="15345"/>
    <cellStyle name="Accent5 20" xfId="15346"/>
    <cellStyle name="Accent5 21" xfId="15347"/>
    <cellStyle name="Accent5 22" xfId="15348"/>
    <cellStyle name="Accent5 23" xfId="15349"/>
    <cellStyle name="Accent5 24" xfId="15350"/>
    <cellStyle name="Accent5 25" xfId="15351"/>
    <cellStyle name="Accent5 26" xfId="15352"/>
    <cellStyle name="Accent5 27" xfId="15353"/>
    <cellStyle name="Accent5 28" xfId="15354"/>
    <cellStyle name="Accent5 29" xfId="15355"/>
    <cellStyle name="Accent5 3" xfId="15356"/>
    <cellStyle name="Accent5 3 2" xfId="15357"/>
    <cellStyle name="Accent5 30" xfId="15358"/>
    <cellStyle name="Accent5 31" xfId="15359"/>
    <cellStyle name="Accent5 32" xfId="15360"/>
    <cellStyle name="Accent5 33" xfId="15361"/>
    <cellStyle name="Accent5 34" xfId="15362"/>
    <cellStyle name="Accent5 35" xfId="15363"/>
    <cellStyle name="Accent5 36" xfId="15364"/>
    <cellStyle name="Accent5 37" xfId="15365"/>
    <cellStyle name="Accent5 38" xfId="15366"/>
    <cellStyle name="Accent5 39" xfId="15367"/>
    <cellStyle name="Accent5 4" xfId="15368"/>
    <cellStyle name="Accent5 4 2" xfId="15369"/>
    <cellStyle name="Accent5 40" xfId="15370"/>
    <cellStyle name="Accent5 41" xfId="15371"/>
    <cellStyle name="Accent5 42" xfId="15372"/>
    <cellStyle name="Accent5 43" xfId="15373"/>
    <cellStyle name="Accent5 44" xfId="15374"/>
    <cellStyle name="Accent5 45" xfId="15375"/>
    <cellStyle name="Accent5 46" xfId="18647"/>
    <cellStyle name="Accent5 47" xfId="18648"/>
    <cellStyle name="Accent5 48" xfId="18649"/>
    <cellStyle name="Accent5 49" xfId="18650"/>
    <cellStyle name="Accent5 5" xfId="15376"/>
    <cellStyle name="Accent5 50" xfId="18651"/>
    <cellStyle name="Accent5 51" xfId="18652"/>
    <cellStyle name="Accent5 52" xfId="18653"/>
    <cellStyle name="Accent5 53" xfId="18654"/>
    <cellStyle name="Accent5 54" xfId="18655"/>
    <cellStyle name="Accent5 55" xfId="18656"/>
    <cellStyle name="Accent5 56" xfId="18657"/>
    <cellStyle name="Accent5 57" xfId="18658"/>
    <cellStyle name="Accent5 58" xfId="18659"/>
    <cellStyle name="Accent5 59" xfId="18660"/>
    <cellStyle name="Accent5 6" xfId="15377"/>
    <cellStyle name="Accent5 60" xfId="18661"/>
    <cellStyle name="Accent5 61" xfId="18662"/>
    <cellStyle name="Accent5 62" xfId="18663"/>
    <cellStyle name="Accent5 63" xfId="18664"/>
    <cellStyle name="Accent5 64" xfId="18665"/>
    <cellStyle name="Accent5 65" xfId="18666"/>
    <cellStyle name="Accent5 66" xfId="18667"/>
    <cellStyle name="Accent5 67" xfId="18668"/>
    <cellStyle name="Accent5 68" xfId="18669"/>
    <cellStyle name="Accent5 69" xfId="18670"/>
    <cellStyle name="Accent5 7" xfId="15378"/>
    <cellStyle name="Accent5 70" xfId="18671"/>
    <cellStyle name="Accent5 71" xfId="18672"/>
    <cellStyle name="Accent5 72" xfId="18673"/>
    <cellStyle name="Accent5 73" xfId="18674"/>
    <cellStyle name="Accent5 74" xfId="18675"/>
    <cellStyle name="Accent5 75" xfId="18676"/>
    <cellStyle name="Accent5 76" xfId="18677"/>
    <cellStyle name="Accent5 77" xfId="18678"/>
    <cellStyle name="Accent5 78" xfId="18679"/>
    <cellStyle name="Accent5 79" xfId="18680"/>
    <cellStyle name="Accent5 8" xfId="15379"/>
    <cellStyle name="Accent5 80" xfId="18681"/>
    <cellStyle name="Accent5 81" xfId="18682"/>
    <cellStyle name="Accent5 82" xfId="18683"/>
    <cellStyle name="Accent5 83" xfId="18684"/>
    <cellStyle name="Accent5 84" xfId="18685"/>
    <cellStyle name="Accent5 85" xfId="18686"/>
    <cellStyle name="Accent5 86" xfId="18687"/>
    <cellStyle name="Accent5 87" xfId="18688"/>
    <cellStyle name="Accent5 88" xfId="18689"/>
    <cellStyle name="Accent5 89" xfId="18690"/>
    <cellStyle name="Accent5 9" xfId="15380"/>
    <cellStyle name="Accent5 90" xfId="18691"/>
    <cellStyle name="Accent5 91" xfId="18692"/>
    <cellStyle name="Accent5 92" xfId="18693"/>
    <cellStyle name="Accent5 93" xfId="18694"/>
    <cellStyle name="Accent5 94" xfId="18695"/>
    <cellStyle name="Accent5 95" xfId="18696"/>
    <cellStyle name="Accent5 96" xfId="18697"/>
    <cellStyle name="Accent5 97" xfId="18698"/>
    <cellStyle name="Accent5 98" xfId="18699"/>
    <cellStyle name="Accent5 99" xfId="18700"/>
    <cellStyle name="Accent6 - 20%" xfId="15381"/>
    <cellStyle name="Accent6 - 20% 2" xfId="15382"/>
    <cellStyle name="Accent6 - 40%" xfId="15383"/>
    <cellStyle name="Accent6 - 40% 2" xfId="15384"/>
    <cellStyle name="Accent6 - 60%" xfId="15385"/>
    <cellStyle name="Accent6 - 60% 2" xfId="15386"/>
    <cellStyle name="Accent6 10" xfId="15387"/>
    <cellStyle name="Accent6 100" xfId="18701"/>
    <cellStyle name="Accent6 101" xfId="18702"/>
    <cellStyle name="Accent6 102" xfId="18703"/>
    <cellStyle name="Accent6 103" xfId="18704"/>
    <cellStyle name="Accent6 104" xfId="18705"/>
    <cellStyle name="Accent6 105" xfId="18706"/>
    <cellStyle name="Accent6 106" xfId="18707"/>
    <cellStyle name="Accent6 107" xfId="18708"/>
    <cellStyle name="Accent6 108" xfId="18709"/>
    <cellStyle name="Accent6 109" xfId="18710"/>
    <cellStyle name="Accent6 11" xfId="15388"/>
    <cellStyle name="Accent6 110" xfId="18711"/>
    <cellStyle name="Accent6 111" xfId="18712"/>
    <cellStyle name="Accent6 112" xfId="18713"/>
    <cellStyle name="Accent6 113" xfId="18714"/>
    <cellStyle name="Accent6 114" xfId="18715"/>
    <cellStyle name="Accent6 115" xfId="18716"/>
    <cellStyle name="Accent6 116" xfId="18717"/>
    <cellStyle name="Accent6 117" xfId="18718"/>
    <cellStyle name="Accent6 118" xfId="18719"/>
    <cellStyle name="Accent6 119" xfId="18720"/>
    <cellStyle name="Accent6 12" xfId="15389"/>
    <cellStyle name="Accent6 120" xfId="18721"/>
    <cellStyle name="Accent6 121" xfId="18722"/>
    <cellStyle name="Accent6 122" xfId="18723"/>
    <cellStyle name="Accent6 123" xfId="18724"/>
    <cellStyle name="Accent6 124" xfId="18725"/>
    <cellStyle name="Accent6 125" xfId="18726"/>
    <cellStyle name="Accent6 126" xfId="18727"/>
    <cellStyle name="Accent6 127" xfId="18728"/>
    <cellStyle name="Accent6 128" xfId="18729"/>
    <cellStyle name="Accent6 129" xfId="18730"/>
    <cellStyle name="Accent6 13" xfId="15390"/>
    <cellStyle name="Accent6 130" xfId="18731"/>
    <cellStyle name="Accent6 131" xfId="18732"/>
    <cellStyle name="Accent6 132" xfId="18733"/>
    <cellStyle name="Accent6 133" xfId="18734"/>
    <cellStyle name="Accent6 134" xfId="18735"/>
    <cellStyle name="Accent6 135" xfId="18736"/>
    <cellStyle name="Accent6 136" xfId="18737"/>
    <cellStyle name="Accent6 137" xfId="18738"/>
    <cellStyle name="Accent6 138" xfId="18739"/>
    <cellStyle name="Accent6 139" xfId="18740"/>
    <cellStyle name="Accent6 14" xfId="15391"/>
    <cellStyle name="Accent6 140" xfId="18741"/>
    <cellStyle name="Accent6 141" xfId="18742"/>
    <cellStyle name="Accent6 142" xfId="18743"/>
    <cellStyle name="Accent6 143" xfId="18744"/>
    <cellStyle name="Accent6 144" xfId="18745"/>
    <cellStyle name="Accent6 145" xfId="18746"/>
    <cellStyle name="Accent6 146" xfId="18747"/>
    <cellStyle name="Accent6 147" xfId="18748"/>
    <cellStyle name="Accent6 15" xfId="15392"/>
    <cellStyle name="Accent6 16" xfId="15393"/>
    <cellStyle name="Accent6 17" xfId="15394"/>
    <cellStyle name="Accent6 18" xfId="15395"/>
    <cellStyle name="Accent6 19" xfId="15396"/>
    <cellStyle name="Accent6 2" xfId="15397"/>
    <cellStyle name="Accent6 2 2" xfId="15398"/>
    <cellStyle name="Accent6 2 3" xfId="15399"/>
    <cellStyle name="Accent6 2 4" xfId="15400"/>
    <cellStyle name="Accent6 20" xfId="15401"/>
    <cellStyle name="Accent6 21" xfId="15402"/>
    <cellStyle name="Accent6 22" xfId="15403"/>
    <cellStyle name="Accent6 23" xfId="15404"/>
    <cellStyle name="Accent6 24" xfId="15405"/>
    <cellStyle name="Accent6 25" xfId="15406"/>
    <cellStyle name="Accent6 26" xfId="15407"/>
    <cellStyle name="Accent6 27" xfId="15408"/>
    <cellStyle name="Accent6 28" xfId="15409"/>
    <cellStyle name="Accent6 29" xfId="15410"/>
    <cellStyle name="Accent6 3" xfId="15411"/>
    <cellStyle name="Accent6 3 2" xfId="15412"/>
    <cellStyle name="Accent6 30" xfId="15413"/>
    <cellStyle name="Accent6 31" xfId="15414"/>
    <cellStyle name="Accent6 32" xfId="15415"/>
    <cellStyle name="Accent6 33" xfId="15416"/>
    <cellStyle name="Accent6 34" xfId="15417"/>
    <cellStyle name="Accent6 35" xfId="15418"/>
    <cellStyle name="Accent6 36" xfId="15419"/>
    <cellStyle name="Accent6 37" xfId="15420"/>
    <cellStyle name="Accent6 38" xfId="15421"/>
    <cellStyle name="Accent6 39" xfId="15422"/>
    <cellStyle name="Accent6 4" xfId="15423"/>
    <cellStyle name="Accent6 4 2" xfId="15424"/>
    <cellStyle name="Accent6 40" xfId="15425"/>
    <cellStyle name="Accent6 41" xfId="15426"/>
    <cellStyle name="Accent6 42" xfId="15427"/>
    <cellStyle name="Accent6 43" xfId="15428"/>
    <cellStyle name="Accent6 44" xfId="15429"/>
    <cellStyle name="Accent6 45" xfId="15430"/>
    <cellStyle name="Accent6 46" xfId="18749"/>
    <cellStyle name="Accent6 47" xfId="18750"/>
    <cellStyle name="Accent6 48" xfId="18751"/>
    <cellStyle name="Accent6 49" xfId="18752"/>
    <cellStyle name="Accent6 5" xfId="15431"/>
    <cellStyle name="Accent6 50" xfId="18753"/>
    <cellStyle name="Accent6 51" xfId="18754"/>
    <cellStyle name="Accent6 52" xfId="18755"/>
    <cellStyle name="Accent6 53" xfId="18756"/>
    <cellStyle name="Accent6 54" xfId="18757"/>
    <cellStyle name="Accent6 55" xfId="18758"/>
    <cellStyle name="Accent6 56" xfId="18759"/>
    <cellStyle name="Accent6 57" xfId="18760"/>
    <cellStyle name="Accent6 58" xfId="18761"/>
    <cellStyle name="Accent6 59" xfId="18762"/>
    <cellStyle name="Accent6 6" xfId="15432"/>
    <cellStyle name="Accent6 60" xfId="18763"/>
    <cellStyle name="Accent6 61" xfId="18764"/>
    <cellStyle name="Accent6 62" xfId="18765"/>
    <cellStyle name="Accent6 63" xfId="18766"/>
    <cellStyle name="Accent6 64" xfId="18767"/>
    <cellStyle name="Accent6 65" xfId="18768"/>
    <cellStyle name="Accent6 66" xfId="18769"/>
    <cellStyle name="Accent6 67" xfId="18770"/>
    <cellStyle name="Accent6 68" xfId="18771"/>
    <cellStyle name="Accent6 69" xfId="18772"/>
    <cellStyle name="Accent6 7" xfId="15433"/>
    <cellStyle name="Accent6 70" xfId="18773"/>
    <cellStyle name="Accent6 71" xfId="18774"/>
    <cellStyle name="Accent6 72" xfId="18775"/>
    <cellStyle name="Accent6 73" xfId="18776"/>
    <cellStyle name="Accent6 74" xfId="18777"/>
    <cellStyle name="Accent6 75" xfId="18778"/>
    <cellStyle name="Accent6 76" xfId="18779"/>
    <cellStyle name="Accent6 77" xfId="18780"/>
    <cellStyle name="Accent6 78" xfId="18781"/>
    <cellStyle name="Accent6 79" xfId="18782"/>
    <cellStyle name="Accent6 8" xfId="15434"/>
    <cellStyle name="Accent6 80" xfId="18783"/>
    <cellStyle name="Accent6 81" xfId="18784"/>
    <cellStyle name="Accent6 82" xfId="18785"/>
    <cellStyle name="Accent6 83" xfId="18786"/>
    <cellStyle name="Accent6 84" xfId="18787"/>
    <cellStyle name="Accent6 85" xfId="18788"/>
    <cellStyle name="Accent6 86" xfId="18789"/>
    <cellStyle name="Accent6 87" xfId="18790"/>
    <cellStyle name="Accent6 88" xfId="18791"/>
    <cellStyle name="Accent6 89" xfId="18792"/>
    <cellStyle name="Accent6 9" xfId="15435"/>
    <cellStyle name="Accent6 90" xfId="18793"/>
    <cellStyle name="Accent6 91" xfId="18794"/>
    <cellStyle name="Accent6 92" xfId="18795"/>
    <cellStyle name="Accent6 93" xfId="18796"/>
    <cellStyle name="Accent6 94" xfId="18797"/>
    <cellStyle name="Accent6 95" xfId="18798"/>
    <cellStyle name="Accent6 96" xfId="18799"/>
    <cellStyle name="Accent6 97" xfId="18800"/>
    <cellStyle name="Accent6 98" xfId="18801"/>
    <cellStyle name="Accent6 99" xfId="18802"/>
    <cellStyle name="Activos" xfId="15436"/>
    <cellStyle name="Activos 2" xfId="15437"/>
    <cellStyle name="Activos 3" xfId="15438"/>
    <cellStyle name="adj_share" xfId="15439"/>
    <cellStyle name="Adjustable" xfId="15440"/>
    <cellStyle name="adjusted" xfId="15441"/>
    <cellStyle name="Adjusted &quot; X&quot;" xfId="15442"/>
    <cellStyle name="Adjusted &quot; X&quot; 2" xfId="15443"/>
    <cellStyle name="Adjusted &quot; X&quot; 3" xfId="15444"/>
    <cellStyle name="adjusted 10" xfId="15445"/>
    <cellStyle name="adjusted 11" xfId="15446"/>
    <cellStyle name="adjusted 12" xfId="15447"/>
    <cellStyle name="adjusted 13" xfId="15448"/>
    <cellStyle name="adjusted 14" xfId="15449"/>
    <cellStyle name="adjusted 15" xfId="15450"/>
    <cellStyle name="adjusted 16" xfId="15451"/>
    <cellStyle name="adjusted 17" xfId="15452"/>
    <cellStyle name="adjusted 18" xfId="15453"/>
    <cellStyle name="adjusted 2" xfId="15454"/>
    <cellStyle name="adjusted 3" xfId="15455"/>
    <cellStyle name="adjusted 4" xfId="15456"/>
    <cellStyle name="adjusted 5" xfId="15457"/>
    <cellStyle name="adjusted 6" xfId="15458"/>
    <cellStyle name="adjusted 7" xfId="15459"/>
    <cellStyle name="adjusted 8" xfId="15460"/>
    <cellStyle name="adjusted 9" xfId="15461"/>
    <cellStyle name="adjusted__P09 - Key Drivers KBE" xfId="15462"/>
    <cellStyle name="Afjusted" xfId="15463"/>
    <cellStyle name="Afjusted 2" xfId="15464"/>
    <cellStyle name="Akzent1" xfId="15465"/>
    <cellStyle name="Akzent1 2" xfId="15466"/>
    <cellStyle name="Akzent2" xfId="15467"/>
    <cellStyle name="Akzent2 2" xfId="15468"/>
    <cellStyle name="Akzent3" xfId="15469"/>
    <cellStyle name="Akzent3 2" xfId="15470"/>
    <cellStyle name="Akzent4" xfId="15471"/>
    <cellStyle name="Akzent4 2" xfId="15472"/>
    <cellStyle name="Akzent5" xfId="15473"/>
    <cellStyle name="Akzent5 - 40%" xfId="15474"/>
    <cellStyle name="Akzent5 2" xfId="15475"/>
    <cellStyle name="Akzent5 3" xfId="15476"/>
    <cellStyle name="Akzent5_P&amp;L KFE" xfId="15477"/>
    <cellStyle name="Akzent6" xfId="15478"/>
    <cellStyle name="Akzent6 2" xfId="15479"/>
    <cellStyle name="Älílcíué [0]_laroux" xfId="15480"/>
    <cellStyle name="Älílcíué_laroux" xfId="15481"/>
    <cellStyle name="AmexHead" xfId="15482"/>
    <cellStyle name="Amextext" xfId="15483"/>
    <cellStyle name="Amextext 2" xfId="15484"/>
    <cellStyle name="Annuity Factor" xfId="15485"/>
    <cellStyle name="aPrice" xfId="15486"/>
    <cellStyle name="ARC-RRC" xfId="15487"/>
    <cellStyle name="ARC-RRC 2" xfId="15488"/>
    <cellStyle name="ARC-RRC 4" xfId="15489"/>
    <cellStyle name="ARC-RRC Input" xfId="15490"/>
    <cellStyle name="args.style" xfId="15491"/>
    <cellStyle name="arial12" xfId="15492"/>
    <cellStyle name="arial14" xfId="15493"/>
    <cellStyle name="Array Enter" xfId="15494"/>
    <cellStyle name="Array Enter 2" xfId="15495"/>
    <cellStyle name="Array Enter 2 2" xfId="15496"/>
    <cellStyle name="Array Enter 2 3" xfId="15497"/>
    <cellStyle name="Array Enter 3" xfId="15498"/>
    <cellStyle name="Array Enter 3 2" xfId="15499"/>
    <cellStyle name="Array Enter 4" xfId="15500"/>
    <cellStyle name="Artikelformat" xfId="15501"/>
    <cellStyle name="ASSPRO-REF" xfId="15502"/>
    <cellStyle name="ASSPRO-SEM" xfId="15503"/>
    <cellStyle name="ASSPRO-SYN" xfId="15504"/>
    <cellStyle name="assump" xfId="15505"/>
    <cellStyle name="Ausgabe" xfId="15506"/>
    <cellStyle name="Ausgabe 2" xfId="15507"/>
    <cellStyle name="Ausgabe 3" xfId="15508"/>
    <cellStyle name="Ausgabe 4" xfId="15509"/>
    <cellStyle name="Ausgabe 5" xfId="15510"/>
    <cellStyle name="Austral." xfId="15511"/>
    <cellStyle name="Austral. 2" xfId="15512"/>
    <cellStyle name="AutoFormat" xfId="15513"/>
    <cellStyle name="AutoFormat Options" xfId="15514"/>
    <cellStyle name="AutoFormat_P&amp;L KFE" xfId="15515"/>
    <cellStyle name="Avertissement" xfId="15516"/>
    <cellStyle name="Background" xfId="15517"/>
    <cellStyle name="Bad 10" xfId="15518"/>
    <cellStyle name="Bad 11" xfId="15519"/>
    <cellStyle name="Bad 2" xfId="15520"/>
    <cellStyle name="Bad 2 2" xfId="15521"/>
    <cellStyle name="Bad 2 3" xfId="15522"/>
    <cellStyle name="Bad 2 4" xfId="15523"/>
    <cellStyle name="Bad 3" xfId="15524"/>
    <cellStyle name="Bad 3 2" xfId="15525"/>
    <cellStyle name="Bad 4" xfId="15526"/>
    <cellStyle name="Bad 4 2" xfId="15527"/>
    <cellStyle name="Bad 5" xfId="15528"/>
    <cellStyle name="Bad 6" xfId="15529"/>
    <cellStyle name="Bad 7" xfId="15530"/>
    <cellStyle name="Bad 8" xfId="15531"/>
    <cellStyle name="Bad 9" xfId="15532"/>
    <cellStyle name="baslık" xfId="15533"/>
    <cellStyle name="baslyk" xfId="15534"/>
    <cellStyle name="Berechnung" xfId="15535"/>
    <cellStyle name="Berechnung 2" xfId="15536"/>
    <cellStyle name="Berechnung 3" xfId="15537"/>
    <cellStyle name="Berechnung 4" xfId="15538"/>
    <cellStyle name="Besuchter Hyperlink" xfId="15539"/>
    <cellStyle name="Besuchter Hyperlink 2" xfId="15540"/>
    <cellStyle name="bigred" xfId="15541"/>
    <cellStyle name="Billing" xfId="15542"/>
    <cellStyle name="Billing 3" xfId="15543"/>
    <cellStyle name="Billing 4" xfId="15544"/>
    <cellStyle name="Billing_P&amp;L KFE" xfId="15545"/>
    <cellStyle name="BillingLocal" xfId="15546"/>
    <cellStyle name="Binlik Ayracı_NEWTENTATIVESG Proposalydk" xfId="15547"/>
    <cellStyle name="blank" xfId="15548"/>
    <cellStyle name="blank 2" xfId="15549"/>
    <cellStyle name="blank_P&amp;L KFE" xfId="15550"/>
    <cellStyle name="BlauRot.Zahlen" xfId="15551"/>
    <cellStyle name="BlauRottKOMMA" xfId="15552"/>
    <cellStyle name="blocked" xfId="15553"/>
    <cellStyle name="blocked 2" xfId="15554"/>
    <cellStyle name="blocked 3" xfId="15555"/>
    <cellStyle name="blocked 4" xfId="15556"/>
    <cellStyle name="BMHeading" xfId="15557"/>
    <cellStyle name="Body" xfId="15558"/>
    <cellStyle name="Body 2" xfId="15559"/>
    <cellStyle name="Body 3" xfId="15560"/>
    <cellStyle name="Body_04_Power Brands" xfId="15561"/>
    <cellStyle name="Bold 11" xfId="15562"/>
    <cellStyle name="Bold_8" xfId="15563"/>
    <cellStyle name="bolet" xfId="15564"/>
    <cellStyle name="Border" xfId="15565"/>
    <cellStyle name="Border 2" xfId="15566"/>
    <cellStyle name="Bottom bold border" xfId="15567"/>
    <cellStyle name="Bottom bold border 2" xfId="15568"/>
    <cellStyle name="Box" xfId="15569"/>
    <cellStyle name="Buena" xfId="15570"/>
    <cellStyle name="Bullet" xfId="15571"/>
    <cellStyle name="Cabeçalho 1" xfId="15572"/>
    <cellStyle name="Cabeçalho 2" xfId="15573"/>
    <cellStyle name="Cabeçalho 3" xfId="15574"/>
    <cellStyle name="Cabeçalho 4" xfId="15575"/>
    <cellStyle name="Cabecera 1" xfId="15576"/>
    <cellStyle name="Cabecera 1 2" xfId="15577"/>
    <cellStyle name="Cabecera 1 3" xfId="15578"/>
    <cellStyle name="Cabecera 2" xfId="15579"/>
    <cellStyle name="Cabecera 2 2" xfId="15580"/>
    <cellStyle name="Cabecera 2 3" xfId="15581"/>
    <cellStyle name="Calc Currency (0)" xfId="15582"/>
    <cellStyle name="Calc Currency (0) 2" xfId="15583"/>
    <cellStyle name="Calc Currency (0) 3" xfId="15584"/>
    <cellStyle name="Calc Currency (0)_AR - Templates v1" xfId="15585"/>
    <cellStyle name="Calc Currency (2)" xfId="15586"/>
    <cellStyle name="Calc Currency (2) 2" xfId="15587"/>
    <cellStyle name="Calc Currency (2) 3" xfId="15588"/>
    <cellStyle name="Calc Percent (0)" xfId="15589"/>
    <cellStyle name="Calc Percent (0) 2" xfId="15590"/>
    <cellStyle name="Calc Percent (0) 3" xfId="15591"/>
    <cellStyle name="Calc Percent (1)" xfId="15592"/>
    <cellStyle name="Calc Percent (1) 2" xfId="15593"/>
    <cellStyle name="Calc Percent (1) 3" xfId="15594"/>
    <cellStyle name="Calc Percent (1)_AR - Templates v1" xfId="15595"/>
    <cellStyle name="Calc Percent (2)" xfId="15596"/>
    <cellStyle name="Calc Percent (2) 2" xfId="15597"/>
    <cellStyle name="Calc Percent (2) 3" xfId="15598"/>
    <cellStyle name="Calc Percent (2)_AR - Templates v1" xfId="15599"/>
    <cellStyle name="Calc Units (0)" xfId="15600"/>
    <cellStyle name="Calc Units (0) 2" xfId="15601"/>
    <cellStyle name="Calc Units (0) 3" xfId="15602"/>
    <cellStyle name="Calc Units (0)_AR - Templates v1" xfId="15603"/>
    <cellStyle name="Calc Units (1)" xfId="15604"/>
    <cellStyle name="Calc Units (1) 2" xfId="15605"/>
    <cellStyle name="Calc Units (1) 3" xfId="15606"/>
    <cellStyle name="Calc Units (1)_AR - Templates v1" xfId="15607"/>
    <cellStyle name="Calc Units (2)" xfId="15608"/>
    <cellStyle name="Calc Units (2) 2" xfId="15609"/>
    <cellStyle name="Calc Units (2) 3" xfId="15610"/>
    <cellStyle name="CalcComma0" xfId="15611"/>
    <cellStyle name="CalcComma2" xfId="15612"/>
    <cellStyle name="CalcPercent0" xfId="15613"/>
    <cellStyle name="Calcul" xfId="15614"/>
    <cellStyle name="Calculation 10" xfId="15615"/>
    <cellStyle name="Calculation 11" xfId="15616"/>
    <cellStyle name="Calculation 2" xfId="15617"/>
    <cellStyle name="Calculation 2 2" xfId="15618"/>
    <cellStyle name="Calculation 2 3" xfId="15619"/>
    <cellStyle name="Calculation 2 4" xfId="15620"/>
    <cellStyle name="Calculation 3" xfId="15621"/>
    <cellStyle name="Calculation 3 2" xfId="15622"/>
    <cellStyle name="Calculation 4" xfId="15623"/>
    <cellStyle name="Calculation 4 2" xfId="15624"/>
    <cellStyle name="Calculation 5" xfId="15625"/>
    <cellStyle name="Calculation 6" xfId="15626"/>
    <cellStyle name="Calculation 7" xfId="15627"/>
    <cellStyle name="Calculation 8" xfId="15628"/>
    <cellStyle name="Calculation 9" xfId="15629"/>
    <cellStyle name="Cálculo" xfId="15630"/>
    <cellStyle name="Canada" xfId="15631"/>
    <cellStyle name="Cancel" xfId="15632"/>
    <cellStyle name="čárky [0]_04 - IBR" xfId="15633"/>
    <cellStyle name="čárky_04 - IBR" xfId="15634"/>
    <cellStyle name="cárkyd" xfId="15635"/>
    <cellStyle name="cárkyd 2" xfId="15636"/>
    <cellStyle name="cárkyd 2 2" xfId="15637"/>
    <cellStyle name="cárkyd 3" xfId="15638"/>
    <cellStyle name="CARTIGLIO" xfId="15639"/>
    <cellStyle name="CARTIGLIO 2" xfId="15640"/>
    <cellStyle name="CARTIGLIO_Synergy model v1" xfId="15641"/>
    <cellStyle name="cary" xfId="15642"/>
    <cellStyle name="category" xfId="15643"/>
    <cellStyle name="category 2" xfId="15644"/>
    <cellStyle name="category 3" xfId="15645"/>
    <cellStyle name="Celda de comprobación" xfId="15646"/>
    <cellStyle name="Celda vinculada" xfId="15647"/>
    <cellStyle name="Celkem" xfId="15648"/>
    <cellStyle name="Celkem 2" xfId="15649"/>
    <cellStyle name="Cell" xfId="15650"/>
    <cellStyle name="Cellule liée" xfId="15651"/>
    <cellStyle name="Célula Ligada" xfId="15652"/>
    <cellStyle name="cenik" xfId="15653"/>
    <cellStyle name="cenik 2" xfId="15654"/>
    <cellStyle name="Center" xfId="15655"/>
    <cellStyle name="ChA" xfId="15656"/>
    <cellStyle name="ChA 2" xfId="15657"/>
    <cellStyle name="ChA_Synergy model v1" xfId="15658"/>
    <cellStyle name="Changed recently" xfId="15659"/>
    <cellStyle name="Check Cell 10" xfId="15660"/>
    <cellStyle name="Check Cell 11" xfId="15661"/>
    <cellStyle name="Check Cell 2" xfId="15662"/>
    <cellStyle name="Check Cell 2 2" xfId="15663"/>
    <cellStyle name="Check Cell 2 3" xfId="15664"/>
    <cellStyle name="Check Cell 2 4" xfId="15665"/>
    <cellStyle name="Check Cell 3" xfId="15666"/>
    <cellStyle name="Check Cell 3 2" xfId="15667"/>
    <cellStyle name="Check Cell 4" xfId="15668"/>
    <cellStyle name="Check Cell 4 2" xfId="15669"/>
    <cellStyle name="Check Cell 5" xfId="15670"/>
    <cellStyle name="Check Cell 6" xfId="15671"/>
    <cellStyle name="Check Cell 7" xfId="15672"/>
    <cellStyle name="Check Cell 8" xfId="15673"/>
    <cellStyle name="Check Cell 9" xfId="15674"/>
    <cellStyle name="čiarky [0]_annex9015-VII" xfId="15675"/>
    <cellStyle name="čiarky_annex9015-VII" xfId="15676"/>
    <cellStyle name="Code" xfId="15677"/>
    <cellStyle name="Code 2" xfId="15678"/>
    <cellStyle name="Code 6" xfId="15679"/>
    <cellStyle name="Code Section" xfId="15680"/>
    <cellStyle name="ColBlue" xfId="15681"/>
    <cellStyle name="ColGreen" xfId="15682"/>
    <cellStyle name="Collegamento ipertestuale visitato_Key figures industrial budget 2003" xfId="15683"/>
    <cellStyle name="Collegamento ipertestuale_Key figures industrial budget 2003" xfId="15684"/>
    <cellStyle name="Colma [0]_-F-" xfId="15685"/>
    <cellStyle name="ColRed" xfId="15686"/>
    <cellStyle name="Coltitle" xfId="15687"/>
    <cellStyle name="Column heading" xfId="15688"/>
    <cellStyle name="Column_Title" xfId="15689"/>
    <cellStyle name="ColumnHeader" xfId="15690"/>
    <cellStyle name="COLUMNS" xfId="15691"/>
    <cellStyle name="Comma" xfId="19428" builtinId="3"/>
    <cellStyle name="Comma  - Style1" xfId="15692"/>
    <cellStyle name="Comma  - Style1 2" xfId="15693"/>
    <cellStyle name="Comma  - Style2" xfId="15694"/>
    <cellStyle name="Comma  - Style2 2" xfId="15695"/>
    <cellStyle name="Comma  - Style3" xfId="15696"/>
    <cellStyle name="Comma  - Style3 2" xfId="15697"/>
    <cellStyle name="Comma  - Style4" xfId="15698"/>
    <cellStyle name="Comma  - Style4 2" xfId="15699"/>
    <cellStyle name="Comma  - Style5" xfId="15700"/>
    <cellStyle name="Comma  - Style5 2" xfId="15701"/>
    <cellStyle name="Comma  - Style6" xfId="15702"/>
    <cellStyle name="Comma  - Style6 2" xfId="15703"/>
    <cellStyle name="Comma  - Style7" xfId="15704"/>
    <cellStyle name="Comma  - Style7 2" xfId="15705"/>
    <cellStyle name="Comma  - Style8" xfId="15706"/>
    <cellStyle name="Comma  - Style8 2" xfId="15707"/>
    <cellStyle name="Comma (1)" xfId="15708"/>
    <cellStyle name="Comma (1) 2" xfId="15709"/>
    <cellStyle name="Comma (2)" xfId="15710"/>
    <cellStyle name="Comma [0] 2" xfId="15711"/>
    <cellStyle name="Comma [00]" xfId="15712"/>
    <cellStyle name="Comma [00] 2" xfId="15713"/>
    <cellStyle name="Comma [00] 3" xfId="15714"/>
    <cellStyle name="Comma 0" xfId="15715"/>
    <cellStyle name="Comma 1" xfId="15716"/>
    <cellStyle name="Comma 10" xfId="15717"/>
    <cellStyle name="Comma 10 2" xfId="15718"/>
    <cellStyle name="Comma 100" xfId="18803"/>
    <cellStyle name="Comma 101" xfId="18804"/>
    <cellStyle name="Comma 102" xfId="18805"/>
    <cellStyle name="Comma 103" xfId="18806"/>
    <cellStyle name="Comma 104" xfId="18807"/>
    <cellStyle name="Comma 105" xfId="18808"/>
    <cellStyle name="Comma 106" xfId="18809"/>
    <cellStyle name="Comma 107" xfId="18810"/>
    <cellStyle name="Comma 108" xfId="18811"/>
    <cellStyle name="Comma 109" xfId="18812"/>
    <cellStyle name="Comma 11" xfId="15719"/>
    <cellStyle name="Comma 11 2" xfId="3"/>
    <cellStyle name="Comma 110" xfId="18813"/>
    <cellStyle name="Comma 111" xfId="18814"/>
    <cellStyle name="Comma 112" xfId="18815"/>
    <cellStyle name="Comma 113" xfId="18816"/>
    <cellStyle name="Comma 114" xfId="18817"/>
    <cellStyle name="Comma 115" xfId="18818"/>
    <cellStyle name="Comma 116" xfId="18819"/>
    <cellStyle name="Comma 117" xfId="18820"/>
    <cellStyle name="Comma 118" xfId="18821"/>
    <cellStyle name="Comma 119" xfId="18822"/>
    <cellStyle name="Comma 12" xfId="15720"/>
    <cellStyle name="Comma 12 2" xfId="15721"/>
    <cellStyle name="Comma 120" xfId="18823"/>
    <cellStyle name="Comma 121" xfId="18824"/>
    <cellStyle name="Comma 122" xfId="18825"/>
    <cellStyle name="Comma 123" xfId="18826"/>
    <cellStyle name="Comma 124" xfId="18827"/>
    <cellStyle name="Comma 125" xfId="18828"/>
    <cellStyle name="Comma 126" xfId="18829"/>
    <cellStyle name="Comma 127" xfId="18830"/>
    <cellStyle name="Comma 128" xfId="18831"/>
    <cellStyle name="Comma 129" xfId="18832"/>
    <cellStyle name="Comma 13" xfId="15722"/>
    <cellStyle name="Comma 13 2" xfId="15723"/>
    <cellStyle name="Comma 130" xfId="18833"/>
    <cellStyle name="Comma 131" xfId="18834"/>
    <cellStyle name="Comma 132" xfId="18835"/>
    <cellStyle name="Comma 133" xfId="18836"/>
    <cellStyle name="Comma 134" xfId="18837"/>
    <cellStyle name="Comma 135" xfId="18838"/>
    <cellStyle name="Comma 136" xfId="18839"/>
    <cellStyle name="Comma 137" xfId="18840"/>
    <cellStyle name="Comma 138" xfId="18841"/>
    <cellStyle name="Comma 139" xfId="18842"/>
    <cellStyle name="Comma 14" xfId="15724"/>
    <cellStyle name="Comma 140" xfId="18843"/>
    <cellStyle name="Comma 141" xfId="18844"/>
    <cellStyle name="Comma 142" xfId="18845"/>
    <cellStyle name="Comma 143" xfId="18846"/>
    <cellStyle name="Comma 144" xfId="18847"/>
    <cellStyle name="Comma 145" xfId="18848"/>
    <cellStyle name="Comma 146" xfId="18849"/>
    <cellStyle name="Comma 147" xfId="18850"/>
    <cellStyle name="Comma 15" xfId="15725"/>
    <cellStyle name="Comma 16" xfId="15726"/>
    <cellStyle name="Comma 17" xfId="15727"/>
    <cellStyle name="Comma 18" xfId="15728"/>
    <cellStyle name="Comma 19" xfId="15729"/>
    <cellStyle name="Comma 2" xfId="15730"/>
    <cellStyle name="Comma 2 10" xfId="15731"/>
    <cellStyle name="Comma 2 11" xfId="15732"/>
    <cellStyle name="Comma 2 12" xfId="15733"/>
    <cellStyle name="Comma 2 13" xfId="15734"/>
    <cellStyle name="Comma 2 14" xfId="15735"/>
    <cellStyle name="Comma 2 15" xfId="15736"/>
    <cellStyle name="Comma 2 16" xfId="15737"/>
    <cellStyle name="Comma 2 17" xfId="15738"/>
    <cellStyle name="Comma 2 18" xfId="15739"/>
    <cellStyle name="Comma 2 19" xfId="15740"/>
    <cellStyle name="Comma 2 2" xfId="15741"/>
    <cellStyle name="Comma 2 2 2" xfId="15742"/>
    <cellStyle name="Comma 2 20" xfId="15743"/>
    <cellStyle name="Comma 2 21" xfId="15744"/>
    <cellStyle name="Comma 2 22" xfId="15745"/>
    <cellStyle name="Comma 2 23" xfId="15746"/>
    <cellStyle name="Comma 2 3" xfId="15747"/>
    <cellStyle name="Comma 2 3 2" xfId="15748"/>
    <cellStyle name="Comma 2 4" xfId="15749"/>
    <cellStyle name="Comma 2 5" xfId="15750"/>
    <cellStyle name="Comma 2 6" xfId="15751"/>
    <cellStyle name="Comma 2 7" xfId="15752"/>
    <cellStyle name="Comma 2 8" xfId="15753"/>
    <cellStyle name="Comma 2 9" xfId="15754"/>
    <cellStyle name="Comma 2_10.07.27_Canada_SynergyPlan_072610" xfId="15755"/>
    <cellStyle name="Comma 20" xfId="15756"/>
    <cellStyle name="Comma 21" xfId="15757"/>
    <cellStyle name="Comma 22" xfId="15758"/>
    <cellStyle name="Comma 23" xfId="15759"/>
    <cellStyle name="Comma 24" xfId="15760"/>
    <cellStyle name="Comma 245 2" xfId="15761"/>
    <cellStyle name="Comma 25" xfId="15762"/>
    <cellStyle name="Comma 26" xfId="15763"/>
    <cellStyle name="Comma 27" xfId="15764"/>
    <cellStyle name="Comma 28" xfId="15765"/>
    <cellStyle name="Comma 28 2" xfId="15766"/>
    <cellStyle name="Comma 28 2 2" xfId="15767"/>
    <cellStyle name="Comma 28 3" xfId="15768"/>
    <cellStyle name="Comma 29" xfId="15769"/>
    <cellStyle name="Comma 3" xfId="15770"/>
    <cellStyle name="Comma 3 2" xfId="15771"/>
    <cellStyle name="Comma 3 3" xfId="15772"/>
    <cellStyle name="Comma 30" xfId="15773"/>
    <cellStyle name="Comma 31" xfId="15774"/>
    <cellStyle name="Comma 32" xfId="15775"/>
    <cellStyle name="Comma 33" xfId="15776"/>
    <cellStyle name="Comma 34" xfId="15777"/>
    <cellStyle name="Comma 35" xfId="15778"/>
    <cellStyle name="Comma 36" xfId="15779"/>
    <cellStyle name="Comma 37" xfId="15780"/>
    <cellStyle name="Comma 38" xfId="15781"/>
    <cellStyle name="Comma 39" xfId="15782"/>
    <cellStyle name="Comma 4" xfId="15783"/>
    <cellStyle name="Comma 4 2" xfId="15784"/>
    <cellStyle name="Comma 4 2 2" xfId="15785"/>
    <cellStyle name="Comma 4 3" xfId="15786"/>
    <cellStyle name="Comma 40" xfId="15787"/>
    <cellStyle name="Comma 41" xfId="15788"/>
    <cellStyle name="Comma 42" xfId="15789"/>
    <cellStyle name="Comma 43" xfId="15790"/>
    <cellStyle name="Comma 44" xfId="15791"/>
    <cellStyle name="Comma 45" xfId="18851"/>
    <cellStyle name="Comma 46" xfId="18852"/>
    <cellStyle name="Comma 47" xfId="18853"/>
    <cellStyle name="Comma 48" xfId="18854"/>
    <cellStyle name="Comma 49" xfId="18855"/>
    <cellStyle name="Comma 5" xfId="15792"/>
    <cellStyle name="Comma 5 2" xfId="15793"/>
    <cellStyle name="Comma 5 3" xfId="15794"/>
    <cellStyle name="Comma 50" xfId="18856"/>
    <cellStyle name="Comma 51" xfId="18857"/>
    <cellStyle name="Comma 52" xfId="18858"/>
    <cellStyle name="Comma 53" xfId="18859"/>
    <cellStyle name="Comma 54" xfId="18860"/>
    <cellStyle name="Comma 55" xfId="18861"/>
    <cellStyle name="Comma 56" xfId="18862"/>
    <cellStyle name="Comma 57" xfId="18863"/>
    <cellStyle name="Comma 58" xfId="18864"/>
    <cellStyle name="Comma 59" xfId="18865"/>
    <cellStyle name="Comma 6" xfId="15795"/>
    <cellStyle name="Comma 6 2" xfId="15796"/>
    <cellStyle name="Comma 6 3" xfId="15797"/>
    <cellStyle name="Comma 60" xfId="18866"/>
    <cellStyle name="Comma 61" xfId="18867"/>
    <cellStyle name="Comma 62" xfId="18868"/>
    <cellStyle name="Comma 63" xfId="18869"/>
    <cellStyle name="Comma 64" xfId="18870"/>
    <cellStyle name="Comma 65" xfId="18871"/>
    <cellStyle name="Comma 66" xfId="18872"/>
    <cellStyle name="Comma 67" xfId="18873"/>
    <cellStyle name="Comma 68" xfId="18874"/>
    <cellStyle name="Comma 69" xfId="18875"/>
    <cellStyle name="Comma 7" xfId="15798"/>
    <cellStyle name="Comma 7 2" xfId="15799"/>
    <cellStyle name="Comma 70" xfId="18876"/>
    <cellStyle name="Comma 71" xfId="18877"/>
    <cellStyle name="Comma 72" xfId="18878"/>
    <cellStyle name="Comma 73" xfId="18879"/>
    <cellStyle name="Comma 74" xfId="18880"/>
    <cellStyle name="Comma 75" xfId="18881"/>
    <cellStyle name="Comma 76" xfId="18882"/>
    <cellStyle name="Comma 77" xfId="18883"/>
    <cellStyle name="Comma 78" xfId="18884"/>
    <cellStyle name="Comma 79" xfId="18885"/>
    <cellStyle name="Comma 8" xfId="15800"/>
    <cellStyle name="Comma 8 2" xfId="15801"/>
    <cellStyle name="Comma 80" xfId="18886"/>
    <cellStyle name="Comma 81" xfId="18887"/>
    <cellStyle name="Comma 82" xfId="18888"/>
    <cellStyle name="Comma 83" xfId="18889"/>
    <cellStyle name="Comma 84" xfId="18890"/>
    <cellStyle name="Comma 85" xfId="18891"/>
    <cellStyle name="Comma 86" xfId="18892"/>
    <cellStyle name="Comma 87" xfId="18893"/>
    <cellStyle name="Comma 88" xfId="18894"/>
    <cellStyle name="Comma 89" xfId="18895"/>
    <cellStyle name="Comma 9" xfId="15802"/>
    <cellStyle name="Comma 9 2" xfId="15803"/>
    <cellStyle name="Comma 90" xfId="18896"/>
    <cellStyle name="Comma 91" xfId="18897"/>
    <cellStyle name="Comma 92" xfId="18898"/>
    <cellStyle name="Comma 93" xfId="18899"/>
    <cellStyle name="Comma 94" xfId="18900"/>
    <cellStyle name="Comma 95" xfId="18901"/>
    <cellStyle name="Comma 96" xfId="18902"/>
    <cellStyle name="Comma 97" xfId="18903"/>
    <cellStyle name="Comma 98" xfId="18904"/>
    <cellStyle name="Comma 99" xfId="18905"/>
    <cellStyle name="Comma(0)" xfId="15804"/>
    <cellStyle name="Comma0" xfId="15805"/>
    <cellStyle name="Comma0 - Modelo1" xfId="15806"/>
    <cellStyle name="Comma0 - Modelo1 2" xfId="15807"/>
    <cellStyle name="Comma0 - Modelo1 3" xfId="15808"/>
    <cellStyle name="Comma0 - Style1" xfId="15809"/>
    <cellStyle name="Comma0 - Style1 2" xfId="15810"/>
    <cellStyle name="Comma0 - Style1 3" xfId="15811"/>
    <cellStyle name="Comma0 - Style3" xfId="15812"/>
    <cellStyle name="Comma0 2" xfId="15813"/>
    <cellStyle name="Comma0 3" xfId="15814"/>
    <cellStyle name="Comma0 4" xfId="15815"/>
    <cellStyle name="Comma0__P09 - Key Drivers KBE" xfId="15816"/>
    <cellStyle name="Comma1 - Modelo2" xfId="15817"/>
    <cellStyle name="Comma1 - Modelo2 2" xfId="15818"/>
    <cellStyle name="Comma1 - Modelo2 3" xfId="15819"/>
    <cellStyle name="Comma1 - Style1" xfId="15820"/>
    <cellStyle name="Comma1 - Style1 2" xfId="15821"/>
    <cellStyle name="Comma1 - Style1 3" xfId="15822"/>
    <cellStyle name="Comma1 - Style2" xfId="15823"/>
    <cellStyle name="Comma1 - Style2 2" xfId="15824"/>
    <cellStyle name="Comma1 - Style2 3" xfId="15825"/>
    <cellStyle name="Commentaire" xfId="15826"/>
    <cellStyle name="Commodity" xfId="15827"/>
    <cellStyle name="COMPARISON" xfId="15828"/>
    <cellStyle name="COMPARISON 2" xfId="15829"/>
    <cellStyle name="COMPARISON_04_Power Brands" xfId="15830"/>
    <cellStyle name="ContentsHyperlink" xfId="15831"/>
    <cellStyle name="ContentsHyperlink 2" xfId="15832"/>
    <cellStyle name="ContentsHyperlink 3" xfId="15833"/>
    <cellStyle name="Copied" xfId="15834"/>
    <cellStyle name="Copied 2" xfId="15835"/>
    <cellStyle name="Cor1" xfId="15836"/>
    <cellStyle name="Cor2" xfId="15837"/>
    <cellStyle name="Cor3" xfId="15838"/>
    <cellStyle name="Cor4" xfId="15839"/>
    <cellStyle name="Cor5" xfId="15840"/>
    <cellStyle name="Cor6" xfId="15841"/>
    <cellStyle name="Corner heading" xfId="15842"/>
    <cellStyle name="Correcto" xfId="15843"/>
    <cellStyle name="COST1" xfId="15844"/>
    <cellStyle name="COST1 2" xfId="15845"/>
    <cellStyle name="Country" xfId="15846"/>
    <cellStyle name="Course Name" xfId="15847"/>
    <cellStyle name="Course Name 2" xfId="15848"/>
    <cellStyle name="Curr w/ $" xfId="15849"/>
    <cellStyle name="Curr w/ $ 0.0" xfId="15850"/>
    <cellStyle name="Curr w/ $ 0.0 2" xfId="15851"/>
    <cellStyle name="Curr w/ $ 0.0 3" xfId="15852"/>
    <cellStyle name="Curr w/ $ 2" xfId="15853"/>
    <cellStyle name="Curr w/ $ 3" xfId="15854"/>
    <cellStyle name="Curr w/ $ 4" xfId="15855"/>
    <cellStyle name="Curr w/ $_0. AC 2011 Adjustment for Chocolate Drinks_ORBIS" xfId="15856"/>
    <cellStyle name="curr w/o $ 0.0" xfId="15857"/>
    <cellStyle name="curr w/o $ 0.0 2" xfId="15858"/>
    <cellStyle name="Currency (0)" xfId="15859"/>
    <cellStyle name="Currency (1)" xfId="15860"/>
    <cellStyle name="Currency (2)" xfId="15861"/>
    <cellStyle name="Currency [0]b" xfId="15862"/>
    <cellStyle name="Currency [00]" xfId="15863"/>
    <cellStyle name="Currency [00] 2" xfId="15864"/>
    <cellStyle name="Currency [00] 3" xfId="15865"/>
    <cellStyle name="Currency [2]" xfId="15866"/>
    <cellStyle name="Currency 0" xfId="15867"/>
    <cellStyle name="Currency 10" xfId="15868"/>
    <cellStyle name="Currency 11" xfId="15869"/>
    <cellStyle name="Currency 12" xfId="15870"/>
    <cellStyle name="Currency 13" xfId="15871"/>
    <cellStyle name="Currency 14" xfId="15872"/>
    <cellStyle name="Currency 15" xfId="15873"/>
    <cellStyle name="Currency 16" xfId="15874"/>
    <cellStyle name="Currency 17" xfId="15875"/>
    <cellStyle name="Currency 18" xfId="15876"/>
    <cellStyle name="Currency 19" xfId="15877"/>
    <cellStyle name="Currency 2" xfId="15878"/>
    <cellStyle name="Currency 2 10" xfId="15879"/>
    <cellStyle name="Currency 2 11" xfId="15880"/>
    <cellStyle name="Currency 2 12" xfId="15881"/>
    <cellStyle name="Currency 2 13" xfId="15882"/>
    <cellStyle name="Currency 2 14" xfId="15883"/>
    <cellStyle name="Currency 2 15" xfId="15884"/>
    <cellStyle name="Currency 2 16" xfId="15885"/>
    <cellStyle name="Currency 2 17" xfId="15886"/>
    <cellStyle name="Currency 2 18" xfId="15887"/>
    <cellStyle name="Currency 2 19" xfId="15888"/>
    <cellStyle name="Currency 2 2" xfId="15889"/>
    <cellStyle name="Currency 2 20" xfId="15890"/>
    <cellStyle name="Currency 2 21" xfId="15891"/>
    <cellStyle name="Currency 2 22" xfId="15892"/>
    <cellStyle name="Currency 2 23" xfId="15893"/>
    <cellStyle name="Currency 2 24" xfId="15894"/>
    <cellStyle name="Currency 2 25" xfId="15895"/>
    <cellStyle name="Currency 2 26" xfId="15896"/>
    <cellStyle name="Currency 2 27" xfId="15897"/>
    <cellStyle name="Currency 2 28" xfId="15898"/>
    <cellStyle name="Currency 2 29" xfId="15899"/>
    <cellStyle name="Currency 2 3" xfId="15900"/>
    <cellStyle name="Currency 2 30" xfId="15901"/>
    <cellStyle name="Currency 2 31" xfId="15902"/>
    <cellStyle name="Currency 2 32" xfId="15903"/>
    <cellStyle name="Currency 2 4" xfId="15904"/>
    <cellStyle name="Currency 2 5" xfId="15905"/>
    <cellStyle name="Currency 2 6" xfId="15906"/>
    <cellStyle name="Currency 2 7" xfId="15907"/>
    <cellStyle name="Currency 2 8" xfId="15908"/>
    <cellStyle name="Currency 2 9" xfId="15909"/>
    <cellStyle name="Currency 2_10.07.27_Canada_SynergyPlan" xfId="15910"/>
    <cellStyle name="Currency 20" xfId="15911"/>
    <cellStyle name="Currency 21" xfId="15912"/>
    <cellStyle name="Currency 22" xfId="15913"/>
    <cellStyle name="Currency 23" xfId="15914"/>
    <cellStyle name="Currency 24" xfId="15915"/>
    <cellStyle name="Currency 25" xfId="15916"/>
    <cellStyle name="Currency 26" xfId="15917"/>
    <cellStyle name="Currency 27" xfId="15918"/>
    <cellStyle name="Currency 28" xfId="15919"/>
    <cellStyle name="Currency 29" xfId="15920"/>
    <cellStyle name="Currency 3" xfId="15921"/>
    <cellStyle name="Currency 3 2" xfId="15922"/>
    <cellStyle name="Currency 30" xfId="15923"/>
    <cellStyle name="Currency 31" xfId="15924"/>
    <cellStyle name="Currency 32" xfId="15925"/>
    <cellStyle name="Currency 33" xfId="15926"/>
    <cellStyle name="Currency 33 2" xfId="15927"/>
    <cellStyle name="Currency 34" xfId="15928"/>
    <cellStyle name="Currency 4" xfId="15929"/>
    <cellStyle name="Currency 5" xfId="15930"/>
    <cellStyle name="Currency 5 2" xfId="15931"/>
    <cellStyle name="Currency 6" xfId="15932"/>
    <cellStyle name="Currency 7" xfId="15933"/>
    <cellStyle name="Currency 8" xfId="15934"/>
    <cellStyle name="Currency 9" xfId="15935"/>
    <cellStyle name="Currency W/O $" xfId="15936"/>
    <cellStyle name="Currency W/O $ 2" xfId="15937"/>
    <cellStyle name="currency(2)" xfId="15938"/>
    <cellStyle name="Currency0" xfId="15939"/>
    <cellStyle name="Currency0 2" xfId="15940"/>
    <cellStyle name="custom" xfId="15941"/>
    <cellStyle name="Data" xfId="15942"/>
    <cellStyle name="Data 2" xfId="15943"/>
    <cellStyle name="Data Entry" xfId="15944"/>
    <cellStyle name="Data no deci" xfId="15945"/>
    <cellStyle name="Data Superscript" xfId="15946"/>
    <cellStyle name="Data_100617-KFG-Data tables v2 (2)" xfId="15947"/>
    <cellStyle name="Data-one deci" xfId="15948"/>
    <cellStyle name="Date" xfId="15949"/>
    <cellStyle name="Date 2" xfId="15950"/>
    <cellStyle name="Date 3" xfId="15951"/>
    <cellStyle name="Date 4" xfId="15952"/>
    <cellStyle name="Date 5" xfId="15953"/>
    <cellStyle name="Date 6" xfId="15954"/>
    <cellStyle name="Date Aligned*" xfId="15955"/>
    <cellStyle name="Date Short" xfId="15956"/>
    <cellStyle name="Date Short 2" xfId="15957"/>
    <cellStyle name="Date Short 2 2" xfId="15958"/>
    <cellStyle name="Date__P09 - Key Drivers KBE" xfId="15959"/>
    <cellStyle name="dates" xfId="15960"/>
    <cellStyle name="dates 2" xfId="15961"/>
    <cellStyle name="dates 3" xfId="15962"/>
    <cellStyle name="Date-Time" xfId="15963"/>
    <cellStyle name="Datum" xfId="15964"/>
    <cellStyle name="Datum 2" xfId="15965"/>
    <cellStyle name="Datum_AR - Templates v1" xfId="15966"/>
    <cellStyle name="Day" xfId="15967"/>
    <cellStyle name="DecBold" xfId="15968"/>
    <cellStyle name="Decimal" xfId="15969"/>
    <cellStyle name="Decimal 1" xfId="15970"/>
    <cellStyle name="Decimal 2" xfId="15971"/>
    <cellStyle name="Decimal 3" xfId="15972"/>
    <cellStyle name="Decimal1" xfId="15973"/>
    <cellStyle name="Decimal1 2" xfId="15974"/>
    <cellStyle name="Decimal2" xfId="15975"/>
    <cellStyle name="Decimal2 2" xfId="15976"/>
    <cellStyle name="Decimal3" xfId="15977"/>
    <cellStyle name="Decimal3 2" xfId="15978"/>
    <cellStyle name="DELTA" xfId="15979"/>
    <cellStyle name="DELTA 2" xfId="15980"/>
    <cellStyle name="DELTA_AR - Templates v1" xfId="15981"/>
    <cellStyle name="desppag" xfId="15982"/>
    <cellStyle name="Dezimal [0]_5 Year PL Milkamisu" xfId="15983"/>
    <cellStyle name="Dezimal 2" xfId="15984"/>
    <cellStyle name="Dezimal 3" xfId="15985"/>
    <cellStyle name="Dezimal_250g Bundlepack" xfId="15986"/>
    <cellStyle name="Dia" xfId="15987"/>
    <cellStyle name="Dia 2" xfId="15988"/>
    <cellStyle name="discount" xfId="15989"/>
    <cellStyle name="DM" xfId="15990"/>
    <cellStyle name="DM 2" xfId="15991"/>
    <cellStyle name="DM/a" xfId="15992"/>
    <cellStyle name="DM/t" xfId="15993"/>
    <cellStyle name="DM_AR - Templates v1" xfId="15994"/>
    <cellStyle name="Dziesi?tny [0]_15A-Raws OB'99 vs TRF'98" xfId="15995"/>
    <cellStyle name="Dziesi?tny_15A-Raws OB'99 vs TRF'98" xfId="15996"/>
    <cellStyle name="Dziesiętny [0]_15A-Raws OB'99 vs TRF'98" xfId="15997"/>
    <cellStyle name="Dziesietny [0]_4th shift1999 Capacity  " xfId="15998"/>
    <cellStyle name="Dziesiętny [0]_Annexes WWBU 02-03 ER" xfId="15999"/>
    <cellStyle name="Dziesiętny_15A-Raws OB'99 vs TRF'98" xfId="16000"/>
    <cellStyle name="Dziesietny_4th shift1999 Capacity  " xfId="16001"/>
    <cellStyle name="Dziesiętny_Ageing Template" xfId="16002"/>
    <cellStyle name="Dziesietny_BFR" xfId="16003"/>
    <cellStyle name="Dziesiętny_PPK40gSWAK48x2" xfId="16004"/>
    <cellStyle name="Eingabe" xfId="16005"/>
    <cellStyle name="Elaine" xfId="16006"/>
    <cellStyle name="Emphasis 1" xfId="16007"/>
    <cellStyle name="Emphasis 1 2" xfId="18906"/>
    <cellStyle name="Emphasis 2" xfId="16008"/>
    <cellStyle name="Emphasis 2 2" xfId="18907"/>
    <cellStyle name="Emphasis 3" xfId="16009"/>
    <cellStyle name="Emphasis 3 2" xfId="18908"/>
    <cellStyle name="Encabez1" xfId="16010"/>
    <cellStyle name="Encabez1 2" xfId="16011"/>
    <cellStyle name="Encabez2" xfId="16012"/>
    <cellStyle name="Encabez2 2" xfId="16013"/>
    <cellStyle name="Encabezado 4" xfId="16014"/>
    <cellStyle name="Énfasis1" xfId="16015"/>
    <cellStyle name="Énfasis2" xfId="16016"/>
    <cellStyle name="Énfasis3" xfId="16017"/>
    <cellStyle name="Énfasis4" xfId="16018"/>
    <cellStyle name="Énfasis5" xfId="16019"/>
    <cellStyle name="Énfasis6" xfId="16020"/>
    <cellStyle name="Enter Currency (0)" xfId="16021"/>
    <cellStyle name="Enter Currency (0) 2" xfId="16022"/>
    <cellStyle name="Enter Currency (0) 3" xfId="16023"/>
    <cellStyle name="Enter Currency (2)" xfId="16024"/>
    <cellStyle name="Enter Currency (2) 2" xfId="16025"/>
    <cellStyle name="Enter Currency (2) 3" xfId="16026"/>
    <cellStyle name="Enter Units (0)" xfId="16027"/>
    <cellStyle name="Enter Units (0) 2" xfId="16028"/>
    <cellStyle name="Enter Units (0) 3" xfId="16029"/>
    <cellStyle name="Enter Units (1)" xfId="16030"/>
    <cellStyle name="Enter Units (1) 2" xfId="16031"/>
    <cellStyle name="Enter Units (1) 3" xfId="16032"/>
    <cellStyle name="Enter Units (2)" xfId="16033"/>
    <cellStyle name="Enter Units (2) 2" xfId="16034"/>
    <cellStyle name="Enter Units (2) 3" xfId="16035"/>
    <cellStyle name="Entered" xfId="16036"/>
    <cellStyle name="Entered 2" xfId="16037"/>
    <cellStyle name="Entrada" xfId="16038"/>
    <cellStyle name="Entrée" xfId="16039"/>
    <cellStyle name="Ergebnis" xfId="16040"/>
    <cellStyle name="Erklärender Text" xfId="16041"/>
    <cellStyle name="EssbaseRows" xfId="16042"/>
    <cellStyle name="Euro" xfId="16043"/>
    <cellStyle name="Euro 2" xfId="16044"/>
    <cellStyle name="Euro 3" xfId="16045"/>
    <cellStyle name="Explanatory Text 10" xfId="16046"/>
    <cellStyle name="Explanatory Text 2" xfId="16047"/>
    <cellStyle name="Explanatory Text 2 2" xfId="16048"/>
    <cellStyle name="Explanatory Text 3" xfId="16049"/>
    <cellStyle name="Explanatory Text 3 2" xfId="16050"/>
    <cellStyle name="Explanatory Text 4" xfId="16051"/>
    <cellStyle name="Explanatory Text 4 2" xfId="16052"/>
    <cellStyle name="Explanatory Text 5" xfId="16053"/>
    <cellStyle name="Explanatory Text 6" xfId="16054"/>
    <cellStyle name="Explanatory Text 7" xfId="16055"/>
    <cellStyle name="Explanatory Text 8" xfId="16056"/>
    <cellStyle name="Explanatory Text 9" xfId="16057"/>
    <cellStyle name="Export" xfId="16058"/>
    <cellStyle name="EYCheck" xfId="16059"/>
    <cellStyle name="EYDate" xfId="16060"/>
    <cellStyle name="EYHeader1" xfId="16061"/>
    <cellStyle name="EYHeader2" xfId="16062"/>
    <cellStyle name="EYHeader3" xfId="16063"/>
    <cellStyle name="EYInputDate" xfId="16064"/>
    <cellStyle name="EYInputPercent" xfId="16065"/>
    <cellStyle name="EYInputValue" xfId="16066"/>
    <cellStyle name="EYNormal" xfId="16067"/>
    <cellStyle name="EYPercent" xfId="16068"/>
    <cellStyle name="Ezres [0]_PLDT" xfId="16069"/>
    <cellStyle name="Ezres_PLDT" xfId="16070"/>
    <cellStyle name="_x0001_F" xfId="16071"/>
    <cellStyle name="F2" xfId="16072"/>
    <cellStyle name="F2 2" xfId="16073"/>
    <cellStyle name="F2 3" xfId="16074"/>
    <cellStyle name="F3" xfId="16075"/>
    <cellStyle name="F3 2" xfId="16076"/>
    <cellStyle name="F3 3" xfId="16077"/>
    <cellStyle name="F4" xfId="16078"/>
    <cellStyle name="F4 2" xfId="16079"/>
    <cellStyle name="F4 3" xfId="16080"/>
    <cellStyle name="F5" xfId="16081"/>
    <cellStyle name="F5 2" xfId="16082"/>
    <cellStyle name="F5 3" xfId="16083"/>
    <cellStyle name="F6" xfId="16084"/>
    <cellStyle name="F6 2" xfId="16085"/>
    <cellStyle name="F6 3" xfId="16086"/>
    <cellStyle name="F7" xfId="16087"/>
    <cellStyle name="F7 2" xfId="16088"/>
    <cellStyle name="F7 3" xfId="16089"/>
    <cellStyle name="F8" xfId="16090"/>
    <cellStyle name="F8 2" xfId="16091"/>
    <cellStyle name="F8 3" xfId="16092"/>
    <cellStyle name="Fecha" xfId="16093"/>
    <cellStyle name="Fecha 2" xfId="16094"/>
    <cellStyle name="Fecha 3" xfId="16095"/>
    <cellStyle name="Fieldtex" xfId="16096"/>
    <cellStyle name="Fieldtex 2" xfId="16097"/>
    <cellStyle name="Fieldtex 2 2" xfId="16098"/>
    <cellStyle name="Fieldtex 3" xfId="16099"/>
    <cellStyle name="Fieldtex 4" xfId="16100"/>
    <cellStyle name="Fijo" xfId="16101"/>
    <cellStyle name="Fijo 2" xfId="16102"/>
    <cellStyle name="Fijo 3" xfId="16103"/>
    <cellStyle name="Fin_Acct" xfId="16104"/>
    <cellStyle name="Finance" xfId="16105"/>
    <cellStyle name="finance s/dec" xfId="16106"/>
    <cellStyle name="finance s/dec 2" xfId="16107"/>
    <cellStyle name="finance s/dec 3" xfId="16108"/>
    <cellStyle name="Finance_RESUME" xfId="16109"/>
    <cellStyle name="Financiero" xfId="16110"/>
    <cellStyle name="Financiero 2" xfId="16111"/>
    <cellStyle name="FinFunc" xfId="16112"/>
    <cellStyle name="Fisso" xfId="16113"/>
    <cellStyle name="Fisso 2" xfId="16114"/>
    <cellStyle name="Fixed" xfId="16115"/>
    <cellStyle name="Fixed 2" xfId="16116"/>
    <cellStyle name="Fixed 3" xfId="16117"/>
    <cellStyle name="Fixed3 - Style2" xfId="16118"/>
    <cellStyle name="Fixed3 - Style2 2" xfId="16119"/>
    <cellStyle name="FMVNumber" xfId="16120"/>
    <cellStyle name="Footnote" xfId="16121"/>
    <cellStyle name="Footnote 2" xfId="16122"/>
    <cellStyle name="Forecast" xfId="16123"/>
    <cellStyle name="Forms" xfId="16124"/>
    <cellStyle name="Forms 2" xfId="16125"/>
    <cellStyle name="Forms 3" xfId="16126"/>
    <cellStyle name="free" xfId="16127"/>
    <cellStyle name="FUENTES" xfId="16128"/>
    <cellStyle name="FUENTES 2" xfId="16129"/>
    <cellStyle name="FUENTES 2 2" xfId="16130"/>
    <cellStyle name="FUENTES 3" xfId="16131"/>
    <cellStyle name="General" xfId="16132"/>
    <cellStyle name="Gevolgde hyperlink" xfId="16133"/>
    <cellStyle name="Good 10" xfId="16134"/>
    <cellStyle name="Good 11" xfId="16135"/>
    <cellStyle name="Good 2" xfId="16136"/>
    <cellStyle name="Good 2 2" xfId="16137"/>
    <cellStyle name="Good 2 3" xfId="16138"/>
    <cellStyle name="Good 2 4" xfId="16139"/>
    <cellStyle name="Good 3" xfId="16140"/>
    <cellStyle name="Good 3 2" xfId="16141"/>
    <cellStyle name="Good 4" xfId="16142"/>
    <cellStyle name="Good 4 2" xfId="16143"/>
    <cellStyle name="Good 5" xfId="16144"/>
    <cellStyle name="Good 6" xfId="16145"/>
    <cellStyle name="Good 7" xfId="16146"/>
    <cellStyle name="Good 8" xfId="16147"/>
    <cellStyle name="Good 9" xfId="16148"/>
    <cellStyle name="Grey" xfId="16149"/>
    <cellStyle name="Grey 2" xfId="16150"/>
    <cellStyle name="Grey 2 2" xfId="16151"/>
    <cellStyle name="Guess..." xfId="16152"/>
    <cellStyle name="Gut" xfId="16153"/>
    <cellStyle name="H_x0010_" xfId="16154"/>
    <cellStyle name="hard no." xfId="16155"/>
    <cellStyle name="Head 1" xfId="16156"/>
    <cellStyle name="Head 1 2" xfId="16157"/>
    <cellStyle name="Head 1 3" xfId="16158"/>
    <cellStyle name="HEADER" xfId="16159"/>
    <cellStyle name="HEADER 2" xfId="16160"/>
    <cellStyle name="HEADER 3" xfId="16161"/>
    <cellStyle name="Header1" xfId="16162"/>
    <cellStyle name="Header1 2" xfId="16163"/>
    <cellStyle name="Header1 2 2" xfId="16164"/>
    <cellStyle name="Header1 2 2 2" xfId="16165"/>
    <cellStyle name="Header1 2 2 2 2" xfId="16166"/>
    <cellStyle name="Header1 2 2 2_Sheet1" xfId="16167"/>
    <cellStyle name="Header1 2 2 3" xfId="16168"/>
    <cellStyle name="Header1 2 2_Sheet1" xfId="16169"/>
    <cellStyle name="Header1 2 3" xfId="16170"/>
    <cellStyle name="Header1 2 3 2" xfId="16171"/>
    <cellStyle name="Header1 2 3_Sheet1" xfId="16172"/>
    <cellStyle name="Header1 2 4" xfId="16173"/>
    <cellStyle name="Header1 2_Sheet1" xfId="16174"/>
    <cellStyle name="Header1 3" xfId="16175"/>
    <cellStyle name="Header1 3 2" xfId="16176"/>
    <cellStyle name="Header1 3 2 2" xfId="16177"/>
    <cellStyle name="Header1 3 2_Sheet1" xfId="16178"/>
    <cellStyle name="Header1 3 3" xfId="16179"/>
    <cellStyle name="Header1 3_Sheet1" xfId="16180"/>
    <cellStyle name="Header1_Sheet1" xfId="16181"/>
    <cellStyle name="Header2" xfId="16182"/>
    <cellStyle name="Header2 2" xfId="16183"/>
    <cellStyle name="Header2 3" xfId="16184"/>
    <cellStyle name="Heading" xfId="16185"/>
    <cellStyle name="Heading 1 10" xfId="16186"/>
    <cellStyle name="Heading 1 2" xfId="16187"/>
    <cellStyle name="Heading 1 2 2" xfId="16188"/>
    <cellStyle name="Heading 1 2 3" xfId="16189"/>
    <cellStyle name="Heading 1 3" xfId="16190"/>
    <cellStyle name="Heading 1 4" xfId="16191"/>
    <cellStyle name="Heading 1 5" xfId="16192"/>
    <cellStyle name="Heading 1 6" xfId="16193"/>
    <cellStyle name="Heading 1 7" xfId="16194"/>
    <cellStyle name="Heading 1 8" xfId="16195"/>
    <cellStyle name="Heading 1 9" xfId="16196"/>
    <cellStyle name="Heading 2 10" xfId="16197"/>
    <cellStyle name="Heading 2 2" xfId="16198"/>
    <cellStyle name="Heading 2 2 2" xfId="16199"/>
    <cellStyle name="Heading 2 2 3" xfId="16200"/>
    <cellStyle name="Heading 2 3" xfId="16201"/>
    <cellStyle name="Heading 2 4" xfId="16202"/>
    <cellStyle name="Heading 2 5" xfId="16203"/>
    <cellStyle name="Heading 2 6" xfId="16204"/>
    <cellStyle name="Heading 2 7" xfId="16205"/>
    <cellStyle name="Heading 2 8" xfId="16206"/>
    <cellStyle name="Heading 2 9" xfId="16207"/>
    <cellStyle name="Heading 3 10" xfId="16208"/>
    <cellStyle name="Heading 3 2" xfId="16209"/>
    <cellStyle name="Heading 3 2 2" xfId="16210"/>
    <cellStyle name="Heading 3 2 3" xfId="16211"/>
    <cellStyle name="Heading 3 3" xfId="16212"/>
    <cellStyle name="Heading 3 4" xfId="16213"/>
    <cellStyle name="Heading 3 5" xfId="16214"/>
    <cellStyle name="Heading 3 6" xfId="16215"/>
    <cellStyle name="Heading 3 7" xfId="16216"/>
    <cellStyle name="Heading 3 8" xfId="16217"/>
    <cellStyle name="Heading 3 9" xfId="16218"/>
    <cellStyle name="Heading 4 10" xfId="16219"/>
    <cellStyle name="Heading 4 2" xfId="16220"/>
    <cellStyle name="Heading 4 2 2" xfId="16221"/>
    <cellStyle name="Heading 4 2 3" xfId="16222"/>
    <cellStyle name="Heading 4 3" xfId="16223"/>
    <cellStyle name="Heading 4 4" xfId="16224"/>
    <cellStyle name="Heading 4 5" xfId="16225"/>
    <cellStyle name="Heading 4 6" xfId="16226"/>
    <cellStyle name="Heading 4 7" xfId="16227"/>
    <cellStyle name="Heading 4 8" xfId="16228"/>
    <cellStyle name="Heading 4 9" xfId="16229"/>
    <cellStyle name="Heading 5" xfId="16230"/>
    <cellStyle name="Heading 5 2" xfId="16231"/>
    <cellStyle name="Heading 5 2 2" xfId="16232"/>
    <cellStyle name="Heading 5_Sheet1" xfId="16233"/>
    <cellStyle name="Heading 6" xfId="16234"/>
    <cellStyle name="Heading 6 2" xfId="16235"/>
    <cellStyle name="Heading 6 2 2" xfId="16236"/>
    <cellStyle name="Heading 6_Sheet1" xfId="16237"/>
    <cellStyle name="Heading 7" xfId="16238"/>
    <cellStyle name="Heading 7 2" xfId="16239"/>
    <cellStyle name="Heading1" xfId="16240"/>
    <cellStyle name="Heading1 2" xfId="16241"/>
    <cellStyle name="Heading1 2 2" xfId="16242"/>
    <cellStyle name="Heading1 3" xfId="16243"/>
    <cellStyle name="Heading2" xfId="16244"/>
    <cellStyle name="Heading2 2" xfId="16245"/>
    <cellStyle name="Heading2 2 2" xfId="16246"/>
    <cellStyle name="Heading2 3" xfId="16247"/>
    <cellStyle name="Heading3" xfId="16248"/>
    <cellStyle name="Heading3 2" xfId="16249"/>
    <cellStyle name="Heading3 2 2" xfId="16250"/>
    <cellStyle name="Heading3 3" xfId="16251"/>
    <cellStyle name="Heading4" xfId="16252"/>
    <cellStyle name="Heading4 2" xfId="16253"/>
    <cellStyle name="Heading4 3" xfId="16254"/>
    <cellStyle name="HEADINGS" xfId="16255"/>
    <cellStyle name="HEADINGSTOP" xfId="16256"/>
    <cellStyle name="Headline I" xfId="16257"/>
    <cellStyle name="Headline I 2" xfId="16258"/>
    <cellStyle name="Headline II" xfId="16259"/>
    <cellStyle name="Headline II 2" xfId="16260"/>
    <cellStyle name="Headline III" xfId="16261"/>
    <cellStyle name="Headline III 2" xfId="16262"/>
    <cellStyle name="Hed Side" xfId="16263"/>
    <cellStyle name="Hed Side bold" xfId="16264"/>
    <cellStyle name="Hed Side Indent" xfId="16265"/>
    <cellStyle name="Hed Side Regular" xfId="16266"/>
    <cellStyle name="Hed Side_1-1A-Regular" xfId="16267"/>
    <cellStyle name="Hed Top" xfId="16268"/>
    <cellStyle name="Hed Top - SECTION" xfId="16269"/>
    <cellStyle name="Hed Top_3-new4" xfId="16270"/>
    <cellStyle name="Hervorheb1" xfId="16271"/>
    <cellStyle name="HIDE" xfId="16272"/>
    <cellStyle name="High Urgency" xfId="16273"/>
    <cellStyle name="Hiper??cze_Purchasing" xfId="16274"/>
    <cellStyle name="Hiperłącze_Purchasing" xfId="16275"/>
    <cellStyle name="Hipervínculo visitado_~0039347" xfId="16276"/>
    <cellStyle name="Hipervínculo_ABS_AL_31_01_01" xfId="16277"/>
    <cellStyle name="Hyperlink seguido" xfId="16278"/>
    <cellStyle name="Hyperlink seguido 2" xfId="16279"/>
    <cellStyle name="Hyperlink seguido 3" xfId="16280"/>
    <cellStyle name="Hypertextový odkaz_1202P" xfId="16281"/>
    <cellStyle name="Îáu÷íué_laroux" xfId="16282"/>
    <cellStyle name="Incorrecto" xfId="16283"/>
    <cellStyle name="Indent2" xfId="16284"/>
    <cellStyle name="Indent2 2" xfId="16285"/>
    <cellStyle name="Indent4" xfId="16286"/>
    <cellStyle name="Indent4 2" xfId="16287"/>
    <cellStyle name="INPUT - Style1" xfId="16288"/>
    <cellStyle name="Input - Style1 2" xfId="16289"/>
    <cellStyle name="Input %" xfId="16290"/>
    <cellStyle name="Input [yellow]" xfId="16291"/>
    <cellStyle name="Input [yellow] 2" xfId="16292"/>
    <cellStyle name="Input 1" xfId="16293"/>
    <cellStyle name="Input 10" xfId="16294"/>
    <cellStyle name="Input 100" xfId="18909"/>
    <cellStyle name="Input 101" xfId="18910"/>
    <cellStyle name="Input 102" xfId="18911"/>
    <cellStyle name="Input 103" xfId="18912"/>
    <cellStyle name="Input 104" xfId="18913"/>
    <cellStyle name="Input 105" xfId="18914"/>
    <cellStyle name="Input 106" xfId="18915"/>
    <cellStyle name="Input 107" xfId="18916"/>
    <cellStyle name="Input 108" xfId="18917"/>
    <cellStyle name="Input 109" xfId="18918"/>
    <cellStyle name="Input 11" xfId="16295"/>
    <cellStyle name="Input 110" xfId="18919"/>
    <cellStyle name="Input 111" xfId="18920"/>
    <cellStyle name="Input 112" xfId="18921"/>
    <cellStyle name="Input 113" xfId="18922"/>
    <cellStyle name="Input 114" xfId="18923"/>
    <cellStyle name="Input 115" xfId="18924"/>
    <cellStyle name="Input 116" xfId="18925"/>
    <cellStyle name="Input 117" xfId="18926"/>
    <cellStyle name="Input 118" xfId="18927"/>
    <cellStyle name="Input 119" xfId="18928"/>
    <cellStyle name="Input 12" xfId="16296"/>
    <cellStyle name="Input 120" xfId="18929"/>
    <cellStyle name="Input 121" xfId="18930"/>
    <cellStyle name="Input 122" xfId="18931"/>
    <cellStyle name="Input 123" xfId="18932"/>
    <cellStyle name="Input 124" xfId="18933"/>
    <cellStyle name="Input 125" xfId="18934"/>
    <cellStyle name="Input 126" xfId="18935"/>
    <cellStyle name="Input 127" xfId="18936"/>
    <cellStyle name="Input 128" xfId="18937"/>
    <cellStyle name="Input 129" xfId="18938"/>
    <cellStyle name="Input 13" xfId="16297"/>
    <cellStyle name="Input 130" xfId="18939"/>
    <cellStyle name="Input 131" xfId="18940"/>
    <cellStyle name="Input 132" xfId="18941"/>
    <cellStyle name="Input 133" xfId="18942"/>
    <cellStyle name="Input 134" xfId="18943"/>
    <cellStyle name="Input 135" xfId="18944"/>
    <cellStyle name="Input 136" xfId="18945"/>
    <cellStyle name="Input 137" xfId="18946"/>
    <cellStyle name="Input 138" xfId="18947"/>
    <cellStyle name="Input 139" xfId="18948"/>
    <cellStyle name="Input 14" xfId="16298"/>
    <cellStyle name="Input 140" xfId="18949"/>
    <cellStyle name="Input 141" xfId="18950"/>
    <cellStyle name="Input 142" xfId="18951"/>
    <cellStyle name="Input 143" xfId="18952"/>
    <cellStyle name="Input 144" xfId="18953"/>
    <cellStyle name="Input 15" xfId="16299"/>
    <cellStyle name="Input 16" xfId="16300"/>
    <cellStyle name="Input 17" xfId="16301"/>
    <cellStyle name="Input 18" xfId="16302"/>
    <cellStyle name="Input 19" xfId="16303"/>
    <cellStyle name="input 2" xfId="16304"/>
    <cellStyle name="Input 2 2" xfId="16305"/>
    <cellStyle name="Input 2 3" xfId="16306"/>
    <cellStyle name="Input 2 4" xfId="16307"/>
    <cellStyle name="Input 20" xfId="16308"/>
    <cellStyle name="Input 21" xfId="16309"/>
    <cellStyle name="Input 22" xfId="16310"/>
    <cellStyle name="Input 23" xfId="16311"/>
    <cellStyle name="Input 24" xfId="16312"/>
    <cellStyle name="Input 25" xfId="16313"/>
    <cellStyle name="Input 26" xfId="16314"/>
    <cellStyle name="Input 27" xfId="16315"/>
    <cellStyle name="Input 28" xfId="16316"/>
    <cellStyle name="Input 29" xfId="16317"/>
    <cellStyle name="Input 3" xfId="16318"/>
    <cellStyle name="Input 3 2" xfId="16319"/>
    <cellStyle name="Input 3 3" xfId="16320"/>
    <cellStyle name="Input 30" xfId="16321"/>
    <cellStyle name="Input 31" xfId="16322"/>
    <cellStyle name="Input 32" xfId="16323"/>
    <cellStyle name="Input 33" xfId="16324"/>
    <cellStyle name="Input 34" xfId="16325"/>
    <cellStyle name="Input 35" xfId="16326"/>
    <cellStyle name="Input 36" xfId="16327"/>
    <cellStyle name="Input 37" xfId="16328"/>
    <cellStyle name="Input 38" xfId="16329"/>
    <cellStyle name="Input 39" xfId="16330"/>
    <cellStyle name="input 4" xfId="16331"/>
    <cellStyle name="Input 4 2" xfId="16332"/>
    <cellStyle name="Input 4 3" xfId="16333"/>
    <cellStyle name="Input 40" xfId="16334"/>
    <cellStyle name="Input 41" xfId="16335"/>
    <cellStyle name="Input 42" xfId="16336"/>
    <cellStyle name="Input 43" xfId="16337"/>
    <cellStyle name="Input 44" xfId="16338"/>
    <cellStyle name="Input 45" xfId="16339"/>
    <cellStyle name="Input 46" xfId="16340"/>
    <cellStyle name="Input 47" xfId="16341"/>
    <cellStyle name="Input 48" xfId="16342"/>
    <cellStyle name="Input 49" xfId="16343"/>
    <cellStyle name="input 5" xfId="16344"/>
    <cellStyle name="Input 50" xfId="16345"/>
    <cellStyle name="Input 51" xfId="16346"/>
    <cellStyle name="Input 52" xfId="16347"/>
    <cellStyle name="Input 53" xfId="16348"/>
    <cellStyle name="Input 54" xfId="16349"/>
    <cellStyle name="Input 55" xfId="16350"/>
    <cellStyle name="Input 56" xfId="16351"/>
    <cellStyle name="Input 57" xfId="16352"/>
    <cellStyle name="Input 58" xfId="16353"/>
    <cellStyle name="Input 59" xfId="16354"/>
    <cellStyle name="Input 6" xfId="16355"/>
    <cellStyle name="Input 60" xfId="16356"/>
    <cellStyle name="Input 61" xfId="16357"/>
    <cellStyle name="Input 62" xfId="16358"/>
    <cellStyle name="Input 63" xfId="16359"/>
    <cellStyle name="Input 64" xfId="16360"/>
    <cellStyle name="Input 65" xfId="16361"/>
    <cellStyle name="Input 66" xfId="16362"/>
    <cellStyle name="Input 67" xfId="18954"/>
    <cellStyle name="Input 68" xfId="18955"/>
    <cellStyle name="Input 69" xfId="18956"/>
    <cellStyle name="Input 7" xfId="16363"/>
    <cellStyle name="Input 70" xfId="18957"/>
    <cellStyle name="Input 71" xfId="18958"/>
    <cellStyle name="Input 72" xfId="18959"/>
    <cellStyle name="Input 73" xfId="18960"/>
    <cellStyle name="Input 74" xfId="18961"/>
    <cellStyle name="Input 75" xfId="18962"/>
    <cellStyle name="Input 76" xfId="18963"/>
    <cellStyle name="Input 77" xfId="18964"/>
    <cellStyle name="Input 78" xfId="18965"/>
    <cellStyle name="Input 79" xfId="18966"/>
    <cellStyle name="Input 8" xfId="16364"/>
    <cellStyle name="Input 80" xfId="18967"/>
    <cellStyle name="Input 81" xfId="18968"/>
    <cellStyle name="Input 82" xfId="18969"/>
    <cellStyle name="Input 83" xfId="18970"/>
    <cellStyle name="Input 84" xfId="18971"/>
    <cellStyle name="Input 85" xfId="18972"/>
    <cellStyle name="Input 86" xfId="18973"/>
    <cellStyle name="Input 87" xfId="18974"/>
    <cellStyle name="Input 88" xfId="18975"/>
    <cellStyle name="Input 89" xfId="18976"/>
    <cellStyle name="Input 9" xfId="16365"/>
    <cellStyle name="Input 90" xfId="18977"/>
    <cellStyle name="Input 91" xfId="18978"/>
    <cellStyle name="Input 92" xfId="18979"/>
    <cellStyle name="Input 93" xfId="18980"/>
    <cellStyle name="Input 94" xfId="18981"/>
    <cellStyle name="Input 95" xfId="18982"/>
    <cellStyle name="Input 96" xfId="18983"/>
    <cellStyle name="Input 97" xfId="18984"/>
    <cellStyle name="Input 98" xfId="18985"/>
    <cellStyle name="Input 99" xfId="18986"/>
    <cellStyle name="Input Cells" xfId="16366"/>
    <cellStyle name="InputPercent" xfId="16367"/>
    <cellStyle name="InputValue" xfId="16368"/>
    <cellStyle name="Inputvariablen" xfId="16369"/>
    <cellStyle name="Inputvariablen 2" xfId="16370"/>
    <cellStyle name="Insatisfaisant" xfId="16371"/>
    <cellStyle name="Jun" xfId="16372"/>
    <cellStyle name="keyin_Sample OS Model" xfId="16373"/>
    <cellStyle name="Kirsten" xfId="16374"/>
    <cellStyle name="Klaus-Pivot" xfId="16375"/>
    <cellStyle name="Komma [0]_~0040393" xfId="16376"/>
    <cellStyle name="Komma_~0040393" xfId="16377"/>
    <cellStyle name="leandro" xfId="16378"/>
    <cellStyle name="leandro 2" xfId="16379"/>
    <cellStyle name="left" xfId="16380"/>
    <cellStyle name="LeftSubtitle" xfId="16381"/>
    <cellStyle name="LeftSubtitle 2" xfId="16382"/>
    <cellStyle name="LeftSubtitle 3" xfId="16383"/>
    <cellStyle name="LeverCurrency" xfId="16384"/>
    <cellStyle name="LeverGRP" xfId="16385"/>
    <cellStyle name="Lien hypertexte visité_LemonadeORGscenarii.xls" xfId="16386"/>
    <cellStyle name="Lien hypertexte_~0008586" xfId="16387"/>
    <cellStyle name="LineUp" xfId="16388"/>
    <cellStyle name="LineUp 2" xfId="16389"/>
    <cellStyle name="Link Currency (0)" xfId="16390"/>
    <cellStyle name="Link Currency (0) 2" xfId="16391"/>
    <cellStyle name="Link Currency (0) 3" xfId="16392"/>
    <cellStyle name="Link Currency (2)" xfId="16393"/>
    <cellStyle name="Link Currency (2) 2" xfId="16394"/>
    <cellStyle name="Link Currency (2) 3" xfId="16395"/>
    <cellStyle name="Link Units (0)" xfId="16396"/>
    <cellStyle name="Link Units (0) 2" xfId="16397"/>
    <cellStyle name="Link Units (0) 3" xfId="16398"/>
    <cellStyle name="Link Units (1)" xfId="16399"/>
    <cellStyle name="Link Units (1) 2" xfId="16400"/>
    <cellStyle name="Link Units (1) 3" xfId="16401"/>
    <cellStyle name="Link Units (2)" xfId="16402"/>
    <cellStyle name="Link Units (2) 2" xfId="16403"/>
    <cellStyle name="Link Units (2) 3" xfId="16404"/>
    <cellStyle name="Linked Cell 10" xfId="16405"/>
    <cellStyle name="Linked Cell 11" xfId="16406"/>
    <cellStyle name="Linked Cell 2" xfId="16407"/>
    <cellStyle name="Linked Cell 2 2" xfId="16408"/>
    <cellStyle name="Linked Cell 2 3" xfId="16409"/>
    <cellStyle name="Linked Cell 2 4" xfId="16410"/>
    <cellStyle name="Linked Cell 3" xfId="16411"/>
    <cellStyle name="Linked Cell 3 2" xfId="16412"/>
    <cellStyle name="Linked Cell 4" xfId="16413"/>
    <cellStyle name="Linked Cell 4 2" xfId="16414"/>
    <cellStyle name="Linked Cell 5" xfId="16415"/>
    <cellStyle name="Linked Cell 6" xfId="16416"/>
    <cellStyle name="Linked Cell 7" xfId="16417"/>
    <cellStyle name="Linked Cell 8" xfId="16418"/>
    <cellStyle name="Linked Cell 9" xfId="16419"/>
    <cellStyle name="Linked Cells" xfId="16420"/>
    <cellStyle name="listprice" xfId="16421"/>
    <cellStyle name="Low Urgency" xfId="16422"/>
    <cellStyle name="m?ny_ACT96" xfId="16423"/>
    <cellStyle name="M·na" xfId="16424"/>
    <cellStyle name="M·na 2" xfId="16425"/>
    <cellStyle name="Major Task" xfId="16426"/>
    <cellStyle name="MDY" xfId="16427"/>
    <cellStyle name="Medium Urgency" xfId="16428"/>
    <cellStyle name="měny_04 - IBR" xfId="16429"/>
    <cellStyle name="meny_annex9015-VII" xfId="16430"/>
    <cellStyle name="měny_AR 1 E1bis 99.xls graf 1" xfId="16431"/>
    <cellStyle name="meny_AR tables 905 a" xfId="16432"/>
    <cellStyle name="měny_cenik" xfId="16433"/>
    <cellStyle name="meny_projectionprodvolumesblava" xfId="16434"/>
    <cellStyle name="Microsoft Excel found an error in the formula you entered. Do you want to accept the correction proposed below?_x000a__x000a_|_x000a__x000a_• To accept the correction, click Yes._x000a_• To close this message and correct the formula yourself, click No." xfId="16435"/>
    <cellStyle name="Migliaia (0)_~0060717" xfId="16436"/>
    <cellStyle name="Migliaia [0]_Bdg04_Indle" xfId="16437"/>
    <cellStyle name="Migliaia_~0060717" xfId="16438"/>
    <cellStyle name="mil" xfId="16439"/>
    <cellStyle name="mil 2" xfId="16440"/>
    <cellStyle name="mil 3" xfId="16441"/>
    <cellStyle name="Millares [0]_ DOBLE DES." xfId="16442"/>
    <cellStyle name="Millares_ DOBLE DES." xfId="16443"/>
    <cellStyle name="Millier  bordé" xfId="16444"/>
    <cellStyle name="Milliers [0]_!!!GO" xfId="16445"/>
    <cellStyle name="Milliers_!!!GO" xfId="16446"/>
    <cellStyle name="mine" xfId="16447"/>
    <cellStyle name="MLComma0" xfId="16448"/>
    <cellStyle name="MLDollar0" xfId="16449"/>
    <cellStyle name="MLEuro0" xfId="16450"/>
    <cellStyle name="MLMultiple0" xfId="16451"/>
    <cellStyle name="MLPercent0" xfId="16452"/>
    <cellStyle name="MLPound0" xfId="16453"/>
    <cellStyle name="MLYen0" xfId="16454"/>
    <cellStyle name="MMMYY" xfId="16455"/>
    <cellStyle name="Model" xfId="16456"/>
    <cellStyle name="Model 2" xfId="16457"/>
    <cellStyle name="Model 3" xfId="16458"/>
    <cellStyle name="Moeda [0]_0298" xfId="16459"/>
    <cellStyle name="Moeda_0298" xfId="16460"/>
    <cellStyle name="Moneda [0]_ DOBLE DES." xfId="16461"/>
    <cellStyle name="Moneda_ DOBLE DES." xfId="16462"/>
    <cellStyle name="Monétaire [0]_!!!GO" xfId="16463"/>
    <cellStyle name="Monetaire [0]_AR" xfId="16464"/>
    <cellStyle name="Monétaire [0]_AR" xfId="16465"/>
    <cellStyle name="Monetaire [0]_AR_06-Scorecard Phasing 09.2005 - 051005 (CARAT)" xfId="16466"/>
    <cellStyle name="Monétaire [0]_AR_06-Scorecard Phasing 09.2005 - 051005 (CARAT)" xfId="16467"/>
    <cellStyle name="Monetaire [0]_AR_06-Scorecard Phasing 12.2005 - 040106 (CARAT)" xfId="16468"/>
    <cellStyle name="Monétaire [0]_AR_06-Scorecard Phasing 12.2005 - 040106 (CARAT)" xfId="16469"/>
    <cellStyle name="Monetaire [0]_AR_cuadre sep04" xfId="16470"/>
    <cellStyle name="Monétaire [0]_AR_cuadre sep04" xfId="16471"/>
    <cellStyle name="Monetaire [0]_AR_EVA vs ACT07  YTD P11" xfId="16472"/>
    <cellStyle name="Monétaire [0]_AR_EVA vs ACT07  YTD P11" xfId="16473"/>
    <cellStyle name="Monetaire [0]_AR_EVA vs OB08  YTD P11" xfId="16474"/>
    <cellStyle name="Monétaire [0]_AR_EVA vs OB08  YTD P11" xfId="16475"/>
    <cellStyle name="Monetaire [0]_AR_EVA vs SEP MU3  YTD P11" xfId="16476"/>
    <cellStyle name="Monétaire [0]_AR_EVA vs SEP MU3  YTD P11" xfId="16477"/>
    <cellStyle name="Monetaire [0]_AR_EVA vs SEP MU3 P11 BIS" xfId="16478"/>
    <cellStyle name="Monétaire [0]_AR_EVA vs SEP MU3 P11 BIS" xfId="16479"/>
    <cellStyle name="Monetaire [0]_AR_Hoja de cálculo en 0603 Presentación CODI" xfId="16480"/>
    <cellStyle name="Monétaire [0]_AR_Hoja de cálculo en 0603 Presentación CODI" xfId="16481"/>
    <cellStyle name="Monetaire [0]_AR_Mensualización Vol E2 03" xfId="16482"/>
    <cellStyle name="Monétaire [0]_AR_Mensualización Vol E2 03" xfId="16483"/>
    <cellStyle name="Monetaire [0]_AR_P03 EVA vs OB09" xfId="16484"/>
    <cellStyle name="Monétaire [0]_AR_P03 EVA vs OB09" xfId="16485"/>
    <cellStyle name="Monetaire [0]_AR_Presentación E2'03-B04 (080803)" xfId="16486"/>
    <cellStyle name="Monétaire [0]_AR_Presentación E2'03-B04 (080803)" xfId="16487"/>
    <cellStyle name="Monetaire [0]_AR_PV_29_07_03" xfId="16488"/>
    <cellStyle name="Monétaire [0]_AR_PV_29_07_03" xfId="16489"/>
    <cellStyle name="Monetaire [0]_AR_SP 2005-2008 (base E1 2005) v260305" xfId="16490"/>
    <cellStyle name="Monétaire [0]_AR_SP 2005-2008 (base E1 2005) v260305" xfId="16491"/>
    <cellStyle name="Monetaire [0]_AR_YTD P03 EVA vs OB09" xfId="16492"/>
    <cellStyle name="Monétaire [0]_AR_YTD P03 EVA vs OB09" xfId="16493"/>
    <cellStyle name="Monetaire [0]_AR_YTD SUM" xfId="16494"/>
    <cellStyle name="Monétaire [0]_AR_YTD SUM" xfId="16495"/>
    <cellStyle name="Monetaire [0]_CanRes" xfId="16496"/>
    <cellStyle name="Monétaire [0]_CanRes" xfId="16497"/>
    <cellStyle name="Monetaire [0]_CanRes_06-Scorecard Phasing 09.2005 - 051005 (CARAT)" xfId="16498"/>
    <cellStyle name="Monétaire [0]_CanRes_06-Scorecard Phasing 09.2005 - 051005 (CARAT)" xfId="16499"/>
    <cellStyle name="Monetaire [0]_CanRes_06-Scorecard Phasing 12.2005 - 040106 (CARAT)" xfId="16500"/>
    <cellStyle name="Monétaire [0]_CanRes_06-Scorecard Phasing 12.2005 - 040106 (CARAT)" xfId="16501"/>
    <cellStyle name="Monetaire [0]_CanRes_cuadre sep04" xfId="16502"/>
    <cellStyle name="Monétaire [0]_CanRes_cuadre sep04" xfId="16503"/>
    <cellStyle name="Monetaire [0]_CanRes_EVA vs ACT07  YTD P11" xfId="16504"/>
    <cellStyle name="Monétaire [0]_CanRes_EVA vs ACT07  YTD P11" xfId="16505"/>
    <cellStyle name="Monetaire [0]_CanRes_EVA vs OB08  YTD P11" xfId="16506"/>
    <cellStyle name="Monétaire [0]_CanRes_EVA vs OB08  YTD P11" xfId="16507"/>
    <cellStyle name="Monetaire [0]_CanRes_EVA vs SEP MU3  YTD P11" xfId="16508"/>
    <cellStyle name="Monétaire [0]_CanRes_EVA vs SEP MU3  YTD P11" xfId="16509"/>
    <cellStyle name="Monetaire [0]_CanRes_EVA vs SEP MU3 P11 BIS" xfId="16510"/>
    <cellStyle name="Monétaire [0]_CanRes_EVA vs SEP MU3 P11 BIS" xfId="16511"/>
    <cellStyle name="Monetaire [0]_CanRes_Hoja de cálculo en 0603 Presentación CODI" xfId="16512"/>
    <cellStyle name="Monétaire [0]_CanRes_Hoja de cálculo en 0603 Presentación CODI" xfId="16513"/>
    <cellStyle name="Monetaire [0]_CanRes_Mensualización Vol E2 03" xfId="16514"/>
    <cellStyle name="Monétaire [0]_CanRes_Mensualización Vol E2 03" xfId="16515"/>
    <cellStyle name="Monetaire [0]_CanRes_P03 EVA vs OB09" xfId="16516"/>
    <cellStyle name="Monétaire [0]_CanRes_P03 EVA vs OB09" xfId="16517"/>
    <cellStyle name="Monetaire [0]_CanRes_Presentación E2'03-B04 (080803)" xfId="16518"/>
    <cellStyle name="Monétaire [0]_CanRes_Presentación E2'03-B04 (080803)" xfId="16519"/>
    <cellStyle name="Monetaire [0]_CanRes_PV_29_07_03" xfId="16520"/>
    <cellStyle name="Monétaire [0]_CanRes_PV_29_07_03" xfId="16521"/>
    <cellStyle name="Monetaire [0]_CanRes_SP 2005-2008 (base E1 2005) v260305" xfId="16522"/>
    <cellStyle name="Monétaire [0]_CanRes_SP 2005-2008 (base E1 2005) v260305" xfId="16523"/>
    <cellStyle name="Monetaire [0]_CanRes_YTD P03 EVA vs OB09" xfId="16524"/>
    <cellStyle name="Monétaire [0]_CanRes_YTD P03 EVA vs OB09" xfId="16525"/>
    <cellStyle name="Monetaire [0]_CanRes_YTD SUM" xfId="16526"/>
    <cellStyle name="Monétaire [0]_CanRes_YTD SUM" xfId="16527"/>
    <cellStyle name="Monetaire [0]_Ecart de ROP" xfId="16528"/>
    <cellStyle name="Monétaire [0]_Ecart de ROP" xfId="16529"/>
    <cellStyle name="Monetaire [0]_Ecart de ROP_06-Scorecard Phasing 09.2005 - 051005 (CARAT)" xfId="16530"/>
    <cellStyle name="Monétaire [0]_Ecart de ROP_06-Scorecard Phasing 09.2005 - 051005 (CARAT)" xfId="16531"/>
    <cellStyle name="Monetaire [0]_Ecart de ROP_06-Scorecard Phasing 12.2005 - 040106 (CARAT)" xfId="16532"/>
    <cellStyle name="Monétaire [0]_Ecart de ROP_06-Scorecard Phasing 12.2005 - 040106 (CARAT)" xfId="16533"/>
    <cellStyle name="Monetaire [0]_Ecart de ROP_cuadre sep04" xfId="16534"/>
    <cellStyle name="Monétaire [0]_Ecart de ROP_cuadre sep04" xfId="16535"/>
    <cellStyle name="Monetaire [0]_Ecart de ROP_EVA vs ACT07  YTD P11" xfId="16536"/>
    <cellStyle name="Monétaire [0]_Ecart de ROP_EVA vs ACT07  YTD P11" xfId="16537"/>
    <cellStyle name="Monetaire [0]_Ecart de ROP_EVA vs OB08  YTD P11" xfId="16538"/>
    <cellStyle name="Monétaire [0]_Ecart de ROP_EVA vs OB08  YTD P11" xfId="16539"/>
    <cellStyle name="Monetaire [0]_Ecart de ROP_EVA vs SEP MU3  YTD P11" xfId="16540"/>
    <cellStyle name="Monétaire [0]_Ecart de ROP_EVA vs SEP MU3  YTD P11" xfId="16541"/>
    <cellStyle name="Monetaire [0]_Ecart de ROP_EVA vs SEP MU3 P11 BIS" xfId="16542"/>
    <cellStyle name="Monétaire [0]_Ecart de ROP_EVA vs SEP MU3 P11 BIS" xfId="16543"/>
    <cellStyle name="Monetaire [0]_Ecart de ROP_Hoja de cálculo en 0603 Presentación CODI" xfId="16544"/>
    <cellStyle name="Monétaire [0]_Ecart de ROP_Hoja de cálculo en 0603 Presentación CODI" xfId="16545"/>
    <cellStyle name="Monetaire [0]_Ecart de ROP_Mensualización Vol E2 03" xfId="16546"/>
    <cellStyle name="Monétaire [0]_Ecart de ROP_Mensualización Vol E2 03" xfId="16547"/>
    <cellStyle name="Monetaire [0]_Ecart de ROP_P03 EVA vs OB09" xfId="16548"/>
    <cellStyle name="Monétaire [0]_Ecart de ROP_P03 EVA vs OB09" xfId="16549"/>
    <cellStyle name="Monetaire [0]_Ecart de ROP_Presentación E2'03-B04 (080803)" xfId="16550"/>
    <cellStyle name="Monétaire [0]_Ecart de ROP_Presentación E2'03-B04 (080803)" xfId="16551"/>
    <cellStyle name="Monetaire [0]_Ecart de ROP_PV_29_07_03" xfId="16552"/>
    <cellStyle name="Monétaire [0]_Ecart de ROP_PV_29_07_03" xfId="16553"/>
    <cellStyle name="Monetaire [0]_Ecart de ROP_SP 2005-2008 (base E1 2005) v260305" xfId="16554"/>
    <cellStyle name="Monétaire [0]_Ecart de ROP_SP 2005-2008 (base E1 2005) v260305" xfId="16555"/>
    <cellStyle name="Monetaire [0]_Ecart de ROP_YTD P03 EVA vs OB09" xfId="16556"/>
    <cellStyle name="Monétaire [0]_Ecart de ROP_YTD P03 EVA vs OB09" xfId="16557"/>
    <cellStyle name="Monetaire [0]_Ecart de ROP_YTD SUM" xfId="16558"/>
    <cellStyle name="Monétaire [0]_Ecart de ROP_YTD SUM" xfId="16559"/>
    <cellStyle name="Monetaire [0]_Eff Vol" xfId="16560"/>
    <cellStyle name="Monétaire [0]_Eff Vol" xfId="16561"/>
    <cellStyle name="Monetaire [0]_Eff Vol_06-Scorecard Phasing 09.2005 - 051005 (CARAT)" xfId="16562"/>
    <cellStyle name="Monétaire [0]_Eff Vol_06-Scorecard Phasing 09.2005 - 051005 (CARAT)" xfId="16563"/>
    <cellStyle name="Monetaire [0]_Eff Vol_06-Scorecard Phasing 12.2005 - 040106 (CARAT)" xfId="16564"/>
    <cellStyle name="Monétaire [0]_Eff Vol_06-Scorecard Phasing 12.2005 - 040106 (CARAT)" xfId="16565"/>
    <cellStyle name="Monetaire [0]_Eff Vol_cuadre sep04" xfId="16566"/>
    <cellStyle name="Monétaire [0]_Eff Vol_cuadre sep04" xfId="16567"/>
    <cellStyle name="Monetaire [0]_Eff Vol_EVA vs ACT07  YTD P11" xfId="16568"/>
    <cellStyle name="Monétaire [0]_Eff Vol_EVA vs ACT07  YTD P11" xfId="16569"/>
    <cellStyle name="Monetaire [0]_Eff Vol_EVA vs OB08  YTD P11" xfId="16570"/>
    <cellStyle name="Monétaire [0]_Eff Vol_EVA vs OB08  YTD P11" xfId="16571"/>
    <cellStyle name="Monetaire [0]_Eff Vol_EVA vs SEP MU3  YTD P11" xfId="16572"/>
    <cellStyle name="Monétaire [0]_Eff Vol_EVA vs SEP MU3  YTD P11" xfId="16573"/>
    <cellStyle name="Monetaire [0]_Eff Vol_EVA vs SEP MU3 P11 BIS" xfId="16574"/>
    <cellStyle name="Monétaire [0]_Eff Vol_EVA vs SEP MU3 P11 BIS" xfId="16575"/>
    <cellStyle name="Monetaire [0]_Eff Vol_Hoja de cálculo en 0603 Presentación CODI" xfId="16576"/>
    <cellStyle name="Monétaire [0]_Eff Vol_Hoja de cálculo en 0603 Presentación CODI" xfId="16577"/>
    <cellStyle name="Monetaire [0]_Eff Vol_Mensualización Vol E2 03" xfId="16578"/>
    <cellStyle name="Monétaire [0]_Eff Vol_Mensualización Vol E2 03" xfId="16579"/>
    <cellStyle name="Monetaire [0]_Eff Vol_P03 EVA vs OB09" xfId="16580"/>
    <cellStyle name="Monétaire [0]_Eff Vol_P03 EVA vs OB09" xfId="16581"/>
    <cellStyle name="Monetaire [0]_Eff Vol_Presentación E2'03-B04 (080803)" xfId="16582"/>
    <cellStyle name="Monétaire [0]_Eff Vol_Presentación E2'03-B04 (080803)" xfId="16583"/>
    <cellStyle name="Monetaire [0]_Eff Vol_PV_29_07_03" xfId="16584"/>
    <cellStyle name="Monétaire [0]_Eff Vol_PV_29_07_03" xfId="16585"/>
    <cellStyle name="Monetaire [0]_Eff Vol_SP 2005-2008 (base E1 2005) v260305" xfId="16586"/>
    <cellStyle name="Monétaire [0]_Eff Vol_SP 2005-2008 (base E1 2005) v260305" xfId="16587"/>
    <cellStyle name="Monetaire [0]_Eff Vol_YTD P03 EVA vs OB09" xfId="16588"/>
    <cellStyle name="Monétaire [0]_Eff Vol_YTD P03 EVA vs OB09" xfId="16589"/>
    <cellStyle name="Monetaire [0]_Eff Vol_YTD SUM" xfId="16590"/>
    <cellStyle name="Monétaire [0]_Eff Vol_YTD SUM" xfId="16591"/>
    <cellStyle name="Monetaire [0]_EvMPAC" xfId="16592"/>
    <cellStyle name="Monétaire [0]_EvMPAC" xfId="16593"/>
    <cellStyle name="Monetaire [0]_EvMPAC_0503 Comparat sintético x formato" xfId="16594"/>
    <cellStyle name="Monétaire [0]_EvMPAC_0503 Comparat sintético x formato" xfId="16595"/>
    <cellStyle name="Monetaire [0]_EvMPAC_06-Scorecard Phasing 09.2005 - 051005 (CARAT)" xfId="16596"/>
    <cellStyle name="Monétaire [0]_EvMPAC_06-Scorecard Phasing 09.2005 - 051005 (CARAT)" xfId="16597"/>
    <cellStyle name="Monetaire [0]_EvMPAC_06-Scorecard Phasing 12.2005 - 040106 (CARAT)" xfId="16598"/>
    <cellStyle name="Monétaire [0]_EvMPAC_06-Scorecard Phasing 12.2005 - 040106 (CARAT)" xfId="16599"/>
    <cellStyle name="Monetaire [0]_EvMPAC_cuadre sep04" xfId="16600"/>
    <cellStyle name="Monétaire [0]_EvMPAC_cuadre sep04" xfId="16601"/>
    <cellStyle name="Monetaire [0]_EvMPAC_EVA vs ACT07  YTD P11" xfId="16602"/>
    <cellStyle name="Monétaire [0]_EvMPAC_EVA vs ACT07  YTD P11" xfId="16603"/>
    <cellStyle name="Monetaire [0]_EvMPAC_EVA vs OB08  YTD P11" xfId="16604"/>
    <cellStyle name="Monétaire [0]_EvMPAC_EVA vs OB08  YTD P11" xfId="16605"/>
    <cellStyle name="Monetaire [0]_EvMPAC_EVA vs SEP MU3  YTD P11" xfId="16606"/>
    <cellStyle name="Monétaire [0]_EvMPAC_EVA vs SEP MU3  YTD P11" xfId="16607"/>
    <cellStyle name="Monetaire [0]_EvMPAC_EVA vs SEP MU3 P11 BIS" xfId="16608"/>
    <cellStyle name="Monétaire [0]_EvMPAC_EVA vs SEP MU3 P11 BIS" xfId="16609"/>
    <cellStyle name="Monetaire [0]_EvMPAC_Hoja de cálculo en 0603 Presentación CODI" xfId="16610"/>
    <cellStyle name="Monétaire [0]_EvMPAC_Hoja de cálculo en 0603 Presentación CODI" xfId="16611"/>
    <cellStyle name="Monetaire [0]_EvMPAC_Hoja de cálculo en 0603 Presentación CODI_Presentación E2'03-B04 (080803)" xfId="16612"/>
    <cellStyle name="Monétaire [0]_EvMPAC_Hoja de cálculo en 0603 Presentación CODI_Presentación E2'03-B04 (080803)" xfId="16613"/>
    <cellStyle name="Monetaire [0]_EvMPAC_Mensualización Vol E2 03" xfId="16614"/>
    <cellStyle name="Monétaire [0]_EvMPAC_Mensualización Vol E2 03" xfId="16615"/>
    <cellStyle name="Monetaire [0]_EvMPAC_P03 EVA vs OB09" xfId="16616"/>
    <cellStyle name="Monétaire [0]_EvMPAC_P03 EVA vs OB09" xfId="16617"/>
    <cellStyle name="Monetaire [0]_EvMPAC_Presentación E2'03-B04 (080803)" xfId="16618"/>
    <cellStyle name="Monétaire [0]_EvMPAC_Presentación E2'03-B04 (080803)" xfId="16619"/>
    <cellStyle name="Monetaire [0]_EvMPAC_PV_29_07_03" xfId="16620"/>
    <cellStyle name="Monétaire [0]_EvMPAC_PV_29_07_03" xfId="16621"/>
    <cellStyle name="Monetaire [0]_EvMPAC_SP 2005-2008 (base E1 2005) v260305" xfId="16622"/>
    <cellStyle name="Monétaire [0]_EvMPAC_SP 2005-2008 (base E1 2005) v260305" xfId="16623"/>
    <cellStyle name="Monetaire [0]_EvMPAC_YTD P03 EVA vs OB09" xfId="16624"/>
    <cellStyle name="Monétaire [0]_EvMPAC_YTD P03 EVA vs OB09" xfId="16625"/>
    <cellStyle name="Monetaire [0]_EvMPAC_YTD SUM" xfId="16626"/>
    <cellStyle name="Monétaire [0]_EvMPAC_YTD SUM" xfId="16627"/>
    <cellStyle name="Monetaire [0]_NetNet" xfId="16628"/>
    <cellStyle name="Monétaire [0]_NetNet" xfId="16629"/>
    <cellStyle name="Monetaire [0]_NetNet_06-Scorecard Phasing 09.2005 - 051005 (CARAT)" xfId="16630"/>
    <cellStyle name="Monétaire [0]_NetNet_06-Scorecard Phasing 09.2005 - 051005 (CARAT)" xfId="16631"/>
    <cellStyle name="Monetaire [0]_NetNet_06-Scorecard Phasing 12.2005 - 040106 (CARAT)" xfId="16632"/>
    <cellStyle name="Monétaire [0]_NetNet_06-Scorecard Phasing 12.2005 - 040106 (CARAT)" xfId="16633"/>
    <cellStyle name="Monetaire [0]_NetNet_cuadre sep04" xfId="16634"/>
    <cellStyle name="Monétaire [0]_NetNet_cuadre sep04" xfId="16635"/>
    <cellStyle name="Monetaire [0]_NetNet_EVA vs ACT07  YTD P11" xfId="16636"/>
    <cellStyle name="Monétaire [0]_NetNet_EVA vs ACT07  YTD P11" xfId="16637"/>
    <cellStyle name="Monetaire [0]_NetNet_EVA vs OB08  YTD P11" xfId="16638"/>
    <cellStyle name="Monétaire [0]_NetNet_EVA vs OB08  YTD P11" xfId="16639"/>
    <cellStyle name="Monetaire [0]_NetNet_EVA vs SEP MU3  YTD P11" xfId="16640"/>
    <cellStyle name="Monétaire [0]_NetNet_EVA vs SEP MU3  YTD P11" xfId="16641"/>
    <cellStyle name="Monetaire [0]_NetNet_EVA vs SEP MU3 P11 BIS" xfId="16642"/>
    <cellStyle name="Monétaire [0]_NetNet_EVA vs SEP MU3 P11 BIS" xfId="16643"/>
    <cellStyle name="Monetaire [0]_NetNet_Hoja de cálculo en 0603 Presentación CODI" xfId="16644"/>
    <cellStyle name="Monétaire [0]_NetNet_Hoja de cálculo en 0603 Presentación CODI" xfId="16645"/>
    <cellStyle name="Monetaire [0]_NetNet_Mensualización Vol E2 03" xfId="16646"/>
    <cellStyle name="Monétaire [0]_NetNet_Mensualización Vol E2 03" xfId="16647"/>
    <cellStyle name="Monetaire [0]_NetNet_P03 EVA vs OB09" xfId="16648"/>
    <cellStyle name="Monétaire [0]_NetNet_P03 EVA vs OB09" xfId="16649"/>
    <cellStyle name="Monetaire [0]_NetNet_Presentación E2'03-B04 (080803)" xfId="16650"/>
    <cellStyle name="Monétaire [0]_NetNet_Presentación E2'03-B04 (080803)" xfId="16651"/>
    <cellStyle name="Monetaire [0]_NetNet_PV_29_07_03" xfId="16652"/>
    <cellStyle name="Monétaire [0]_NetNet_PV_29_07_03" xfId="16653"/>
    <cellStyle name="Monetaire [0]_NetNet_SP 2005-2008 (base E1 2005) v260305" xfId="16654"/>
    <cellStyle name="Monétaire [0]_NetNet_SP 2005-2008 (base E1 2005) v260305" xfId="16655"/>
    <cellStyle name="Monetaire [0]_NetNet_YTD P03 EVA vs OB09" xfId="16656"/>
    <cellStyle name="Monétaire [0]_NetNet_YTD P03 EVA vs OB09" xfId="16657"/>
    <cellStyle name="Monetaire [0]_NetNet_YTD SUM" xfId="16658"/>
    <cellStyle name="Monétaire [0]_NetNet_YTD SUM" xfId="16659"/>
    <cellStyle name="Monetaire [0]_RCE" xfId="16660"/>
    <cellStyle name="Monétaire [0]_RCE" xfId="16661"/>
    <cellStyle name="Monetaire [0]_RCE_06-Scorecard Phasing 09.2005 - 051005 (CARAT)" xfId="16662"/>
    <cellStyle name="Monétaire [0]_RCE_06-Scorecard Phasing 09.2005 - 051005 (CARAT)" xfId="16663"/>
    <cellStyle name="Monetaire [0]_RCE_06-Scorecard Phasing 12.2005 - 040106 (CARAT)" xfId="16664"/>
    <cellStyle name="Monétaire [0]_RCE_06-Scorecard Phasing 12.2005 - 040106 (CARAT)" xfId="16665"/>
    <cellStyle name="Monetaire [0]_RCE_cuadre sep04" xfId="16666"/>
    <cellStyle name="Monétaire [0]_RCE_cuadre sep04" xfId="16667"/>
    <cellStyle name="Monetaire [0]_RCE_EVA vs ACT07  YTD P11" xfId="16668"/>
    <cellStyle name="Monétaire [0]_RCE_EVA vs ACT07  YTD P11" xfId="16669"/>
    <cellStyle name="Monetaire [0]_RCE_EVA vs OB08  YTD P11" xfId="16670"/>
    <cellStyle name="Monétaire [0]_RCE_EVA vs OB08  YTD P11" xfId="16671"/>
    <cellStyle name="Monetaire [0]_RCE_EVA vs SEP MU3  YTD P11" xfId="16672"/>
    <cellStyle name="Monétaire [0]_RCE_EVA vs SEP MU3  YTD P11" xfId="16673"/>
    <cellStyle name="Monetaire [0]_RCE_EVA vs SEP MU3 P11 BIS" xfId="16674"/>
    <cellStyle name="Monétaire [0]_RCE_EVA vs SEP MU3 P11 BIS" xfId="16675"/>
    <cellStyle name="Monetaire [0]_RCE_Hoja de cálculo en 0603 Presentación CODI" xfId="16676"/>
    <cellStyle name="Monétaire [0]_RCE_Hoja de cálculo en 0603 Presentación CODI" xfId="16677"/>
    <cellStyle name="Monetaire [0]_RCE_Mensualización Vol E2 03" xfId="16678"/>
    <cellStyle name="Monétaire [0]_RCE_Mensualización Vol E2 03" xfId="16679"/>
    <cellStyle name="Monetaire [0]_RCE_P03 EVA vs OB09" xfId="16680"/>
    <cellStyle name="Monétaire [0]_RCE_P03 EVA vs OB09" xfId="16681"/>
    <cellStyle name="Monetaire [0]_RCE_Presentación E2'03-B04 (080803)" xfId="16682"/>
    <cellStyle name="Monétaire [0]_RCE_Presentación E2'03-B04 (080803)" xfId="16683"/>
    <cellStyle name="Monetaire [0]_RCE_PV_29_07_03" xfId="16684"/>
    <cellStyle name="Monétaire [0]_RCE_PV_29_07_03" xfId="16685"/>
    <cellStyle name="Monetaire [0]_RCE_SP 2005-2008 (base E1 2005) v260305" xfId="16686"/>
    <cellStyle name="Monétaire [0]_RCE_SP 2005-2008 (base E1 2005) v260305" xfId="16687"/>
    <cellStyle name="Monetaire [0]_RCE_YTD P03 EVA vs OB09" xfId="16688"/>
    <cellStyle name="Monétaire [0]_RCE_YTD P03 EVA vs OB09" xfId="16689"/>
    <cellStyle name="Monetaire [0]_RCE_YTD SUM" xfId="16690"/>
    <cellStyle name="Monétaire [0]_RCE_YTD SUM" xfId="16691"/>
    <cellStyle name="Monetaire [0]_TonGMS" xfId="16692"/>
    <cellStyle name="Monétaire [0]_TonGMS" xfId="16693"/>
    <cellStyle name="Monetaire [0]_TonGMS_06-Scorecard Phasing 09.2005 - 051005 (CARAT)" xfId="16694"/>
    <cellStyle name="Monétaire [0]_TonGMS_06-Scorecard Phasing 09.2005 - 051005 (CARAT)" xfId="16695"/>
    <cellStyle name="Monetaire [0]_TonGMS_06-Scorecard Phasing 12.2005 - 040106 (CARAT)" xfId="16696"/>
    <cellStyle name="Monétaire [0]_TonGMS_06-Scorecard Phasing 12.2005 - 040106 (CARAT)" xfId="16697"/>
    <cellStyle name="Monetaire [0]_TonGMS_cuadre sep04" xfId="16698"/>
    <cellStyle name="Monétaire [0]_TonGMS_cuadre sep04" xfId="16699"/>
    <cellStyle name="Monetaire [0]_TonGMS_EVA vs ACT07  YTD P11" xfId="16700"/>
    <cellStyle name="Monétaire [0]_TonGMS_EVA vs ACT07  YTD P11" xfId="16701"/>
    <cellStyle name="Monetaire [0]_TonGMS_EVA vs OB08  YTD P11" xfId="16702"/>
    <cellStyle name="Monétaire [0]_TonGMS_EVA vs OB08  YTD P11" xfId="16703"/>
    <cellStyle name="Monetaire [0]_TonGMS_EVA vs SEP MU3  YTD P11" xfId="16704"/>
    <cellStyle name="Monétaire [0]_TonGMS_EVA vs SEP MU3  YTD P11" xfId="16705"/>
    <cellStyle name="Monetaire [0]_TonGMS_EVA vs SEP MU3 P11 BIS" xfId="16706"/>
    <cellStyle name="Monétaire [0]_TonGMS_EVA vs SEP MU3 P11 BIS" xfId="16707"/>
    <cellStyle name="Monetaire [0]_TonGMS_Hoja de cálculo en 0603 Presentación CODI" xfId="16708"/>
    <cellStyle name="Monétaire [0]_TonGMS_Hoja de cálculo en 0603 Presentación CODI" xfId="16709"/>
    <cellStyle name="Monetaire [0]_TonGMS_Mensualización Vol E2 03" xfId="16710"/>
    <cellStyle name="Monétaire [0]_TonGMS_Mensualización Vol E2 03" xfId="16711"/>
    <cellStyle name="Monetaire [0]_TonGMS_P03 EVA vs OB09" xfId="16712"/>
    <cellStyle name="Monétaire [0]_TonGMS_P03 EVA vs OB09" xfId="16713"/>
    <cellStyle name="Monetaire [0]_TonGMS_Presentación E2'03-B04 (080803)" xfId="16714"/>
    <cellStyle name="Monétaire [0]_TonGMS_Presentación E2'03-B04 (080803)" xfId="16715"/>
    <cellStyle name="Monetaire [0]_TonGMS_PV_29_07_03" xfId="16716"/>
    <cellStyle name="Monétaire [0]_TonGMS_PV_29_07_03" xfId="16717"/>
    <cellStyle name="Monetaire [0]_TonGMS_SP 2005-2008 (base E1 2005) v260305" xfId="16718"/>
    <cellStyle name="Monétaire [0]_TonGMS_SP 2005-2008 (base E1 2005) v260305" xfId="16719"/>
    <cellStyle name="Monetaire [0]_TonGMS_YTD P03 EVA vs OB09" xfId="16720"/>
    <cellStyle name="Monétaire [0]_TonGMS_YTD P03 EVA vs OB09" xfId="16721"/>
    <cellStyle name="Monetaire [0]_TonGMS_YTD SUM" xfId="16722"/>
    <cellStyle name="Monétaire [0]_TonGMS_YTD SUM" xfId="16723"/>
    <cellStyle name="Monetaire [0]_TonRes" xfId="16724"/>
    <cellStyle name="Monétaire [0]_TonRes" xfId="16725"/>
    <cellStyle name="Monetaire [0]_TonRes_06-Scorecard Phasing 09.2005 - 051005 (CARAT)" xfId="16726"/>
    <cellStyle name="Monétaire [0]_TonRes_06-Scorecard Phasing 09.2005 - 051005 (CARAT)" xfId="16727"/>
    <cellStyle name="Monetaire [0]_TonRes_06-Scorecard Phasing 12.2005 - 040106 (CARAT)" xfId="16728"/>
    <cellStyle name="Monétaire [0]_TonRes_06-Scorecard Phasing 12.2005 - 040106 (CARAT)" xfId="16729"/>
    <cellStyle name="Monetaire [0]_TonRes_cuadre sep04" xfId="16730"/>
    <cellStyle name="Monétaire [0]_TonRes_cuadre sep04" xfId="16731"/>
    <cellStyle name="Monetaire [0]_TonRes_EVA vs ACT07  YTD P11" xfId="16732"/>
    <cellStyle name="Monétaire [0]_TonRes_EVA vs ACT07  YTD P11" xfId="16733"/>
    <cellStyle name="Monetaire [0]_TonRes_EVA vs OB08  YTD P11" xfId="16734"/>
    <cellStyle name="Monétaire [0]_TonRes_EVA vs OB08  YTD P11" xfId="16735"/>
    <cellStyle name="Monetaire [0]_TonRes_EVA vs SEP MU3  YTD P11" xfId="16736"/>
    <cellStyle name="Monétaire [0]_TonRes_EVA vs SEP MU3  YTD P11" xfId="16737"/>
    <cellStyle name="Monetaire [0]_TonRes_EVA vs SEP MU3 P11 BIS" xfId="16738"/>
    <cellStyle name="Monétaire [0]_TonRes_EVA vs SEP MU3 P11 BIS" xfId="16739"/>
    <cellStyle name="Monetaire [0]_TonRes_Hoja de cálculo en 0603 Presentación CODI" xfId="16740"/>
    <cellStyle name="Monétaire [0]_TonRes_Hoja de cálculo en 0603 Presentación CODI" xfId="16741"/>
    <cellStyle name="Monetaire [0]_TonRes_Mensualización Vol E2 03" xfId="16742"/>
    <cellStyle name="Monétaire [0]_TonRes_Mensualización Vol E2 03" xfId="16743"/>
    <cellStyle name="Monetaire [0]_TonRes_P03 EVA vs OB09" xfId="16744"/>
    <cellStyle name="Monétaire [0]_TonRes_P03 EVA vs OB09" xfId="16745"/>
    <cellStyle name="Monetaire [0]_TonRes_Presentación E2'03-B04 (080803)" xfId="16746"/>
    <cellStyle name="Monétaire [0]_TonRes_Presentación E2'03-B04 (080803)" xfId="16747"/>
    <cellStyle name="Monetaire [0]_TonRes_PV_29_07_03" xfId="16748"/>
    <cellStyle name="Monétaire [0]_TonRes_PV_29_07_03" xfId="16749"/>
    <cellStyle name="Monetaire [0]_TonRes_SP 2005-2008 (base E1 2005) v260305" xfId="16750"/>
    <cellStyle name="Monétaire [0]_TonRes_SP 2005-2008 (base E1 2005) v260305" xfId="16751"/>
    <cellStyle name="Monetaire [0]_TonRes_YTD P03 EVA vs OB09" xfId="16752"/>
    <cellStyle name="Monétaire [0]_TonRes_YTD P03 EVA vs OB09" xfId="16753"/>
    <cellStyle name="Monetaire [0]_TonRes_YTD SUM" xfId="16754"/>
    <cellStyle name="Monétaire [0]_TonRes_YTD SUM" xfId="16755"/>
    <cellStyle name="Monétaire_!!!GO" xfId="16756"/>
    <cellStyle name="Monetaire_AR" xfId="16757"/>
    <cellStyle name="Monétaire_AR" xfId="16758"/>
    <cellStyle name="Monetaire_AR_06-Scorecard Phasing 09.2005 - 051005 (CARAT)" xfId="16759"/>
    <cellStyle name="Monétaire_AR_06-Scorecard Phasing 09.2005 - 051005 (CARAT)" xfId="16760"/>
    <cellStyle name="Monetaire_AR_06-Scorecard Phasing 12.2005 - 040106 (CARAT)" xfId="16761"/>
    <cellStyle name="Monétaire_AR_06-Scorecard Phasing 12.2005 - 040106 (CARAT)" xfId="16762"/>
    <cellStyle name="Monetaire_AR_cuadre sep04" xfId="16763"/>
    <cellStyle name="Monétaire_AR_cuadre sep04" xfId="16764"/>
    <cellStyle name="Monetaire_AR_EVA vs ACT07  YTD P11" xfId="16765"/>
    <cellStyle name="Monétaire_AR_EVA vs ACT07  YTD P11" xfId="16766"/>
    <cellStyle name="Monetaire_AR_EVA vs OB08  YTD P11" xfId="16767"/>
    <cellStyle name="Monétaire_AR_EVA vs OB08  YTD P11" xfId="16768"/>
    <cellStyle name="Monetaire_AR_EVA vs SEP MU3  YTD P11" xfId="16769"/>
    <cellStyle name="Monétaire_AR_EVA vs SEP MU3  YTD P11" xfId="16770"/>
    <cellStyle name="Monetaire_AR_EVA vs SEP MU3 P11 BIS" xfId="16771"/>
    <cellStyle name="Monétaire_AR_EVA vs SEP MU3 P11 BIS" xfId="16772"/>
    <cellStyle name="Monetaire_AR_Hoja de cálculo en 0603 Presentación CODI" xfId="16773"/>
    <cellStyle name="Monétaire_AR_Hoja de cálculo en 0603 Presentación CODI" xfId="16774"/>
    <cellStyle name="Monetaire_AR_Mensualización Vol E2 03" xfId="16775"/>
    <cellStyle name="Monétaire_AR_Mensualización Vol E2 03" xfId="16776"/>
    <cellStyle name="Monetaire_AR_P03 EVA vs OB09" xfId="16777"/>
    <cellStyle name="Monétaire_AR_P03 EVA vs OB09" xfId="16778"/>
    <cellStyle name="Monetaire_AR_Presentación E2'03-B04 (080803)" xfId="16779"/>
    <cellStyle name="Monétaire_AR_Presentación E2'03-B04 (080803)" xfId="16780"/>
    <cellStyle name="Monetaire_AR_PV_29_07_03" xfId="16781"/>
    <cellStyle name="Monétaire_AR_PV_29_07_03" xfId="16782"/>
    <cellStyle name="Monetaire_AR_SP 2005-2008 (base E1 2005) v260305" xfId="16783"/>
    <cellStyle name="Monétaire_AR_SP 2005-2008 (base E1 2005) v260305" xfId="16784"/>
    <cellStyle name="Monetaire_AR_YTD P03 EVA vs OB09" xfId="16785"/>
    <cellStyle name="Monétaire_AR_YTD P03 EVA vs OB09" xfId="16786"/>
    <cellStyle name="Monetaire_AR_YTD SUM" xfId="16787"/>
    <cellStyle name="Monétaire_AR_YTD SUM" xfId="16788"/>
    <cellStyle name="Monetaire_CanRes" xfId="16789"/>
    <cellStyle name="Monétaire_CanRes" xfId="16790"/>
    <cellStyle name="Monetaire_CanRes_06-Scorecard Phasing 09.2005 - 051005 (CARAT)" xfId="16791"/>
    <cellStyle name="Monétaire_CanRes_06-Scorecard Phasing 09.2005 - 051005 (CARAT)" xfId="16792"/>
    <cellStyle name="Monetaire_CanRes_06-Scorecard Phasing 12.2005 - 040106 (CARAT)" xfId="16793"/>
    <cellStyle name="Monétaire_CanRes_06-Scorecard Phasing 12.2005 - 040106 (CARAT)" xfId="16794"/>
    <cellStyle name="Monetaire_CanRes_cuadre sep04" xfId="16795"/>
    <cellStyle name="Monétaire_CanRes_cuadre sep04" xfId="16796"/>
    <cellStyle name="Monetaire_CanRes_EVA vs ACT07  YTD P11" xfId="16797"/>
    <cellStyle name="Monétaire_CanRes_EVA vs ACT07  YTD P11" xfId="16798"/>
    <cellStyle name="Monetaire_CanRes_EVA vs OB08  YTD P11" xfId="16799"/>
    <cellStyle name="Monétaire_CanRes_EVA vs OB08  YTD P11" xfId="16800"/>
    <cellStyle name="Monetaire_CanRes_EVA vs SEP MU3  YTD P11" xfId="16801"/>
    <cellStyle name="Monétaire_CanRes_EVA vs SEP MU3  YTD P11" xfId="16802"/>
    <cellStyle name="Monetaire_CanRes_EVA vs SEP MU3 P11 BIS" xfId="16803"/>
    <cellStyle name="Monétaire_CanRes_EVA vs SEP MU3 P11 BIS" xfId="16804"/>
    <cellStyle name="Monetaire_CanRes_Hoja de cálculo en 0603 Presentación CODI" xfId="16805"/>
    <cellStyle name="Monétaire_CanRes_Hoja de cálculo en 0603 Presentación CODI" xfId="16806"/>
    <cellStyle name="Monetaire_CanRes_Mensualización Vol E2 03" xfId="16807"/>
    <cellStyle name="Monétaire_CanRes_Mensualización Vol E2 03" xfId="16808"/>
    <cellStyle name="Monetaire_CanRes_P03 EVA vs OB09" xfId="16809"/>
    <cellStyle name="Monétaire_CanRes_P03 EVA vs OB09" xfId="16810"/>
    <cellStyle name="Monetaire_CanRes_Presentación E2'03-B04 (080803)" xfId="16811"/>
    <cellStyle name="Monétaire_CanRes_Presentación E2'03-B04 (080803)" xfId="16812"/>
    <cellStyle name="Monetaire_CanRes_PV_29_07_03" xfId="16813"/>
    <cellStyle name="Monétaire_CanRes_PV_29_07_03" xfId="16814"/>
    <cellStyle name="Monetaire_CanRes_SP 2005-2008 (base E1 2005) v260305" xfId="16815"/>
    <cellStyle name="Monétaire_CanRes_SP 2005-2008 (base E1 2005) v260305" xfId="16816"/>
    <cellStyle name="Monetaire_CanRes_YTD P03 EVA vs OB09" xfId="16817"/>
    <cellStyle name="Monétaire_CanRes_YTD P03 EVA vs OB09" xfId="16818"/>
    <cellStyle name="Monetaire_CanRes_YTD SUM" xfId="16819"/>
    <cellStyle name="Monétaire_CanRes_YTD SUM" xfId="16820"/>
    <cellStyle name="Monetaire_Ecart de ROP" xfId="16821"/>
    <cellStyle name="Monétaire_Ecart de ROP" xfId="16822"/>
    <cellStyle name="Monetaire_Ecart de ROP_06-Scorecard Phasing 09.2005 - 051005 (CARAT)" xfId="16823"/>
    <cellStyle name="Monétaire_Ecart de ROP_06-Scorecard Phasing 09.2005 - 051005 (CARAT)" xfId="16824"/>
    <cellStyle name="Monetaire_Ecart de ROP_06-Scorecard Phasing 12.2005 - 040106 (CARAT)" xfId="16825"/>
    <cellStyle name="Monétaire_Ecart de ROP_06-Scorecard Phasing 12.2005 - 040106 (CARAT)" xfId="16826"/>
    <cellStyle name="Monetaire_Ecart de ROP_cuadre sep04" xfId="16827"/>
    <cellStyle name="Monétaire_Ecart de ROP_cuadre sep04" xfId="16828"/>
    <cellStyle name="Monetaire_Ecart de ROP_EVA vs ACT07  YTD P11" xfId="16829"/>
    <cellStyle name="Monétaire_Ecart de ROP_EVA vs ACT07  YTD P11" xfId="16830"/>
    <cellStyle name="Monetaire_Ecart de ROP_EVA vs OB08  YTD P11" xfId="16831"/>
    <cellStyle name="Monétaire_Ecart de ROP_EVA vs OB08  YTD P11" xfId="16832"/>
    <cellStyle name="Monetaire_Ecart de ROP_EVA vs SEP MU3  YTD P11" xfId="16833"/>
    <cellStyle name="Monétaire_Ecart de ROP_EVA vs SEP MU3  YTD P11" xfId="16834"/>
    <cellStyle name="Monetaire_Ecart de ROP_EVA vs SEP MU3 P11 BIS" xfId="16835"/>
    <cellStyle name="Monétaire_Ecart de ROP_EVA vs SEP MU3 P11 BIS" xfId="16836"/>
    <cellStyle name="Monetaire_Ecart de ROP_Hoja de cálculo en 0603 Presentación CODI" xfId="16837"/>
    <cellStyle name="Monétaire_Ecart de ROP_Hoja de cálculo en 0603 Presentación CODI" xfId="16838"/>
    <cellStyle name="Monetaire_Ecart de ROP_Mensualización Vol E2 03" xfId="16839"/>
    <cellStyle name="Monétaire_Ecart de ROP_Mensualización Vol E2 03" xfId="16840"/>
    <cellStyle name="Monetaire_Ecart de ROP_P03 EVA vs OB09" xfId="16841"/>
    <cellStyle name="Monétaire_Ecart de ROP_P03 EVA vs OB09" xfId="16842"/>
    <cellStyle name="Monetaire_Ecart de ROP_Presentación E2'03-B04 (080803)" xfId="16843"/>
    <cellStyle name="Monétaire_Ecart de ROP_Presentación E2'03-B04 (080803)" xfId="16844"/>
    <cellStyle name="Monetaire_Ecart de ROP_PV_29_07_03" xfId="16845"/>
    <cellStyle name="Monétaire_Ecart de ROP_PV_29_07_03" xfId="16846"/>
    <cellStyle name="Monetaire_Ecart de ROP_SP 2005-2008 (base E1 2005) v260305" xfId="16847"/>
    <cellStyle name="Monétaire_Ecart de ROP_SP 2005-2008 (base E1 2005) v260305" xfId="16848"/>
    <cellStyle name="Monetaire_Ecart de ROP_YTD P03 EVA vs OB09" xfId="16849"/>
    <cellStyle name="Monétaire_Ecart de ROP_YTD P03 EVA vs OB09" xfId="16850"/>
    <cellStyle name="Monetaire_Ecart de ROP_YTD SUM" xfId="16851"/>
    <cellStyle name="Monétaire_Ecart de ROP_YTD SUM" xfId="16852"/>
    <cellStyle name="Monetaire_Eff Vol" xfId="16853"/>
    <cellStyle name="Monétaire_Eff Vol" xfId="16854"/>
    <cellStyle name="Monetaire_Eff Vol_06-Scorecard Phasing 09.2005 - 051005 (CARAT)" xfId="16855"/>
    <cellStyle name="Monétaire_Eff Vol_06-Scorecard Phasing 09.2005 - 051005 (CARAT)" xfId="16856"/>
    <cellStyle name="Monetaire_Eff Vol_06-Scorecard Phasing 12.2005 - 040106 (CARAT)" xfId="16857"/>
    <cellStyle name="Monétaire_Eff Vol_06-Scorecard Phasing 12.2005 - 040106 (CARAT)" xfId="16858"/>
    <cellStyle name="Monetaire_Eff Vol_cuadre sep04" xfId="16859"/>
    <cellStyle name="Monétaire_Eff Vol_cuadre sep04" xfId="16860"/>
    <cellStyle name="Monetaire_Eff Vol_EVA vs ACT07  YTD P11" xfId="16861"/>
    <cellStyle name="Monétaire_Eff Vol_EVA vs ACT07  YTD P11" xfId="16862"/>
    <cellStyle name="Monetaire_Eff Vol_EVA vs OB08  YTD P11" xfId="16863"/>
    <cellStyle name="Monétaire_Eff Vol_EVA vs OB08  YTD P11" xfId="16864"/>
    <cellStyle name="Monetaire_Eff Vol_EVA vs SEP MU3  YTD P11" xfId="16865"/>
    <cellStyle name="Monétaire_Eff Vol_EVA vs SEP MU3  YTD P11" xfId="16866"/>
    <cellStyle name="Monetaire_Eff Vol_EVA vs SEP MU3 P11 BIS" xfId="16867"/>
    <cellStyle name="Monétaire_Eff Vol_EVA vs SEP MU3 P11 BIS" xfId="16868"/>
    <cellStyle name="Monetaire_Eff Vol_Hoja de cálculo en 0603 Presentación CODI" xfId="16869"/>
    <cellStyle name="Monétaire_Eff Vol_Hoja de cálculo en 0603 Presentación CODI" xfId="16870"/>
    <cellStyle name="Monetaire_Eff Vol_Mensualización Vol E2 03" xfId="16871"/>
    <cellStyle name="Monétaire_Eff Vol_Mensualización Vol E2 03" xfId="16872"/>
    <cellStyle name="Monetaire_Eff Vol_P03 EVA vs OB09" xfId="16873"/>
    <cellStyle name="Monétaire_Eff Vol_P03 EVA vs OB09" xfId="16874"/>
    <cellStyle name="Monetaire_Eff Vol_Presentación E2'03-B04 (080803)" xfId="16875"/>
    <cellStyle name="Monétaire_Eff Vol_Presentación E2'03-B04 (080803)" xfId="16876"/>
    <cellStyle name="Monetaire_Eff Vol_PV_29_07_03" xfId="16877"/>
    <cellStyle name="Monétaire_Eff Vol_PV_29_07_03" xfId="16878"/>
    <cellStyle name="Monetaire_Eff Vol_SP 2005-2008 (base E1 2005) v260305" xfId="16879"/>
    <cellStyle name="Monétaire_Eff Vol_SP 2005-2008 (base E1 2005) v260305" xfId="16880"/>
    <cellStyle name="Monetaire_Eff Vol_YTD P03 EVA vs OB09" xfId="16881"/>
    <cellStyle name="Monétaire_Eff Vol_YTD P03 EVA vs OB09" xfId="16882"/>
    <cellStyle name="Monetaire_Eff Vol_YTD SUM" xfId="16883"/>
    <cellStyle name="Monétaire_Eff Vol_YTD SUM" xfId="16884"/>
    <cellStyle name="Monetaire_EvMPAC" xfId="16885"/>
    <cellStyle name="Monétaire_EvMPAC" xfId="16886"/>
    <cellStyle name="Monetaire_EvMPAC_0503 Comparat sintético x formato" xfId="16887"/>
    <cellStyle name="Monétaire_EvMPAC_0503 Comparat sintético x formato" xfId="16888"/>
    <cellStyle name="Monetaire_EvMPAC_06-Scorecard Phasing 09.2005 - 051005 (CARAT)" xfId="16889"/>
    <cellStyle name="Monétaire_EvMPAC_06-Scorecard Phasing 09.2005 - 051005 (CARAT)" xfId="16890"/>
    <cellStyle name="Monetaire_EvMPAC_06-Scorecard Phasing 12.2005 - 040106 (CARAT)" xfId="16891"/>
    <cellStyle name="Monétaire_EvMPAC_06-Scorecard Phasing 12.2005 - 040106 (CARAT)" xfId="16892"/>
    <cellStyle name="Monetaire_EvMPAC_cuadre sep04" xfId="16893"/>
    <cellStyle name="Monétaire_EvMPAC_cuadre sep04" xfId="16894"/>
    <cellStyle name="Monetaire_EvMPAC_EVA vs ACT07  YTD P11" xfId="16895"/>
    <cellStyle name="Monétaire_EvMPAC_EVA vs ACT07  YTD P11" xfId="16896"/>
    <cellStyle name="Monetaire_EvMPAC_EVA vs OB08  YTD P11" xfId="16897"/>
    <cellStyle name="Monétaire_EvMPAC_EVA vs OB08  YTD P11" xfId="16898"/>
    <cellStyle name="Monetaire_EvMPAC_EVA vs SEP MU3  YTD P11" xfId="16899"/>
    <cellStyle name="Monétaire_EvMPAC_EVA vs SEP MU3  YTD P11" xfId="16900"/>
    <cellStyle name="Monetaire_EvMPAC_EVA vs SEP MU3 P11 BIS" xfId="16901"/>
    <cellStyle name="Monétaire_EvMPAC_EVA vs SEP MU3 P11 BIS" xfId="16902"/>
    <cellStyle name="Monetaire_EvMPAC_Hoja de cálculo en 0603 Presentación CODI" xfId="16903"/>
    <cellStyle name="Monétaire_EvMPAC_Hoja de cálculo en 0603 Presentación CODI" xfId="16904"/>
    <cellStyle name="Monetaire_EvMPAC_Hoja de cálculo en 0603 Presentación CODI_Presentación E2'03-B04 (080803)" xfId="16905"/>
    <cellStyle name="Monétaire_EvMPAC_Hoja de cálculo en 0603 Presentación CODI_Presentación E2'03-B04 (080803)" xfId="16906"/>
    <cellStyle name="Monetaire_EvMPAC_Mensualización Vol E2 03" xfId="16907"/>
    <cellStyle name="Monétaire_EvMPAC_Mensualización Vol E2 03" xfId="16908"/>
    <cellStyle name="Monetaire_EvMPAC_P03 EVA vs OB09" xfId="16909"/>
    <cellStyle name="Monétaire_EvMPAC_P03 EVA vs OB09" xfId="16910"/>
    <cellStyle name="Monetaire_EvMPAC_Presentación E2'03-B04 (080803)" xfId="16911"/>
    <cellStyle name="Monétaire_EvMPAC_Presentación E2'03-B04 (080803)" xfId="16912"/>
    <cellStyle name="Monetaire_EvMPAC_PV_29_07_03" xfId="16913"/>
    <cellStyle name="Monétaire_EvMPAC_PV_29_07_03" xfId="16914"/>
    <cellStyle name="Monetaire_EvMPAC_SP 2005-2008 (base E1 2005) v260305" xfId="16915"/>
    <cellStyle name="Monétaire_EvMPAC_SP 2005-2008 (base E1 2005) v260305" xfId="16916"/>
    <cellStyle name="Monetaire_EvMPAC_YTD P03 EVA vs OB09" xfId="16917"/>
    <cellStyle name="Monétaire_EvMPAC_YTD P03 EVA vs OB09" xfId="16918"/>
    <cellStyle name="Monetaire_EvMPAC_YTD SUM" xfId="16919"/>
    <cellStyle name="Monétaire_EvMPAC_YTD SUM" xfId="16920"/>
    <cellStyle name="Monetaire_INSTRUCT" xfId="16921"/>
    <cellStyle name="Monétaire_INSTRUCT" xfId="16922"/>
    <cellStyle name="Monetaire_INSTRUCT (2)" xfId="16923"/>
    <cellStyle name="Monétaire_INSTRUCT (2)" xfId="16924"/>
    <cellStyle name="Monetaire_INSTRUCT (2)_04--RESUMEN MARCAS" xfId="16925"/>
    <cellStyle name="Monétaire_INSTRUCT (2)_04--RESUMEN MARCAS" xfId="16926"/>
    <cellStyle name="Monetaire_INSTRUCT (2)_04--RESUMEN MARCAS_06-Scorecard Phasing 09.2005 - 051005 (CARAT)" xfId="16927"/>
    <cellStyle name="Monétaire_INSTRUCT (2)_04--RESUMEN MARCAS_06-Scorecard Phasing 09.2005 - 051005 (CARAT)" xfId="16928"/>
    <cellStyle name="Monetaire_INSTRUCT (2)_04--RESUMEN MARCAS_06-Scorecard Phasing 12.2005 - 040106 (CARAT)" xfId="16929"/>
    <cellStyle name="Monétaire_INSTRUCT (2)_04--RESUMEN MARCAS_06-Scorecard Phasing 12.2005 - 040106 (CARAT)" xfId="16930"/>
    <cellStyle name="Monetaire_INSTRUCT (2)_0503 Comparat sintético x formato" xfId="16931"/>
    <cellStyle name="Monétaire_INSTRUCT (2)_0503 Comparat sintético x formato" xfId="16932"/>
    <cellStyle name="Monetaire_INSTRUCT (2)_06-Scorecard Phasing 09.2005 - 051005 (CARAT)" xfId="16933"/>
    <cellStyle name="Monétaire_INSTRUCT (2)_06-Scorecard Phasing 09.2005 - 051005 (CARAT)" xfId="16934"/>
    <cellStyle name="Monetaire_INSTRUCT (2)_06-Scorecard Phasing 12.2005 - 040106 (CARAT)" xfId="16935"/>
    <cellStyle name="Monétaire_INSTRUCT (2)_06-Scorecard Phasing 12.2005 - 040106 (CARAT)" xfId="16936"/>
    <cellStyle name="Monetaire_INSTRUCT (2)_cuadre sep04" xfId="16937"/>
    <cellStyle name="Monétaire_INSTRUCT (2)_cuadre sep04" xfId="16938"/>
    <cellStyle name="Monetaire_INSTRUCT (2)_EVA vs ACT07  YTD P11" xfId="16939"/>
    <cellStyle name="Monétaire_INSTRUCT (2)_EVA vs ACT07  YTD P11" xfId="16940"/>
    <cellStyle name="Monetaire_INSTRUCT (2)_EVA vs OB08  YTD P11" xfId="16941"/>
    <cellStyle name="Monétaire_INSTRUCT (2)_EVA vs OB08  YTD P11" xfId="16942"/>
    <cellStyle name="Monetaire_INSTRUCT (2)_EVA vs SEP MU3  YTD P11" xfId="16943"/>
    <cellStyle name="Monétaire_INSTRUCT (2)_EVA vs SEP MU3  YTD P11" xfId="16944"/>
    <cellStyle name="Monetaire_INSTRUCT (2)_EVA vs SEP MU3 P11 BIS" xfId="16945"/>
    <cellStyle name="Monétaire_INSTRUCT (2)_EVA vs SEP MU3 P11 BIS" xfId="16946"/>
    <cellStyle name="Monetaire_INSTRUCT (2)_Hoja de cálculo en 0603 Presentación CODI" xfId="16947"/>
    <cellStyle name="Monétaire_INSTRUCT (2)_Hoja de cálculo en 0603 Presentación CODI" xfId="16948"/>
    <cellStyle name="Monetaire_INSTRUCT (2)_Mensualización Vol E2 03" xfId="16949"/>
    <cellStyle name="Monétaire_INSTRUCT (2)_Mensualización Vol E2 03" xfId="16950"/>
    <cellStyle name="Monetaire_INSTRUCT (2)_P03 EVA vs OB09" xfId="16951"/>
    <cellStyle name="Monétaire_INSTRUCT (2)_P03 EVA vs OB09" xfId="16952"/>
    <cellStyle name="Monetaire_INSTRUCT (2)_Presentación E2'03-B04 (080803)" xfId="16953"/>
    <cellStyle name="Monétaire_INSTRUCT (2)_Presentación E2'03-B04 (080803)" xfId="16954"/>
    <cellStyle name="Monetaire_INSTRUCT (2)_PV_29_07_03" xfId="16955"/>
    <cellStyle name="Monétaire_INSTRUCT (2)_PV_29_07_03" xfId="16956"/>
    <cellStyle name="Monetaire_INSTRUCT (2)_SP 2003-2008 (base E1'03) modificación cesiones.xls Gráfico 1" xfId="16957"/>
    <cellStyle name="Monétaire_INSTRUCT (2)_SP 2003-2008 (base E1'03) modificación cesiones.xls Gráfico 1" xfId="16958"/>
    <cellStyle name="Monetaire_INSTRUCT (2)_SP 2003-2008 (base E1'03) modificación cesiones.xls Gráfico 1_06-Scorecard Phasing 09.2005 - 051005 (CARAT)" xfId="16959"/>
    <cellStyle name="Monétaire_INSTRUCT (2)_SP 2003-2008 (base E1'03) modificación cesiones.xls Gráfico 1_06-Scorecard Phasing 09.2005 - 051005 (CARAT)" xfId="16960"/>
    <cellStyle name="Monetaire_INSTRUCT (2)_SP 2003-2008 (base E1'03) modificación cesiones.xls Gráfico 1_06-Scorecard Phasing 12.2005 - 040106 (CARAT)" xfId="16961"/>
    <cellStyle name="Monétaire_INSTRUCT (2)_SP 2003-2008 (base E1'03) modificación cesiones.xls Gráfico 1_06-Scorecard Phasing 12.2005 - 040106 (CARAT)" xfId="16962"/>
    <cellStyle name="Monetaire_INSTRUCT (2)_SP 2005-2008 (base E1 2005) v260305" xfId="16963"/>
    <cellStyle name="Monétaire_INSTRUCT (2)_SP 2005-2008 (base E1 2005) v260305" xfId="16964"/>
    <cellStyle name="Monetaire_INSTRUCT (2)_YTD P03 EVA vs OB09" xfId="16965"/>
    <cellStyle name="Monétaire_INSTRUCT (2)_YTD P03 EVA vs OB09" xfId="16966"/>
    <cellStyle name="Monetaire_INSTRUCT (2)_YTD SUM" xfId="16967"/>
    <cellStyle name="Monétaire_INSTRUCT (2)_YTD SUM" xfId="16968"/>
    <cellStyle name="Monetaire_INSTRUCT_04--RESUMEN MARCAS" xfId="16969"/>
    <cellStyle name="Monétaire_INSTRUCT_04--RESUMEN MARCAS" xfId="16970"/>
    <cellStyle name="Monetaire_INSTRUCT_04--RESUMEN MARCAS_06-Scorecard Phasing 09.2005 - 051005 (CARAT)" xfId="16971"/>
    <cellStyle name="Monétaire_INSTRUCT_04--RESUMEN MARCAS_06-Scorecard Phasing 09.2005 - 051005 (CARAT)" xfId="16972"/>
    <cellStyle name="Monetaire_INSTRUCT_04--RESUMEN MARCAS_06-Scorecard Phasing 12.2005 - 040106 (CARAT)" xfId="16973"/>
    <cellStyle name="Monétaire_INSTRUCT_04--RESUMEN MARCAS_06-Scorecard Phasing 12.2005 - 040106 (CARAT)" xfId="16974"/>
    <cellStyle name="Monetaire_INSTRUCT_0503 Comparat sintético x formato" xfId="16975"/>
    <cellStyle name="Monétaire_INSTRUCT_0503 Comparat sintético x formato" xfId="16976"/>
    <cellStyle name="Monetaire_INSTRUCT_06-Scorecard Phasing 09.2005 - 051005 (CARAT)" xfId="16977"/>
    <cellStyle name="Monétaire_INSTRUCT_06-Scorecard Phasing 09.2005 - 051005 (CARAT)" xfId="16978"/>
    <cellStyle name="Monetaire_INSTRUCT_06-Scorecard Phasing 12.2005 - 040106 (CARAT)" xfId="16979"/>
    <cellStyle name="Monétaire_INSTRUCT_06-Scorecard Phasing 12.2005 - 040106 (CARAT)" xfId="16980"/>
    <cellStyle name="Monetaire_INSTRUCT_cuadre sep04" xfId="16981"/>
    <cellStyle name="Monétaire_INSTRUCT_cuadre sep04" xfId="16982"/>
    <cellStyle name="Monetaire_INSTRUCT_EVA vs ACT07  YTD P11" xfId="16983"/>
    <cellStyle name="Monétaire_INSTRUCT_EVA vs ACT07  YTD P11" xfId="16984"/>
    <cellStyle name="Monetaire_INSTRUCT_EVA vs OB08  YTD P11" xfId="16985"/>
    <cellStyle name="Monétaire_INSTRUCT_EVA vs OB08  YTD P11" xfId="16986"/>
    <cellStyle name="Monetaire_INSTRUCT_EVA vs SEP MU3  YTD P11" xfId="16987"/>
    <cellStyle name="Monétaire_INSTRUCT_EVA vs SEP MU3  YTD P11" xfId="16988"/>
    <cellStyle name="Monetaire_INSTRUCT_EVA vs SEP MU3 P11 BIS" xfId="16989"/>
    <cellStyle name="Monétaire_INSTRUCT_EVA vs SEP MU3 P11 BIS" xfId="16990"/>
    <cellStyle name="Monetaire_INSTRUCT_Hoja de cálculo en 0603 Presentación CODI" xfId="16991"/>
    <cellStyle name="Monétaire_INSTRUCT_Hoja de cálculo en 0603 Presentación CODI" xfId="16992"/>
    <cellStyle name="Monetaire_INSTRUCT_Mensualización Vol E2 03" xfId="16993"/>
    <cellStyle name="Monétaire_INSTRUCT_Mensualización Vol E2 03" xfId="16994"/>
    <cellStyle name="Monetaire_INSTRUCT_P03 EVA vs OB09" xfId="16995"/>
    <cellStyle name="Monétaire_INSTRUCT_P03 EVA vs OB09" xfId="16996"/>
    <cellStyle name="Monetaire_INSTRUCT_Presentación E2'03-B04 (080803)" xfId="16997"/>
    <cellStyle name="Monétaire_INSTRUCT_Presentación E2'03-B04 (080803)" xfId="16998"/>
    <cellStyle name="Monetaire_INSTRUCT_PV_29_07_03" xfId="16999"/>
    <cellStyle name="Monétaire_INSTRUCT_PV_29_07_03" xfId="17000"/>
    <cellStyle name="Monetaire_INSTRUCT_SP 2003-2008 (base E1'03) modificación cesiones.xls Gráfico 1" xfId="17001"/>
    <cellStyle name="Monétaire_INSTRUCT_SP 2003-2008 (base E1'03) modificación cesiones.xls Gráfico 1" xfId="17002"/>
    <cellStyle name="Monetaire_INSTRUCT_SP 2003-2008 (base E1'03) modificación cesiones.xls Gráfico 1_06-Scorecard Phasing 09.2005 - 051005 (CARAT)" xfId="17003"/>
    <cellStyle name="Monétaire_INSTRUCT_SP 2003-2008 (base E1'03) modificación cesiones.xls Gráfico 1_06-Scorecard Phasing 09.2005 - 051005 (CARAT)" xfId="17004"/>
    <cellStyle name="Monetaire_INSTRUCT_SP 2003-2008 (base E1'03) modificación cesiones.xls Gráfico 1_06-Scorecard Phasing 12.2005 - 040106 (CARAT)" xfId="17005"/>
    <cellStyle name="Monétaire_INSTRUCT_SP 2003-2008 (base E1'03) modificación cesiones.xls Gráfico 1_06-Scorecard Phasing 12.2005 - 040106 (CARAT)" xfId="17006"/>
    <cellStyle name="Monetaire_INSTRUCT_SP 2005-2008 (base E1 2005) v260305" xfId="17007"/>
    <cellStyle name="Monétaire_INSTRUCT_SP 2005-2008 (base E1 2005) v260305" xfId="17008"/>
    <cellStyle name="Monetaire_INSTRUCT_YTD P03 EVA vs OB09" xfId="17009"/>
    <cellStyle name="Monétaire_INSTRUCT_YTD P03 EVA vs OB09" xfId="17010"/>
    <cellStyle name="Monetaire_INSTRUCT_YTD SUM" xfId="17011"/>
    <cellStyle name="Monétaire_INSTRUCT_YTD SUM" xfId="17012"/>
    <cellStyle name="Monetaire_NetNet" xfId="17013"/>
    <cellStyle name="Monétaire_NetNet" xfId="17014"/>
    <cellStyle name="Monetaire_NetNet_06-Scorecard Phasing 09.2005 - 051005 (CARAT)" xfId="17015"/>
    <cellStyle name="Monétaire_NetNet_06-Scorecard Phasing 09.2005 - 051005 (CARAT)" xfId="17016"/>
    <cellStyle name="Monetaire_NetNet_06-Scorecard Phasing 12.2005 - 040106 (CARAT)" xfId="17017"/>
    <cellStyle name="Monétaire_NetNet_06-Scorecard Phasing 12.2005 - 040106 (CARAT)" xfId="17018"/>
    <cellStyle name="Monetaire_NetNet_cuadre sep04" xfId="17019"/>
    <cellStyle name="Monétaire_NetNet_cuadre sep04" xfId="17020"/>
    <cellStyle name="Monetaire_NetNet_EVA vs ACT07  YTD P11" xfId="17021"/>
    <cellStyle name="Monétaire_NetNet_EVA vs ACT07  YTD P11" xfId="17022"/>
    <cellStyle name="Monetaire_NetNet_EVA vs OB08  YTD P11" xfId="17023"/>
    <cellStyle name="Monétaire_NetNet_EVA vs OB08  YTD P11" xfId="17024"/>
    <cellStyle name="Monetaire_NetNet_EVA vs SEP MU3  YTD P11" xfId="17025"/>
    <cellStyle name="Monétaire_NetNet_EVA vs SEP MU3  YTD P11" xfId="17026"/>
    <cellStyle name="Monetaire_NetNet_EVA vs SEP MU3 P11 BIS" xfId="17027"/>
    <cellStyle name="Monétaire_NetNet_EVA vs SEP MU3 P11 BIS" xfId="17028"/>
    <cellStyle name="Monetaire_NetNet_Hoja de cálculo en 0603 Presentación CODI" xfId="17029"/>
    <cellStyle name="Monétaire_NetNet_Hoja de cálculo en 0603 Presentación CODI" xfId="17030"/>
    <cellStyle name="Monetaire_NetNet_Mensualización Vol E2 03" xfId="17031"/>
    <cellStyle name="Monétaire_NetNet_Mensualización Vol E2 03" xfId="17032"/>
    <cellStyle name="Monetaire_NetNet_P03 EVA vs OB09" xfId="17033"/>
    <cellStyle name="Monétaire_NetNet_P03 EVA vs OB09" xfId="17034"/>
    <cellStyle name="Monetaire_NetNet_Presentación E2'03-B04 (080803)" xfId="17035"/>
    <cellStyle name="Monétaire_NetNet_Presentación E2'03-B04 (080803)" xfId="17036"/>
    <cellStyle name="Monetaire_NetNet_PV_29_07_03" xfId="17037"/>
    <cellStyle name="Monétaire_NetNet_PV_29_07_03" xfId="17038"/>
    <cellStyle name="Monetaire_NetNet_SP 2005-2008 (base E1 2005) v260305" xfId="17039"/>
    <cellStyle name="Monétaire_NetNet_SP 2005-2008 (base E1 2005) v260305" xfId="17040"/>
    <cellStyle name="Monetaire_NetNet_YTD P03 EVA vs OB09" xfId="17041"/>
    <cellStyle name="Monétaire_NetNet_YTD P03 EVA vs OB09" xfId="17042"/>
    <cellStyle name="Monetaire_NetNet_YTD SUM" xfId="17043"/>
    <cellStyle name="Monétaire_NetNet_YTD SUM" xfId="17044"/>
    <cellStyle name="Monetaire_RCE" xfId="17045"/>
    <cellStyle name="Monétaire_RCE" xfId="17046"/>
    <cellStyle name="Monetaire_RCE_06-Scorecard Phasing 09.2005 - 051005 (CARAT)" xfId="17047"/>
    <cellStyle name="Monétaire_RCE_06-Scorecard Phasing 09.2005 - 051005 (CARAT)" xfId="17048"/>
    <cellStyle name="Monetaire_RCE_06-Scorecard Phasing 12.2005 - 040106 (CARAT)" xfId="17049"/>
    <cellStyle name="Monétaire_RCE_06-Scorecard Phasing 12.2005 - 040106 (CARAT)" xfId="17050"/>
    <cellStyle name="Monetaire_RCE_cuadre sep04" xfId="17051"/>
    <cellStyle name="Monétaire_RCE_cuadre sep04" xfId="17052"/>
    <cellStyle name="Monetaire_RCE_EVA vs ACT07  YTD P11" xfId="17053"/>
    <cellStyle name="Monétaire_RCE_EVA vs ACT07  YTD P11" xfId="17054"/>
    <cellStyle name="Monetaire_RCE_EVA vs OB08  YTD P11" xfId="17055"/>
    <cellStyle name="Monétaire_RCE_EVA vs OB08  YTD P11" xfId="17056"/>
    <cellStyle name="Monetaire_RCE_EVA vs SEP MU3  YTD P11" xfId="17057"/>
    <cellStyle name="Monétaire_RCE_EVA vs SEP MU3  YTD P11" xfId="17058"/>
    <cellStyle name="Monetaire_RCE_EVA vs SEP MU3 P11 BIS" xfId="17059"/>
    <cellStyle name="Monétaire_RCE_EVA vs SEP MU3 P11 BIS" xfId="17060"/>
    <cellStyle name="Monetaire_RCE_Hoja de cálculo en 0603 Presentación CODI" xfId="17061"/>
    <cellStyle name="Monétaire_RCE_Hoja de cálculo en 0603 Presentación CODI" xfId="17062"/>
    <cellStyle name="Monetaire_RCE_Mensualización Vol E2 03" xfId="17063"/>
    <cellStyle name="Monétaire_RCE_Mensualización Vol E2 03" xfId="17064"/>
    <cellStyle name="Monetaire_RCE_P03 EVA vs OB09" xfId="17065"/>
    <cellStyle name="Monétaire_RCE_P03 EVA vs OB09" xfId="17066"/>
    <cellStyle name="Monetaire_RCE_Presentación E2'03-B04 (080803)" xfId="17067"/>
    <cellStyle name="Monétaire_RCE_Presentación E2'03-B04 (080803)" xfId="17068"/>
    <cellStyle name="Monetaire_RCE_PV_29_07_03" xfId="17069"/>
    <cellStyle name="Monétaire_RCE_PV_29_07_03" xfId="17070"/>
    <cellStyle name="Monetaire_RCE_SP 2005-2008 (base E1 2005) v260305" xfId="17071"/>
    <cellStyle name="Monétaire_RCE_SP 2005-2008 (base E1 2005) v260305" xfId="17072"/>
    <cellStyle name="Monetaire_RCE_YTD P03 EVA vs OB09" xfId="17073"/>
    <cellStyle name="Monétaire_RCE_YTD P03 EVA vs OB09" xfId="17074"/>
    <cellStyle name="Monetaire_RCE_YTD SUM" xfId="17075"/>
    <cellStyle name="Monétaire_RCE_YTD SUM" xfId="17076"/>
    <cellStyle name="Monetaire_TonGMS" xfId="17077"/>
    <cellStyle name="Monétaire_TonGMS" xfId="17078"/>
    <cellStyle name="Monetaire_TonGMS_06-Scorecard Phasing 09.2005 - 051005 (CARAT)" xfId="17079"/>
    <cellStyle name="Monétaire_TonGMS_06-Scorecard Phasing 09.2005 - 051005 (CARAT)" xfId="17080"/>
    <cellStyle name="Monetaire_TonGMS_06-Scorecard Phasing 12.2005 - 040106 (CARAT)" xfId="17081"/>
    <cellStyle name="Monétaire_TonGMS_06-Scorecard Phasing 12.2005 - 040106 (CARAT)" xfId="17082"/>
    <cellStyle name="Monetaire_TonGMS_cuadre sep04" xfId="17083"/>
    <cellStyle name="Monétaire_TonGMS_cuadre sep04" xfId="17084"/>
    <cellStyle name="Monetaire_TonGMS_EVA vs ACT07  YTD P11" xfId="17085"/>
    <cellStyle name="Monétaire_TonGMS_EVA vs ACT07  YTD P11" xfId="17086"/>
    <cellStyle name="Monetaire_TonGMS_EVA vs OB08  YTD P11" xfId="17087"/>
    <cellStyle name="Monétaire_TonGMS_EVA vs OB08  YTD P11" xfId="17088"/>
    <cellStyle name="Monetaire_TonGMS_EVA vs SEP MU3  YTD P11" xfId="17089"/>
    <cellStyle name="Monétaire_TonGMS_EVA vs SEP MU3  YTD P11" xfId="17090"/>
    <cellStyle name="Monetaire_TonGMS_EVA vs SEP MU3 P11 BIS" xfId="17091"/>
    <cellStyle name="Monétaire_TonGMS_EVA vs SEP MU3 P11 BIS" xfId="17092"/>
    <cellStyle name="Monetaire_TonGMS_Hoja de cálculo en 0603 Presentación CODI" xfId="17093"/>
    <cellStyle name="Monétaire_TonGMS_Hoja de cálculo en 0603 Presentación CODI" xfId="17094"/>
    <cellStyle name="Monetaire_TonGMS_Mensualización Vol E2 03" xfId="17095"/>
    <cellStyle name="Monétaire_TonGMS_Mensualización Vol E2 03" xfId="17096"/>
    <cellStyle name="Monetaire_TonGMS_P03 EVA vs OB09" xfId="17097"/>
    <cellStyle name="Monétaire_TonGMS_P03 EVA vs OB09" xfId="17098"/>
    <cellStyle name="Monetaire_TonGMS_Presentación E2'03-B04 (080803)" xfId="17099"/>
    <cellStyle name="Monétaire_TonGMS_Presentación E2'03-B04 (080803)" xfId="17100"/>
    <cellStyle name="Monetaire_TonGMS_PV_29_07_03" xfId="17101"/>
    <cellStyle name="Monétaire_TonGMS_PV_29_07_03" xfId="17102"/>
    <cellStyle name="Monetaire_TonGMS_SP 2005-2008 (base E1 2005) v260305" xfId="17103"/>
    <cellStyle name="Monétaire_TonGMS_SP 2005-2008 (base E1 2005) v260305" xfId="17104"/>
    <cellStyle name="Monetaire_TonGMS_YTD P03 EVA vs OB09" xfId="17105"/>
    <cellStyle name="Monétaire_TonGMS_YTD P03 EVA vs OB09" xfId="17106"/>
    <cellStyle name="Monetaire_TonGMS_YTD SUM" xfId="17107"/>
    <cellStyle name="Monétaire_TonGMS_YTD SUM" xfId="17108"/>
    <cellStyle name="Monetaire_TonRes" xfId="17109"/>
    <cellStyle name="Monétaire_TonRes" xfId="17110"/>
    <cellStyle name="Monetaire_TonRes_06-Scorecard Phasing 09.2005 - 051005 (CARAT)" xfId="17111"/>
    <cellStyle name="Monétaire_TonRes_06-Scorecard Phasing 09.2005 - 051005 (CARAT)" xfId="17112"/>
    <cellStyle name="Monetaire_TonRes_06-Scorecard Phasing 12.2005 - 040106 (CARAT)" xfId="17113"/>
    <cellStyle name="Monétaire_TonRes_06-Scorecard Phasing 12.2005 - 040106 (CARAT)" xfId="17114"/>
    <cellStyle name="Monetaire_TonRes_cuadre sep04" xfId="17115"/>
    <cellStyle name="Monétaire_TonRes_cuadre sep04" xfId="17116"/>
    <cellStyle name="Monetaire_TonRes_EVA vs ACT07  YTD P11" xfId="17117"/>
    <cellStyle name="Monétaire_TonRes_EVA vs ACT07  YTD P11" xfId="17118"/>
    <cellStyle name="Monetaire_TonRes_EVA vs OB08  YTD P11" xfId="17119"/>
    <cellStyle name="Monétaire_TonRes_EVA vs OB08  YTD P11" xfId="17120"/>
    <cellStyle name="Monetaire_TonRes_EVA vs SEP MU3  YTD P11" xfId="17121"/>
    <cellStyle name="Monétaire_TonRes_EVA vs SEP MU3  YTD P11" xfId="17122"/>
    <cellStyle name="Monetaire_TonRes_EVA vs SEP MU3 P11 BIS" xfId="17123"/>
    <cellStyle name="Monétaire_TonRes_EVA vs SEP MU3 P11 BIS" xfId="17124"/>
    <cellStyle name="Monetaire_TonRes_Hoja de cálculo en 0603 Presentación CODI" xfId="17125"/>
    <cellStyle name="Monétaire_TonRes_Hoja de cálculo en 0603 Presentación CODI" xfId="17126"/>
    <cellStyle name="Monetaire_TonRes_Mensualización Vol E2 03" xfId="17127"/>
    <cellStyle name="Monétaire_TonRes_Mensualización Vol E2 03" xfId="17128"/>
    <cellStyle name="Monetaire_TonRes_P03 EVA vs OB09" xfId="17129"/>
    <cellStyle name="Monétaire_TonRes_P03 EVA vs OB09" xfId="17130"/>
    <cellStyle name="Monetaire_TonRes_Presentación E2'03-B04 (080803)" xfId="17131"/>
    <cellStyle name="Monétaire_TonRes_Presentación E2'03-B04 (080803)" xfId="17132"/>
    <cellStyle name="Monetaire_TonRes_PV_29_07_03" xfId="17133"/>
    <cellStyle name="Monétaire_TonRes_PV_29_07_03" xfId="17134"/>
    <cellStyle name="Monetaire_TonRes_SP 2005-2008 (base E1 2005) v260305" xfId="17135"/>
    <cellStyle name="Monétaire_TonRes_SP 2005-2008 (base E1 2005) v260305" xfId="17136"/>
    <cellStyle name="Monetaire_TonRes_YTD P03 EVA vs OB09" xfId="17137"/>
    <cellStyle name="Monétaire_TonRes_YTD P03 EVA vs OB09" xfId="17138"/>
    <cellStyle name="Monetaire_TonRes_YTD SUM" xfId="17139"/>
    <cellStyle name="Monétaire_TonRes_YTD SUM" xfId="17140"/>
    <cellStyle name="Monetario" xfId="17141"/>
    <cellStyle name="Monetario 2" xfId="17142"/>
    <cellStyle name="Monetario0" xfId="17143"/>
    <cellStyle name="Month" xfId="17144"/>
    <cellStyle name="MS_English" xfId="17145"/>
    <cellStyle name="Multiple" xfId="17146"/>
    <cellStyle name="Multiple 2" xfId="17147"/>
    <cellStyle name="Multiple 3" xfId="17148"/>
    <cellStyle name="Nadpis1" xfId="17149"/>
    <cellStyle name="Nadpis1 2" xfId="17150"/>
    <cellStyle name="Nadpis2" xfId="17151"/>
    <cellStyle name="Nadpis2 2" xfId="17152"/>
    <cellStyle name="Naira" xfId="17153"/>
    <cellStyle name="Nedefinován" xfId="17154"/>
    <cellStyle name="Negatives" xfId="17155"/>
    <cellStyle name="Neutral 2" xfId="17156"/>
    <cellStyle name="Neutral 3" xfId="17157"/>
    <cellStyle name="Neutre" xfId="17158"/>
    <cellStyle name="Neutro" xfId="17159"/>
    <cellStyle name="New order" xfId="17160"/>
    <cellStyle name="NivelFila_1_Brand Board cons" xfId="17161"/>
    <cellStyle name="no dec" xfId="17162"/>
    <cellStyle name="Non d‚fini" xfId="17163"/>
    <cellStyle name="Non défini" xfId="17164"/>
    <cellStyle name="Normal" xfId="0" builtinId="0"/>
    <cellStyle name="Normal - Formatvorlage1" xfId="17165"/>
    <cellStyle name="Normal - Formatvorlage2" xfId="17166"/>
    <cellStyle name="Normal - Formatvorlage3" xfId="17167"/>
    <cellStyle name="Normal - Formatvorlage4" xfId="17168"/>
    <cellStyle name="Normal - Formatvorlage5" xfId="17169"/>
    <cellStyle name="Normal - Formatvorlage6" xfId="17170"/>
    <cellStyle name="Normal - Formatvorlage7" xfId="17171"/>
    <cellStyle name="Normal - Formatvorlage8" xfId="17172"/>
    <cellStyle name="Normal - Modelo1" xfId="17173"/>
    <cellStyle name="Normal - Modelo1 2" xfId="17174"/>
    <cellStyle name="Normal - Modelo2" xfId="17175"/>
    <cellStyle name="Normal - Modelo2 2" xfId="17176"/>
    <cellStyle name="Normal - Modelo3" xfId="17177"/>
    <cellStyle name="Normal - Modelo3 2" xfId="17178"/>
    <cellStyle name="Normal - Modelo4" xfId="17179"/>
    <cellStyle name="Normal - Modelo4 2" xfId="17180"/>
    <cellStyle name="Normal - Modelo5" xfId="17181"/>
    <cellStyle name="Normal - Modelo5 2" xfId="17182"/>
    <cellStyle name="Normal - Modelo6" xfId="17183"/>
    <cellStyle name="Normal - Modelo6 2" xfId="17184"/>
    <cellStyle name="Normal - Modelo7" xfId="17185"/>
    <cellStyle name="Normal - Modelo7 2" xfId="17186"/>
    <cellStyle name="Normal - Modelo8" xfId="17187"/>
    <cellStyle name="Normal - Modelo8 2" xfId="17188"/>
    <cellStyle name="Normal - Style1" xfId="17189"/>
    <cellStyle name="Normal - Style1 2" xfId="17190"/>
    <cellStyle name="Normal - Style2" xfId="17191"/>
    <cellStyle name="Normal - Style2 2" xfId="17192"/>
    <cellStyle name="Normal - Style3" xfId="17193"/>
    <cellStyle name="Normal - Style3 2" xfId="17194"/>
    <cellStyle name="Normal - Style4" xfId="17195"/>
    <cellStyle name="Normal - Style4 2" xfId="17196"/>
    <cellStyle name="Normal - Style5" xfId="17197"/>
    <cellStyle name="Normal - Style5 2" xfId="17198"/>
    <cellStyle name="Normal - Style6" xfId="17199"/>
    <cellStyle name="Normal - Style6 2" xfId="17200"/>
    <cellStyle name="Normal - Style7" xfId="17201"/>
    <cellStyle name="Normal - Style7 2" xfId="17202"/>
    <cellStyle name="Normal - Style8" xfId="17203"/>
    <cellStyle name="Normal - Style8 2" xfId="17204"/>
    <cellStyle name="Normal (1)" xfId="17205"/>
    <cellStyle name="Normal 10" xfId="17206"/>
    <cellStyle name="Normal 10 2" xfId="17207"/>
    <cellStyle name="Normal 10 2 2" xfId="17208"/>
    <cellStyle name="Normal 10 3" xfId="17209"/>
    <cellStyle name="Normal 10 4" xfId="17210"/>
    <cellStyle name="Normal 100" xfId="18987"/>
    <cellStyle name="Normal 101" xfId="18988"/>
    <cellStyle name="Normal 102" xfId="18989"/>
    <cellStyle name="Normal 103" xfId="18990"/>
    <cellStyle name="Normal 104" xfId="18991"/>
    <cellStyle name="Normal 105" xfId="18992"/>
    <cellStyle name="Normal 106" xfId="18993"/>
    <cellStyle name="Normal 107" xfId="18994"/>
    <cellStyle name="Normal 108" xfId="18995"/>
    <cellStyle name="Normal 109" xfId="18996"/>
    <cellStyle name="Normal 11" xfId="17211"/>
    <cellStyle name="Normal 11 2" xfId="17212"/>
    <cellStyle name="Normal 11 3" xfId="17213"/>
    <cellStyle name="Normal 110" xfId="18997"/>
    <cellStyle name="Normal 111" xfId="18998"/>
    <cellStyle name="Normal 112" xfId="18999"/>
    <cellStyle name="Normal 113" xfId="19000"/>
    <cellStyle name="Normal 114" xfId="19001"/>
    <cellStyle name="Normal 115" xfId="19002"/>
    <cellStyle name="Normal 116" xfId="19003"/>
    <cellStyle name="Normal 117" xfId="19004"/>
    <cellStyle name="Normal 118" xfId="19005"/>
    <cellStyle name="Normal 119" xfId="19006"/>
    <cellStyle name="Normal 12" xfId="17214"/>
    <cellStyle name="Normal 12 2" xfId="17215"/>
    <cellStyle name="Normal 12 3" xfId="17216"/>
    <cellStyle name="Normal 120" xfId="19007"/>
    <cellStyle name="Normal 121" xfId="19008"/>
    <cellStyle name="Normal 122" xfId="19009"/>
    <cellStyle name="Normal 123" xfId="19010"/>
    <cellStyle name="Normal 124" xfId="19011"/>
    <cellStyle name="Normal 125" xfId="19012"/>
    <cellStyle name="Normal 126" xfId="19013"/>
    <cellStyle name="Normal 127" xfId="19014"/>
    <cellStyle name="Normal 128" xfId="19015"/>
    <cellStyle name="Normal 129" xfId="19016"/>
    <cellStyle name="Normal 13" xfId="17217"/>
    <cellStyle name="Normal 13 2" xfId="17218"/>
    <cellStyle name="Normal 13 3" xfId="2"/>
    <cellStyle name="Normal 130" xfId="19017"/>
    <cellStyle name="Normal 131" xfId="19018"/>
    <cellStyle name="Normal 132" xfId="19019"/>
    <cellStyle name="Normal 133" xfId="19020"/>
    <cellStyle name="Normal 134" xfId="19021"/>
    <cellStyle name="Normal 135" xfId="19022"/>
    <cellStyle name="Normal 136" xfId="19023"/>
    <cellStyle name="Normal 137" xfId="19024"/>
    <cellStyle name="Normal 138" xfId="19025"/>
    <cellStyle name="Normal 139" xfId="19026"/>
    <cellStyle name="Normal 14" xfId="17219"/>
    <cellStyle name="Normal 14 2" xfId="17220"/>
    <cellStyle name="Normal 14 2 2" xfId="17221"/>
    <cellStyle name="Normal 140" xfId="19027"/>
    <cellStyle name="Normal 141" xfId="19028"/>
    <cellStyle name="Normal 142" xfId="19029"/>
    <cellStyle name="Normal 143" xfId="19030"/>
    <cellStyle name="Normal 144" xfId="19031"/>
    <cellStyle name="Normal 145" xfId="19032"/>
    <cellStyle name="Normal 146" xfId="19033"/>
    <cellStyle name="Normal 147" xfId="19034"/>
    <cellStyle name="Normal 148" xfId="19035"/>
    <cellStyle name="Normal 149" xfId="19036"/>
    <cellStyle name="Normal 15" xfId="1"/>
    <cellStyle name="Normal 150" xfId="19037"/>
    <cellStyle name="Normal 151" xfId="19038"/>
    <cellStyle name="Normal 152" xfId="19039"/>
    <cellStyle name="Normal 153" xfId="19040"/>
    <cellStyle name="Normal 154" xfId="19041"/>
    <cellStyle name="Normal 155" xfId="19042"/>
    <cellStyle name="Normal 156" xfId="19043"/>
    <cellStyle name="Normal 157" xfId="19044"/>
    <cellStyle name="Normal 158" xfId="19045"/>
    <cellStyle name="Normal 159" xfId="19046"/>
    <cellStyle name="Normal 16" xfId="17222"/>
    <cellStyle name="Normal 160" xfId="19047"/>
    <cellStyle name="Normal 17" xfId="17223"/>
    <cellStyle name="Normal 18" xfId="17224"/>
    <cellStyle name="Normal 19" xfId="17225"/>
    <cellStyle name="Normal 19 2" xfId="17226"/>
    <cellStyle name="Normal 19 2 2" xfId="17227"/>
    <cellStyle name="Normal 19 2 2 2" xfId="17228"/>
    <cellStyle name="Normal 19 2 2 2 2" xfId="17229"/>
    <cellStyle name="Normal 19 2 2 2_Sheet1" xfId="17230"/>
    <cellStyle name="Normal 19 2 2 3" xfId="17231"/>
    <cellStyle name="Normal 19 2 2_Sheet1" xfId="17232"/>
    <cellStyle name="Normal 19 2 3" xfId="17233"/>
    <cellStyle name="Normal 19 2 3 2" xfId="17234"/>
    <cellStyle name="Normal 19 2 3_Sheet1" xfId="17235"/>
    <cellStyle name="Normal 19 2 4" xfId="17236"/>
    <cellStyle name="Normal 19 2_Sheet1" xfId="17237"/>
    <cellStyle name="Normal 19 3" xfId="17238"/>
    <cellStyle name="Normal 19 3 2" xfId="17239"/>
    <cellStyle name="Normal 19 3 2 2" xfId="17240"/>
    <cellStyle name="Normal 19 3 2_Sheet1" xfId="17241"/>
    <cellStyle name="Normal 19 3 3" xfId="17242"/>
    <cellStyle name="Normal 19 3_Sheet1" xfId="17243"/>
    <cellStyle name="Normal 19 4" xfId="17244"/>
    <cellStyle name="Normal 19 4 2" xfId="17245"/>
    <cellStyle name="Normal 19 4_Sheet1" xfId="17246"/>
    <cellStyle name="Normal 19 5" xfId="17247"/>
    <cellStyle name="Normal 19_Sheet1" xfId="17248"/>
    <cellStyle name="Normal 2" xfId="17249"/>
    <cellStyle name="Normal 2 2" xfId="17250"/>
    <cellStyle name="Normal 2 2 2" xfId="17251"/>
    <cellStyle name="Normal 2 2 2 2" xfId="17252"/>
    <cellStyle name="Normal 2 2 3" xfId="17253"/>
    <cellStyle name="Normal 2 2_03_VRO Regions" xfId="19048"/>
    <cellStyle name="Normal 2 3" xfId="17254"/>
    <cellStyle name="Normal 2 3 2" xfId="17255"/>
    <cellStyle name="Normal 2 3_Sheet1" xfId="17256"/>
    <cellStyle name="Normal 2 4" xfId="17257"/>
    <cellStyle name="Normal 2_03_VRO Regions" xfId="19049"/>
    <cellStyle name="Normal 20" xfId="17258"/>
    <cellStyle name="Normal 21" xfId="17259"/>
    <cellStyle name="Normal 21 2" xfId="17260"/>
    <cellStyle name="Normal 21 2 2" xfId="17261"/>
    <cellStyle name="Normal 21 2 2 2" xfId="17262"/>
    <cellStyle name="Normal 21 2 2 2 2" xfId="17263"/>
    <cellStyle name="Normal 21 2 2 2_Sheet1" xfId="17264"/>
    <cellStyle name="Normal 21 2 2 3" xfId="17265"/>
    <cellStyle name="Normal 21 2 2_Sheet1" xfId="17266"/>
    <cellStyle name="Normal 21 2 3" xfId="17267"/>
    <cellStyle name="Normal 21 2 3 2" xfId="17268"/>
    <cellStyle name="Normal 21 2 3_Sheet1" xfId="17269"/>
    <cellStyle name="Normal 21 2 4" xfId="17270"/>
    <cellStyle name="Normal 21 2_Sheet1" xfId="17271"/>
    <cellStyle name="Normal 21 3" xfId="17272"/>
    <cellStyle name="Normal 21 3 2" xfId="17273"/>
    <cellStyle name="Normal 21 3 2 2" xfId="17274"/>
    <cellStyle name="Normal 21 3 2_Sheet1" xfId="17275"/>
    <cellStyle name="Normal 21 3 3" xfId="17276"/>
    <cellStyle name="Normal 21 3_Sheet1" xfId="17277"/>
    <cellStyle name="Normal 21 4" xfId="17278"/>
    <cellStyle name="Normal 21 4 2" xfId="17279"/>
    <cellStyle name="Normal 21 4_Sheet1" xfId="17280"/>
    <cellStyle name="Normal 21 5" xfId="17281"/>
    <cellStyle name="Normal 21_Sheet1" xfId="17282"/>
    <cellStyle name="Normal 22" xfId="17283"/>
    <cellStyle name="Normal 23" xfId="17284"/>
    <cellStyle name="Normal 24" xfId="17285"/>
    <cellStyle name="Normal 245 2" xfId="17286"/>
    <cellStyle name="Normal 25" xfId="17287"/>
    <cellStyle name="Normal 26" xfId="17288"/>
    <cellStyle name="Normal 27" xfId="17289"/>
    <cellStyle name="Normal 28" xfId="17290"/>
    <cellStyle name="Normal 29" xfId="17291"/>
    <cellStyle name="Normal 3" xfId="17292"/>
    <cellStyle name="Normal 3 2" xfId="17293"/>
    <cellStyle name="Normal 3 2 2" xfId="17294"/>
    <cellStyle name="Normal 3 2 3" xfId="17295"/>
    <cellStyle name="Normal 3 2 3 2" xfId="17296"/>
    <cellStyle name="Normal 3 2 3 2 2" xfId="17297"/>
    <cellStyle name="Normal 3 2 3 2 2 2" xfId="17298"/>
    <cellStyle name="Normal 3 2 3 2 2_Sheet1" xfId="17299"/>
    <cellStyle name="Normal 3 2 3 2 3" xfId="17300"/>
    <cellStyle name="Normal 3 2 3 2_Sheet1" xfId="17301"/>
    <cellStyle name="Normal 3 2 3 3" xfId="17302"/>
    <cellStyle name="Normal 3 2 3 3 2" xfId="17303"/>
    <cellStyle name="Normal 3 2 3 3_Sheet1" xfId="17304"/>
    <cellStyle name="Normal 3 2 3 4" xfId="17305"/>
    <cellStyle name="Normal 3 2 3_Sheet1" xfId="17306"/>
    <cellStyle name="Normal 3 2 4" xfId="17307"/>
    <cellStyle name="Normal 3 2 4 2" xfId="17308"/>
    <cellStyle name="Normal 3 2 4 2 2" xfId="17309"/>
    <cellStyle name="Normal 3 2 4 2_Sheet1" xfId="17310"/>
    <cellStyle name="Normal 3 2 4 3" xfId="17311"/>
    <cellStyle name="Normal 3 2 4_Sheet1" xfId="17312"/>
    <cellStyle name="Normal 3 2 5" xfId="17313"/>
    <cellStyle name="Normal 3 2 5 2" xfId="17314"/>
    <cellStyle name="Normal 3 2 5_Sheet1" xfId="17315"/>
    <cellStyle name="Normal 3 2 6" xfId="17316"/>
    <cellStyle name="Normal 3 2_Sheet1" xfId="17317"/>
    <cellStyle name="Normal 3 3" xfId="17318"/>
    <cellStyle name="Normal 3 4" xfId="17319"/>
    <cellStyle name="Normal 3 4 2" xfId="17320"/>
    <cellStyle name="Normal 3 4 2 2" xfId="17321"/>
    <cellStyle name="Normal 3 4 2 2 2" xfId="17322"/>
    <cellStyle name="Normal 3 4 2 2_Sheet1" xfId="17323"/>
    <cellStyle name="Normal 3 4 2 3" xfId="17324"/>
    <cellStyle name="Normal 3 4 2_Sheet1" xfId="17325"/>
    <cellStyle name="Normal 3 4 3" xfId="17326"/>
    <cellStyle name="Normal 3 4 3 2" xfId="17327"/>
    <cellStyle name="Normal 3 4 3_Sheet1" xfId="17328"/>
    <cellStyle name="Normal 3 4 4" xfId="17329"/>
    <cellStyle name="Normal 3 4_Sheet1" xfId="17330"/>
    <cellStyle name="Normal 3 5" xfId="17331"/>
    <cellStyle name="Normal 3 5 2" xfId="17332"/>
    <cellStyle name="Normal 3 5 2 2" xfId="17333"/>
    <cellStyle name="Normal 3 5 2_Sheet1" xfId="17334"/>
    <cellStyle name="Normal 3 5 3" xfId="17335"/>
    <cellStyle name="Normal 3 5_Sheet1" xfId="17336"/>
    <cellStyle name="Normal 3 6" xfId="17337"/>
    <cellStyle name="Normal 3 6 2" xfId="17338"/>
    <cellStyle name="Normal 3 6_Sheet1" xfId="17339"/>
    <cellStyle name="Normal 3 7" xfId="17340"/>
    <cellStyle name="Normal 3 8 2" xfId="17341"/>
    <cellStyle name="Normal 3_control" xfId="17342"/>
    <cellStyle name="Normal 30" xfId="17343"/>
    <cellStyle name="Normal 31" xfId="17344"/>
    <cellStyle name="Normal 32" xfId="17345"/>
    <cellStyle name="Normal 33" xfId="17346"/>
    <cellStyle name="Normal 34" xfId="17347"/>
    <cellStyle name="Normal 35" xfId="17348"/>
    <cellStyle name="Normal 36" xfId="17349"/>
    <cellStyle name="Normal 37" xfId="17350"/>
    <cellStyle name="Normal 38" xfId="17351"/>
    <cellStyle name="Normal 39" xfId="17352"/>
    <cellStyle name="Normal 4" xfId="17353"/>
    <cellStyle name="Normal 4 10" xfId="17354"/>
    <cellStyle name="Normal 4 2" xfId="17355"/>
    <cellStyle name="Normal 4 2 2" xfId="17356"/>
    <cellStyle name="Normal 4 3" xfId="17357"/>
    <cellStyle name="Normal 4 4" xfId="17358"/>
    <cellStyle name="Normal 4_03_VRO Regions" xfId="19050"/>
    <cellStyle name="Normal 40" xfId="17359"/>
    <cellStyle name="Normal 41" xfId="17360"/>
    <cellStyle name="Normal 42" xfId="17361"/>
    <cellStyle name="Normal 43" xfId="17362"/>
    <cellStyle name="Normal 43 2" xfId="17363"/>
    <cellStyle name="Normal 43 2 2" xfId="17364"/>
    <cellStyle name="Normal 43 2 2 2" xfId="17365"/>
    <cellStyle name="Normal 43 2 2_Sheet1" xfId="17366"/>
    <cellStyle name="Normal 43 2 3" xfId="17367"/>
    <cellStyle name="Normal 43 2_Sheet1" xfId="17368"/>
    <cellStyle name="Normal 43 3" xfId="17369"/>
    <cellStyle name="Normal 43 3 2" xfId="17370"/>
    <cellStyle name="Normal 43 3_Sheet1" xfId="17371"/>
    <cellStyle name="Normal 43 4" xfId="17372"/>
    <cellStyle name="Normal 43_Sheet1" xfId="17373"/>
    <cellStyle name="Normal 44" xfId="17374"/>
    <cellStyle name="Normal 44 2" xfId="17375"/>
    <cellStyle name="Normal 44 2 2" xfId="17376"/>
    <cellStyle name="Normal 44 2 2 2" xfId="17377"/>
    <cellStyle name="Normal 44 2 2_Sheet1" xfId="17378"/>
    <cellStyle name="Normal 44 2 3" xfId="17379"/>
    <cellStyle name="Normal 44 2_Sheet1" xfId="17380"/>
    <cellStyle name="Normal 44 3" xfId="17381"/>
    <cellStyle name="Normal 44 3 2" xfId="17382"/>
    <cellStyle name="Normal 44 3_Sheet1" xfId="17383"/>
    <cellStyle name="Normal 44 4" xfId="17384"/>
    <cellStyle name="Normal 44_Sheet1" xfId="17385"/>
    <cellStyle name="Normal 45" xfId="17386"/>
    <cellStyle name="Normal 46" xfId="17387"/>
    <cellStyle name="Normal 47" xfId="17388"/>
    <cellStyle name="Normal 48" xfId="17389"/>
    <cellStyle name="Normal 49" xfId="17390"/>
    <cellStyle name="Normal 49 2" xfId="17391"/>
    <cellStyle name="Normal 49 2 2" xfId="17392"/>
    <cellStyle name="Normal 49 2_Sheet1" xfId="17393"/>
    <cellStyle name="Normal 49 3" xfId="17394"/>
    <cellStyle name="Normal 49_Sheet1" xfId="17395"/>
    <cellStyle name="Normal 5" xfId="17396"/>
    <cellStyle name="Normal 5 2" xfId="17397"/>
    <cellStyle name="Normal 5 3" xfId="17398"/>
    <cellStyle name="Normal 5 4" xfId="17399"/>
    <cellStyle name="Normal 5_Sheet1" xfId="17400"/>
    <cellStyle name="Normal 50" xfId="17401"/>
    <cellStyle name="Normal 51" xfId="17402"/>
    <cellStyle name="Normal 52" xfId="17403"/>
    <cellStyle name="Normal 53" xfId="17404"/>
    <cellStyle name="Normal 54" xfId="17405"/>
    <cellStyle name="Normal 55" xfId="17406"/>
    <cellStyle name="Normal 55 2" xfId="17407"/>
    <cellStyle name="Normal 55_Sheet1" xfId="17408"/>
    <cellStyle name="Normal 56" xfId="17409"/>
    <cellStyle name="Normal 57" xfId="17410"/>
    <cellStyle name="Normal 58" xfId="17411"/>
    <cellStyle name="Normal 59" xfId="17412"/>
    <cellStyle name="Normal 59 2" xfId="17413"/>
    <cellStyle name="Normal 6" xfId="17414"/>
    <cellStyle name="Normal 6 2" xfId="17415"/>
    <cellStyle name="Normal 6 3" xfId="17416"/>
    <cellStyle name="Normal 6_Sheet1" xfId="17417"/>
    <cellStyle name="Normal 60" xfId="17418"/>
    <cellStyle name="Normal 61" xfId="19051"/>
    <cellStyle name="Normal 62" xfId="19052"/>
    <cellStyle name="Normal 63" xfId="19053"/>
    <cellStyle name="Normal 64" xfId="19054"/>
    <cellStyle name="Normal 65" xfId="19055"/>
    <cellStyle name="Normal 66" xfId="19056"/>
    <cellStyle name="Normal 67" xfId="19057"/>
    <cellStyle name="Normal 68" xfId="19058"/>
    <cellStyle name="Normal 69" xfId="19059"/>
    <cellStyle name="Normal 7" xfId="17419"/>
    <cellStyle name="Normal 7 2" xfId="17420"/>
    <cellStyle name="Normal 7_SAVORBusCase_MKTNA10005_b_20090828 adj" xfId="17421"/>
    <cellStyle name="Normal 70" xfId="19060"/>
    <cellStyle name="Normal 71" xfId="19061"/>
    <cellStyle name="Normal 72" xfId="19062"/>
    <cellStyle name="Normal 73" xfId="19063"/>
    <cellStyle name="Normal 74" xfId="19064"/>
    <cellStyle name="Normal 75" xfId="19065"/>
    <cellStyle name="Normal 76" xfId="19066"/>
    <cellStyle name="Normal 77" xfId="19067"/>
    <cellStyle name="Normal 78" xfId="19068"/>
    <cellStyle name="Normal 79" xfId="19069"/>
    <cellStyle name="Normal 8" xfId="17422"/>
    <cellStyle name="Normal 8 2" xfId="17423"/>
    <cellStyle name="Normal 8 3" xfId="17424"/>
    <cellStyle name="Normal 8 4" xfId="17425"/>
    <cellStyle name="Normal 8_Sheet1" xfId="17426"/>
    <cellStyle name="Normal 80" xfId="19070"/>
    <cellStyle name="Normal 81" xfId="19071"/>
    <cellStyle name="Normal 82" xfId="19072"/>
    <cellStyle name="Normal 83" xfId="19073"/>
    <cellStyle name="Normal 84" xfId="19074"/>
    <cellStyle name="Normal 85" xfId="19075"/>
    <cellStyle name="Normal 86" xfId="19076"/>
    <cellStyle name="Normal 87" xfId="19077"/>
    <cellStyle name="Normal 88" xfId="19078"/>
    <cellStyle name="Normal 89" xfId="19079"/>
    <cellStyle name="Normal 9" xfId="17427"/>
    <cellStyle name="Normal 9 2" xfId="17428"/>
    <cellStyle name="Normal 9 3" xfId="17429"/>
    <cellStyle name="Normal 9 4" xfId="17430"/>
    <cellStyle name="Normal 9_Sheet1" xfId="17431"/>
    <cellStyle name="Normal 90" xfId="19080"/>
    <cellStyle name="Normal 91" xfId="19081"/>
    <cellStyle name="Normal 92" xfId="19082"/>
    <cellStyle name="Normal 93" xfId="19083"/>
    <cellStyle name="Normal 94" xfId="19084"/>
    <cellStyle name="Normal 95" xfId="19085"/>
    <cellStyle name="Normal 96" xfId="19086"/>
    <cellStyle name="Normal 97" xfId="19087"/>
    <cellStyle name="Normal 98" xfId="19088"/>
    <cellStyle name="Normal 99" xfId="19089"/>
    <cellStyle name="Normal welcome" xfId="17432"/>
    <cellStyle name="Normál_PLDT" xfId="17433"/>
    <cellStyle name="Normal2" xfId="17434"/>
    <cellStyle name="Normal2 2" xfId="17435"/>
    <cellStyle name="Normal6" xfId="17436"/>
    <cellStyle name="Normal6Red" xfId="17437"/>
    <cellStyle name="Normale_~0060717" xfId="17438"/>
    <cellStyle name="normálne_BLANKE7" xfId="17439"/>
    <cellStyle name="normální_04 - IBR" xfId="17440"/>
    <cellStyle name="Normalny__CAPEX_2007" xfId="17441"/>
    <cellStyle name="Not Applicable" xfId="17442"/>
    <cellStyle name="Not_Excession" xfId="17443"/>
    <cellStyle name="Nota" xfId="17444"/>
    <cellStyle name="Notas" xfId="17445"/>
    <cellStyle name="Note 2" xfId="17446"/>
    <cellStyle name="Note 2 2" xfId="17447"/>
    <cellStyle name="Note 2_Sheet1 (2)" xfId="19090"/>
    <cellStyle name="Note 3" xfId="17448"/>
    <cellStyle name="Note 3 2" xfId="17449"/>
    <cellStyle name="Note 4" xfId="17450"/>
    <cellStyle name="Note 5" xfId="17451"/>
    <cellStyle name="Note 5 2" xfId="17452"/>
    <cellStyle name="Note 5 3" xfId="17453"/>
    <cellStyle name="Note 6" xfId="17454"/>
    <cellStyle name="Note 7" xfId="17455"/>
    <cellStyle name="Note 8" xfId="17456"/>
    <cellStyle name="Note 9" xfId="17457"/>
    <cellStyle name="Notiz" xfId="17458"/>
    <cellStyle name="nPlode" xfId="17459"/>
    <cellStyle name="NumberBold" xfId="17460"/>
    <cellStyle name="NumberNoDec" xfId="17461"/>
    <cellStyle name="NumberPercent" xfId="17462"/>
    <cellStyle name="NumberVarDec" xfId="17463"/>
    <cellStyle name="Odwiedzone hiper??cze_Purchasing" xfId="17464"/>
    <cellStyle name="Odwiedzone hiperłącze_Purchasing" xfId="17465"/>
    <cellStyle name="Œ…‹??‚è [0.00]_Sheet1" xfId="17466"/>
    <cellStyle name="Œ…‹??‚è_Sheet1" xfId="17467"/>
    <cellStyle name="Œ…‹æØ‚è [0.00]_Area" xfId="17468"/>
    <cellStyle name="Œ…‹æØ‚è_Area" xfId="17469"/>
    <cellStyle name="oem name" xfId="17470"/>
    <cellStyle name="oft Excel]_x000d__x000a_Comment=The open=/f lines load custom functions into the Paste Function list._x000d__x000a_Maximized=1_x000d__x000a_Basics=1_x000d__x000a_A" xfId="17471"/>
    <cellStyle name="OHnplode" xfId="17472"/>
    <cellStyle name="Output 2" xfId="17473"/>
    <cellStyle name="Output 3" xfId="17474"/>
    <cellStyle name="Output Amounts" xfId="17475"/>
    <cellStyle name="Output Column Headings" xfId="17476"/>
    <cellStyle name="Output Line Items" xfId="17477"/>
    <cellStyle name="Output Report Heading" xfId="17478"/>
    <cellStyle name="Output Report Title" xfId="17479"/>
    <cellStyle name="Oچ_x0017__x0018__x0001_" xfId="17480"/>
    <cellStyle name="P" xfId="17481"/>
    <cellStyle name="P__P09 - Key Drivers KBE" xfId="17482"/>
    <cellStyle name="P__P10 - Key Drivers KBE" xfId="17483"/>
    <cellStyle name="P_AOP10 summary" xfId="17484"/>
    <cellStyle name="P_Category PnL Template_140910" xfId="17485"/>
    <cellStyle name="P_Category PnL Template_140910_Biscuits Actual Results P01" xfId="17486"/>
    <cellStyle name="P_Category PnL Template_140910_Biscuits Actual Results P02" xfId="17487"/>
    <cellStyle name="P_Category PnL Template_140910_Biscuits Actual Results P1 BIS" xfId="17488"/>
    <cellStyle name="P_Category PnL Template_140910_Biscuits Actual Results P10" xfId="17489"/>
    <cellStyle name="P_Category PnL Template_140910_Biscuits Actual Results P11" xfId="17490"/>
    <cellStyle name="P_Category PnL Template_140910_Biscuits Actual Results P12" xfId="17491"/>
    <cellStyle name="P_Category PnL Template_140910_Biscuits Actual Results P12 161210" xfId="17492"/>
    <cellStyle name="P_Category PnL Template_140910_Biscuits Actual Results P12 Conso T2" xfId="17493"/>
    <cellStyle name="P_Category PnL Template_140910_Category Template_Actuals" xfId="17494"/>
    <cellStyle name="P_Category PnL Template_140910_Category Template_Actuals NEW" xfId="17495"/>
    <cellStyle name="P_Category PnL Template_140910_VRAN YTD" xfId="17496"/>
    <cellStyle name="P_Category PnL Template_201010 (4)" xfId="17497"/>
    <cellStyle name="P_Category PnL Template_201010 (4)_Biscuits Actual Results P02" xfId="17498"/>
    <cellStyle name="P_Category PnL Template_201010 (4)_NC Drivers P10 T1" xfId="17499"/>
    <cellStyle name="P_Category PnL Template_201010 (4)_NC Drivers P10 T1_O&amp;R Nov Fc conso" xfId="17500"/>
    <cellStyle name="P_Category PnL Template_201010 (4)_O&amp;R Nov Fc conso" xfId="17501"/>
    <cellStyle name="P_Cheese" xfId="17502"/>
    <cellStyle name="P_Cost vs AugFcst_NovDec" xfId="17503"/>
    <cellStyle name="P_Cost vs AugFcst_NovDec_Opps&amp;Risks" xfId="17504"/>
    <cellStyle name="P_DWH  Quarterly Reports - working file" xfId="17505"/>
    <cellStyle name="P_DWH  Quarterly Reports - working file_OI Bridge 0" xfId="17506"/>
    <cellStyle name="P_DWH  Quarterly Reports - working file_OI Bridge 1" xfId="17507"/>
    <cellStyle name="P_DWH  Quarterly Reports 0311 - working file" xfId="17508"/>
    <cellStyle name="P_DWH  Quarterly Reports 0311 - working file_OI Bridge 0" xfId="17509"/>
    <cellStyle name="P_DWH  Quarterly Reports 0311 - working file_OI Bridge 1" xfId="17510"/>
    <cellStyle name="P_DWH 0413" xfId="17511"/>
    <cellStyle name="P_DWH 0413_OI Bridge 0" xfId="17512"/>
    <cellStyle name="P_DWH 0413_OI Bridge 1" xfId="17513"/>
    <cellStyle name="P_EVA vs PY - MTD" xfId="17514"/>
    <cellStyle name="P_EVA vs PY - MTD_KFE VRO &amp; VAs Source - (03-10) - inc. Cadbury" xfId="17515"/>
    <cellStyle name="P_EVA vs PY - MTD_KFE VRO &amp; VAs Source - (03-10) - inc. Cadbury_OI Bridge 0" xfId="17516"/>
    <cellStyle name="P_EVA vs PY - MTD_KFE VRO &amp; VAs Source - (03-10) - inc. Cadbury_OI Bridge 1" xfId="17517"/>
    <cellStyle name="P_EVA vs PY - MTD_OI Bridge 0" xfId="17518"/>
    <cellStyle name="P_EVA vs PY - MTD_OI Bridge 1" xfId="17519"/>
    <cellStyle name="P_International Chargeback Summary - 2_Sep 9" xfId="17520"/>
    <cellStyle name="P_KFE Coffee AOP10 Retrieves_Country Template" xfId="17521"/>
    <cellStyle name="P_KFE VRO &amp; VAs Source - (03-10) - excl. Cadbury" xfId="17522"/>
    <cellStyle name="P_KFE VRO &amp; VAs Source - (03-10) - excl. Cadbury_OI Bridge 0" xfId="17523"/>
    <cellStyle name="P_KFE VRO &amp; VAs Source - (03-10) - excl. Cadbury_OI Bridge 1" xfId="17524"/>
    <cellStyle name="P_KFNA EVAs &amp; Net Rev VAs vs PY - (11-09)" xfId="17525"/>
    <cellStyle name="P_KFNA EVAs &amp; Net Rev VAs vs PY - (11-09)_KFE VRO &amp; VAs Source - (03-10) - inc. Cadbury" xfId="17526"/>
    <cellStyle name="P_KFNA EVAs &amp; Net Rev VAs vs PY - (11-09)_KFE VRO &amp; VAs Source - (03-10) - inc. Cadbury_OI Bridge 0" xfId="17527"/>
    <cellStyle name="P_KFNA EVAs &amp; Net Rev VAs vs PY - (11-09)_KFE VRO &amp; VAs Source - (03-10) - inc. Cadbury_OI Bridge 1" xfId="17528"/>
    <cellStyle name="P_KFNA EVAs &amp; Net Rev VAs vs PY - (11-09)_OI Bridge 0" xfId="17529"/>
    <cellStyle name="P_KFNA EVAs &amp; Net Rev VAs vs PY - (11-09)_OI Bridge 1" xfId="17530"/>
    <cellStyle name="P_KFT EVA &amp; Net Revenue VA vs. PY source - (02-10) Rpt Ex" xfId="17531"/>
    <cellStyle name="P_KFT EVA &amp; Net Revenue VA vs. PY source - (02-10) Rpt Ex_OI Bridge 0" xfId="17532"/>
    <cellStyle name="P_KFT EVA &amp; Net Revenue VA vs. PY source - (02-10) Rpt Ex_OI Bridge 1" xfId="17533"/>
    <cellStyle name="P_KFT EVA &amp; Net Revenue VA vs. PY source - (06-10) - excl. Cadbury" xfId="17534"/>
    <cellStyle name="P_KFT EVA &amp; Net Revenue VA vs. PY source - (06-10) - excl. Cadbury_OI Bridge 0" xfId="17535"/>
    <cellStyle name="P_KFT EVA &amp; Net Revenue VA vs. PY source - (06-10) - excl. Cadbury_OI Bridge 1" xfId="17536"/>
    <cellStyle name="P_NF" xfId="17537"/>
    <cellStyle name="P_NF_ACT" xfId="17538"/>
    <cellStyle name="P_NF_ADJ" xfId="17539"/>
    <cellStyle name="P_NF_Cash Flow" xfId="17540"/>
    <cellStyle name="P_O&amp;R  @ Latest Fc" xfId="17541"/>
    <cellStyle name="P_O&amp;R  @ Latest Fc_Opps&amp;Risks" xfId="17542"/>
    <cellStyle name="P_Savings EU 20090907" xfId="17543"/>
    <cellStyle name="P_Savings EU 20090907_CNTY template WIP" xfId="17544"/>
    <cellStyle name="P_Savings EU 20090907_KFE Coffee NovFc" xfId="17545"/>
    <cellStyle name="P_Savings EU 20090907_KFE Coffee NovFc Test" xfId="17546"/>
    <cellStyle name="P_Savings EU 20090907_O&amp;R" xfId="17547"/>
    <cellStyle name="P_Savings EU 20090907_O&amp;R AFH" xfId="17548"/>
    <cellStyle name="P_YTD vs AOP" xfId="17549"/>
    <cellStyle name="P_YTD vs AUGFC" xfId="17550"/>
    <cellStyle name="P_YTD vs PY" xfId="17551"/>
    <cellStyle name="PACE" xfId="17552"/>
    <cellStyle name="PACE 2" xfId="17553"/>
    <cellStyle name="Page_Header" xfId="17554"/>
    <cellStyle name="Pallet" xfId="17555"/>
    <cellStyle name="Participant Names" xfId="17556"/>
    <cellStyle name="Pattern" xfId="17557"/>
    <cellStyle name="Pattern 2" xfId="17558"/>
    <cellStyle name="PAUL" xfId="17559"/>
    <cellStyle name="Penznem [0]_PLDT" xfId="17560"/>
    <cellStyle name="Pénznem [0]_PLDT" xfId="17561"/>
    <cellStyle name="Penznem [0]_PLDT_AOP10 summary" xfId="17562"/>
    <cellStyle name="Pénznem [0]_PLDT_AOP10 summary" xfId="17563"/>
    <cellStyle name="Penznem_PLDT" xfId="17564"/>
    <cellStyle name="Pénznem_PLDT" xfId="17565"/>
    <cellStyle name="Penznem_PLDT_AOP10 summary" xfId="17566"/>
    <cellStyle name="Pénznem_PLDT_AOP10 summary" xfId="17567"/>
    <cellStyle name="per.style" xfId="17568"/>
    <cellStyle name="Percen - Style1" xfId="17569"/>
    <cellStyle name="Percen - Style2" xfId="17570"/>
    <cellStyle name="Percen - Style3" xfId="17571"/>
    <cellStyle name="Percen - Style3 2" xfId="17572"/>
    <cellStyle name="Percent" xfId="19429" builtinId="5"/>
    <cellStyle name="Percent ()" xfId="17573"/>
    <cellStyle name="Percent (0)" xfId="17574"/>
    <cellStyle name="Percent (1)" xfId="17575"/>
    <cellStyle name="Percent (2)" xfId="17576"/>
    <cellStyle name="Percent [0]" xfId="17577"/>
    <cellStyle name="Percent [0] 2" xfId="17578"/>
    <cellStyle name="Percent [00]" xfId="17579"/>
    <cellStyle name="Percent [00] 2" xfId="17580"/>
    <cellStyle name="Percent [2]" xfId="17581"/>
    <cellStyle name="Percent [2] 2" xfId="17582"/>
    <cellStyle name="Percent 0" xfId="17583"/>
    <cellStyle name="Percent 1" xfId="17584"/>
    <cellStyle name="Percent 10" xfId="19091"/>
    <cellStyle name="Percent 100" xfId="19092"/>
    <cellStyle name="Percent 101" xfId="19093"/>
    <cellStyle name="Percent 102" xfId="19094"/>
    <cellStyle name="Percent 103" xfId="19095"/>
    <cellStyle name="Percent 104" xfId="19096"/>
    <cellStyle name="Percent 105" xfId="19097"/>
    <cellStyle name="Percent 106" xfId="19098"/>
    <cellStyle name="Percent 107" xfId="19099"/>
    <cellStyle name="Percent 108" xfId="19100"/>
    <cellStyle name="Percent 109" xfId="19101"/>
    <cellStyle name="Percent 11" xfId="19102"/>
    <cellStyle name="Percent 110" xfId="19103"/>
    <cellStyle name="Percent 111" xfId="19104"/>
    <cellStyle name="Percent 112" xfId="19105"/>
    <cellStyle name="Percent 113" xfId="19106"/>
    <cellStyle name="Percent 114" xfId="19107"/>
    <cellStyle name="Percent 115" xfId="19108"/>
    <cellStyle name="Percent 116" xfId="19109"/>
    <cellStyle name="Percent 117" xfId="19110"/>
    <cellStyle name="Percent 118" xfId="19111"/>
    <cellStyle name="Percent 119" xfId="19112"/>
    <cellStyle name="Percent 12" xfId="19113"/>
    <cellStyle name="Percent 120" xfId="19114"/>
    <cellStyle name="Percent 121" xfId="19115"/>
    <cellStyle name="Percent 122" xfId="19116"/>
    <cellStyle name="Percent 123" xfId="19117"/>
    <cellStyle name="Percent 124" xfId="19118"/>
    <cellStyle name="Percent 125" xfId="19119"/>
    <cellStyle name="Percent 126" xfId="19120"/>
    <cellStyle name="Percent 127" xfId="19121"/>
    <cellStyle name="Percent 128" xfId="19122"/>
    <cellStyle name="Percent 129" xfId="19123"/>
    <cellStyle name="Percent 13" xfId="19124"/>
    <cellStyle name="Percent 130" xfId="19125"/>
    <cellStyle name="Percent 131" xfId="19126"/>
    <cellStyle name="Percent 132" xfId="19127"/>
    <cellStyle name="Percent 133" xfId="19128"/>
    <cellStyle name="Percent 134" xfId="19129"/>
    <cellStyle name="Percent 135" xfId="19130"/>
    <cellStyle name="Percent 136" xfId="19131"/>
    <cellStyle name="Percent 137" xfId="19132"/>
    <cellStyle name="Percent 138" xfId="19133"/>
    <cellStyle name="Percent 139" xfId="19134"/>
    <cellStyle name="Percent 14" xfId="19135"/>
    <cellStyle name="Percent 140" xfId="19136"/>
    <cellStyle name="Percent 141" xfId="19137"/>
    <cellStyle name="Percent 142" xfId="19138"/>
    <cellStyle name="Percent 143" xfId="19139"/>
    <cellStyle name="Percent 144" xfId="19140"/>
    <cellStyle name="Percent 15" xfId="19141"/>
    <cellStyle name="Percent 16" xfId="19142"/>
    <cellStyle name="Percent 17" xfId="19143"/>
    <cellStyle name="Percent 18" xfId="19144"/>
    <cellStyle name="Percent 19" xfId="19145"/>
    <cellStyle name="Percent 2" xfId="17585"/>
    <cellStyle name="Percent 2 2" xfId="17586"/>
    <cellStyle name="Percent 20" xfId="19146"/>
    <cellStyle name="Percent 21" xfId="19147"/>
    <cellStyle name="Percent 22" xfId="19148"/>
    <cellStyle name="Percent 23" xfId="19149"/>
    <cellStyle name="Percent 24" xfId="19150"/>
    <cellStyle name="Percent 25" xfId="19151"/>
    <cellStyle name="Percent 26" xfId="19152"/>
    <cellStyle name="Percent 27" xfId="19153"/>
    <cellStyle name="Percent 28" xfId="19154"/>
    <cellStyle name="Percent 29" xfId="19155"/>
    <cellStyle name="Percent 3" xfId="17587"/>
    <cellStyle name="Percent 30" xfId="19156"/>
    <cellStyle name="Percent 31" xfId="19157"/>
    <cellStyle name="Percent 32" xfId="19158"/>
    <cellStyle name="Percent 33" xfId="19159"/>
    <cellStyle name="Percent 34" xfId="19160"/>
    <cellStyle name="Percent 35" xfId="19161"/>
    <cellStyle name="Percent 36" xfId="19162"/>
    <cellStyle name="Percent 37" xfId="19163"/>
    <cellStyle name="Percent 38" xfId="19164"/>
    <cellStyle name="Percent 39" xfId="19165"/>
    <cellStyle name="Percent 4" xfId="17588"/>
    <cellStyle name="Percent 40" xfId="19166"/>
    <cellStyle name="Percent 41" xfId="19167"/>
    <cellStyle name="Percent 42" xfId="19168"/>
    <cellStyle name="Percent 43" xfId="19169"/>
    <cellStyle name="Percent 44" xfId="19170"/>
    <cellStyle name="Percent 45" xfId="19171"/>
    <cellStyle name="Percent 46" xfId="19172"/>
    <cellStyle name="Percent 47" xfId="19173"/>
    <cellStyle name="Percent 48" xfId="19174"/>
    <cellStyle name="Percent 49" xfId="19175"/>
    <cellStyle name="Percent 5" xfId="17589"/>
    <cellStyle name="Percent 50" xfId="19176"/>
    <cellStyle name="Percent 51" xfId="19177"/>
    <cellStyle name="Percent 52" xfId="19178"/>
    <cellStyle name="Percent 53" xfId="19179"/>
    <cellStyle name="Percent 54" xfId="19180"/>
    <cellStyle name="Percent 55" xfId="19181"/>
    <cellStyle name="Percent 56" xfId="19182"/>
    <cellStyle name="Percent 57" xfId="19183"/>
    <cellStyle name="Percent 58" xfId="19184"/>
    <cellStyle name="Percent 59" xfId="19185"/>
    <cellStyle name="Percent 6" xfId="19186"/>
    <cellStyle name="Percent 60" xfId="19187"/>
    <cellStyle name="Percent 61" xfId="19188"/>
    <cellStyle name="Percent 62" xfId="19189"/>
    <cellStyle name="Percent 63" xfId="19190"/>
    <cellStyle name="Percent 64" xfId="19191"/>
    <cellStyle name="Percent 65" xfId="19192"/>
    <cellStyle name="Percent 66" xfId="19193"/>
    <cellStyle name="Percent 67" xfId="19194"/>
    <cellStyle name="Percent 68" xfId="19195"/>
    <cellStyle name="Percent 69" xfId="19196"/>
    <cellStyle name="Percent 7" xfId="19197"/>
    <cellStyle name="Percent 70" xfId="19198"/>
    <cellStyle name="Percent 71" xfId="19199"/>
    <cellStyle name="Percent 72" xfId="19200"/>
    <cellStyle name="Percent 73" xfId="19201"/>
    <cellStyle name="Percent 74" xfId="19202"/>
    <cellStyle name="Percent 75" xfId="19203"/>
    <cellStyle name="Percent 76" xfId="19204"/>
    <cellStyle name="Percent 77" xfId="19205"/>
    <cellStyle name="Percent 78" xfId="19206"/>
    <cellStyle name="Percent 79" xfId="19207"/>
    <cellStyle name="Percent 8" xfId="19208"/>
    <cellStyle name="Percent 80" xfId="19209"/>
    <cellStyle name="Percent 81" xfId="19210"/>
    <cellStyle name="Percent 82" xfId="19211"/>
    <cellStyle name="Percent 83" xfId="19212"/>
    <cellStyle name="Percent 84" xfId="19213"/>
    <cellStyle name="Percent 85" xfId="19214"/>
    <cellStyle name="Percent 86" xfId="19215"/>
    <cellStyle name="Percent 87" xfId="19216"/>
    <cellStyle name="Percent 88" xfId="19217"/>
    <cellStyle name="Percent 89" xfId="19218"/>
    <cellStyle name="Percent 9" xfId="19219"/>
    <cellStyle name="Percent 90" xfId="19220"/>
    <cellStyle name="Percent 91" xfId="19221"/>
    <cellStyle name="Percent 92" xfId="19222"/>
    <cellStyle name="Percent 93" xfId="19223"/>
    <cellStyle name="Percent 94" xfId="19224"/>
    <cellStyle name="Percent 95" xfId="19225"/>
    <cellStyle name="Percent 96" xfId="19226"/>
    <cellStyle name="Percent 97" xfId="19227"/>
    <cellStyle name="Percent 98" xfId="19228"/>
    <cellStyle name="Percent 99" xfId="19229"/>
    <cellStyle name="Percent(2)" xfId="17590"/>
    <cellStyle name="PERCENT2" xfId="17591"/>
    <cellStyle name="PERCENT2 2" xfId="17592"/>
    <cellStyle name="percentá_MonteDec00" xfId="17593"/>
    <cellStyle name="Percentage" xfId="17594"/>
    <cellStyle name="Percentage 2" xfId="17595"/>
    <cellStyle name="PercentC" xfId="17596"/>
    <cellStyle name="PercentC 2" xfId="17597"/>
    <cellStyle name="PercentRed" xfId="17598"/>
    <cellStyle name="Percentuale_IT Assets" xfId="17599"/>
    <cellStyle name="Pevní" xfId="17600"/>
    <cellStyle name="Pevní 2" xfId="17601"/>
    <cellStyle name="Porcentagem_06'97 " xfId="17602"/>
    <cellStyle name="Porcentaje" xfId="17603"/>
    <cellStyle name="Porcentaje 2" xfId="17604"/>
    <cellStyle name="Porcentual_2001 PRODUCTOS TERMINADOS Evolución" xfId="17605"/>
    <cellStyle name="Pourcentage_~0058890" xfId="17606"/>
    <cellStyle name="PPCHG - ??1" xfId="17607"/>
    <cellStyle name="Precent" xfId="17608"/>
    <cellStyle name="Precent2" xfId="17609"/>
    <cellStyle name="Precent2 2" xfId="17610"/>
    <cellStyle name="Precent3" xfId="17611"/>
    <cellStyle name="Precent3 2" xfId="17612"/>
    <cellStyle name="PrePop Currency (0)" xfId="17613"/>
    <cellStyle name="PrePop Currency (0) 2" xfId="17614"/>
    <cellStyle name="PrePop Currency (2)" xfId="17615"/>
    <cellStyle name="PrePop Currency (2) 2" xfId="17616"/>
    <cellStyle name="PrePop Units (0)" xfId="17617"/>
    <cellStyle name="PrePop Units (0) 2" xfId="17618"/>
    <cellStyle name="PrePop Units (1)" xfId="17619"/>
    <cellStyle name="PrePop Units (1) 2" xfId="17620"/>
    <cellStyle name="PrePop Units (2)" xfId="17621"/>
    <cellStyle name="PrePop Units (2) 2" xfId="17622"/>
    <cellStyle name="Price" xfId="17623"/>
    <cellStyle name="Price 2" xfId="17624"/>
    <cellStyle name="pricing" xfId="17625"/>
    <cellStyle name="Procenta" xfId="17626"/>
    <cellStyle name="Procenta 2" xfId="17627"/>
    <cellStyle name="Prod Vol" xfId="17628"/>
    <cellStyle name="Product Header" xfId="17629"/>
    <cellStyle name="PROJECT" xfId="17630"/>
    <cellStyle name="PROJECT R" xfId="17631"/>
    <cellStyle name="PROJECT__P09 - Key Drivers KBE" xfId="17632"/>
    <cellStyle name="Protect" xfId="17633"/>
    <cellStyle name="Prozent 2" xfId="17634"/>
    <cellStyle name="Prozent_Download zmomcos1 per 8.2.2002" xfId="19230"/>
    <cellStyle name="PSChar" xfId="17635"/>
    <cellStyle name="PSDate" xfId="17636"/>
    <cellStyle name="PSDec" xfId="17637"/>
    <cellStyle name="PSHeading" xfId="17638"/>
    <cellStyle name="PSInt" xfId="17639"/>
    <cellStyle name="PSSpacer" xfId="17640"/>
    <cellStyle name="Punto" xfId="17641"/>
    <cellStyle name="Punto 2" xfId="17642"/>
    <cellStyle name="Punto0" xfId="17643"/>
    <cellStyle name="qtr" xfId="17644"/>
    <cellStyle name="QUOTEINFO" xfId="17645"/>
    <cellStyle name="RAMEY" xfId="17646"/>
    <cellStyle name="Ramey $k" xfId="17647"/>
    <cellStyle name="RAMEY_P&amp;O BKUP" xfId="17648"/>
    <cellStyle name="Reference" xfId="17649"/>
    <cellStyle name="regstoresfromspecstores" xfId="17650"/>
    <cellStyle name="RevList" xfId="17651"/>
    <cellStyle name="RevList 2" xfId="17652"/>
    <cellStyle name="RightTitle" xfId="17653"/>
    <cellStyle name="RISKbigPercent" xfId="17654"/>
    <cellStyle name="RISKblandrEdge" xfId="17655"/>
    <cellStyle name="RISKblCorner" xfId="17656"/>
    <cellStyle name="RISKbottomEdge" xfId="17657"/>
    <cellStyle name="RISKbrCorner" xfId="17658"/>
    <cellStyle name="RISKdarkBoxed" xfId="17659"/>
    <cellStyle name="RISKdarkShade" xfId="17660"/>
    <cellStyle name="RISKdbottomEdge" xfId="17661"/>
    <cellStyle name="RISKdrightEdge" xfId="17662"/>
    <cellStyle name="RISKdurationTime" xfId="17663"/>
    <cellStyle name="RISKinNumber" xfId="17664"/>
    <cellStyle name="RISKlandrEdge" xfId="17665"/>
    <cellStyle name="RISKleftEdge" xfId="17666"/>
    <cellStyle name="RISKlightBoxed" xfId="17667"/>
    <cellStyle name="RISKltandbEdge" xfId="17668"/>
    <cellStyle name="RISKnormBoxed" xfId="17669"/>
    <cellStyle name="RISKnormCenter" xfId="17670"/>
    <cellStyle name="RISKnormHeading" xfId="17671"/>
    <cellStyle name="RISKnormItal" xfId="17672"/>
    <cellStyle name="RISKnormLabel" xfId="17673"/>
    <cellStyle name="RISKnormShade" xfId="17674"/>
    <cellStyle name="RISKnormTitle" xfId="17675"/>
    <cellStyle name="RISKoutNumber" xfId="17676"/>
    <cellStyle name="RISKrightEdge" xfId="17677"/>
    <cellStyle name="RISKrtandbEdge" xfId="17678"/>
    <cellStyle name="RISKssTime" xfId="17679"/>
    <cellStyle name="RISKtandbEdge" xfId="17680"/>
    <cellStyle name="RISKtlandrEdge" xfId="17681"/>
    <cellStyle name="RISKtlCorner" xfId="17682"/>
    <cellStyle name="RISKtopEdge" xfId="17683"/>
    <cellStyle name="RISKtrCorner" xfId="17684"/>
    <cellStyle name="RM" xfId="17685"/>
    <cellStyle name="Row heading" xfId="17686"/>
    <cellStyle name="Saída" xfId="17687"/>
    <cellStyle name="Salida" xfId="17688"/>
    <cellStyle name="SAPBEXaggData" xfId="17689"/>
    <cellStyle name="SAPBEXaggData 2" xfId="17690"/>
    <cellStyle name="SAPBEXaggData_Sheet1 (2)" xfId="19231"/>
    <cellStyle name="SAPBEXaggDataEmph" xfId="17691"/>
    <cellStyle name="SAPBEXaggDataEmph 2" xfId="17692"/>
    <cellStyle name="SAPBEXaggDataEmph_Sheet1 (2)" xfId="19232"/>
    <cellStyle name="SAPBEXaggExc1" xfId="17693"/>
    <cellStyle name="SAPBEXaggExc1Emph" xfId="17694"/>
    <cellStyle name="SAPBEXaggExc2" xfId="17695"/>
    <cellStyle name="SAPBEXaggExc2Emph" xfId="17696"/>
    <cellStyle name="SAPBEXaggItem" xfId="17697"/>
    <cellStyle name="SAPBEXaggItem 2" xfId="17698"/>
    <cellStyle name="SAPBEXaggItem_Sheet1" xfId="17699"/>
    <cellStyle name="SAPBEXaggItemX" xfId="17700"/>
    <cellStyle name="SAPBEXaggItemX 2" xfId="17701"/>
    <cellStyle name="SAPBEXaggItemX_Sheet1 (2)" xfId="19233"/>
    <cellStyle name="SAPBEXbackground" xfId="17702"/>
    <cellStyle name="SAPBEXchaText" xfId="17703"/>
    <cellStyle name="SAPBEXchaText 2" xfId="17704"/>
    <cellStyle name="SAPBEXchaText_Sheet1 (2)" xfId="19234"/>
    <cellStyle name="SAPBEXexcBad" xfId="17705"/>
    <cellStyle name="SAPBEXexcBad7" xfId="17706"/>
    <cellStyle name="SAPBEXexcBad7 2" xfId="17707"/>
    <cellStyle name="SAPBEXexcBad7_Sheet1 (2)" xfId="19235"/>
    <cellStyle name="SAPBEXexcBad8" xfId="17708"/>
    <cellStyle name="SAPBEXexcBad8 2" xfId="17709"/>
    <cellStyle name="SAPBEXexcBad8_Sheet1 (2)" xfId="19236"/>
    <cellStyle name="SAPBEXexcBad9" xfId="17710"/>
    <cellStyle name="SAPBEXexcBad9 2" xfId="17711"/>
    <cellStyle name="SAPBEXexcBad9_Sheet1 (2)" xfId="19237"/>
    <cellStyle name="SAPBEXexcCritical" xfId="17712"/>
    <cellStyle name="SAPBEXexcCritical4" xfId="17713"/>
    <cellStyle name="SAPBEXexcCritical4 2" xfId="17714"/>
    <cellStyle name="SAPBEXexcCritical4_Sheet1 (2)" xfId="19238"/>
    <cellStyle name="SAPBEXexcCritical5" xfId="17715"/>
    <cellStyle name="SAPBEXexcCritical5 2" xfId="17716"/>
    <cellStyle name="SAPBEXexcCritical5_Sheet1 (2)" xfId="19239"/>
    <cellStyle name="SAPBEXexcCritical6" xfId="17717"/>
    <cellStyle name="SAPBEXexcCritical6 2" xfId="17718"/>
    <cellStyle name="SAPBEXexcCritical6_Sheet1 (2)" xfId="19240"/>
    <cellStyle name="SAPBEXexcGood" xfId="17719"/>
    <cellStyle name="SAPBEXexcGood1" xfId="17720"/>
    <cellStyle name="SAPBEXexcGood1 2" xfId="17721"/>
    <cellStyle name="SAPBEXexcGood1_Sheet1 (2)" xfId="19241"/>
    <cellStyle name="SAPBEXexcGood2" xfId="17722"/>
    <cellStyle name="SAPBEXexcGood2 2" xfId="17723"/>
    <cellStyle name="SAPBEXexcGood2_Sheet1 (2)" xfId="19242"/>
    <cellStyle name="SAPBEXexcGood3" xfId="17724"/>
    <cellStyle name="SAPBEXexcGood3 2" xfId="17725"/>
    <cellStyle name="SAPBEXexcGood3_Sheet1 (2)" xfId="19243"/>
    <cellStyle name="SAPBEXexcVeryBad" xfId="17726"/>
    <cellStyle name="SAPBEXfilterDrill" xfId="17727"/>
    <cellStyle name="SAPBEXfilterDrill 2" xfId="17728"/>
    <cellStyle name="SAPBEXfilterDrill 2 2" xfId="17729"/>
    <cellStyle name="SAPBEXfilterDrill 2 2 2" xfId="17730"/>
    <cellStyle name="SAPBEXfilterDrill 2 2 2 2" xfId="17731"/>
    <cellStyle name="SAPBEXfilterDrill 2 2 2_Sheet1" xfId="17732"/>
    <cellStyle name="SAPBEXfilterDrill 2 2 3" xfId="17733"/>
    <cellStyle name="SAPBEXfilterDrill 2 2 3 2" xfId="17734"/>
    <cellStyle name="SAPBEXfilterDrill 2 2 3_Sheet1" xfId="17735"/>
    <cellStyle name="SAPBEXfilterDrill 2 2 4" xfId="17736"/>
    <cellStyle name="SAPBEXfilterDrill 2 2_Sheet1" xfId="17737"/>
    <cellStyle name="SAPBEXfilterDrill 2 3" xfId="17738"/>
    <cellStyle name="SAPBEXfilterDrill 2 3 2" xfId="17739"/>
    <cellStyle name="SAPBEXfilterDrill 2 3_Sheet1" xfId="17740"/>
    <cellStyle name="SAPBEXfilterDrill 2 4" xfId="17741"/>
    <cellStyle name="SAPBEXfilterDrill 2_Sheet1" xfId="17742"/>
    <cellStyle name="SAPBEXfilterDrill 3" xfId="17743"/>
    <cellStyle name="SAPBEXfilterDrill 3 2" xfId="17744"/>
    <cellStyle name="SAPBEXfilterDrill 3 2 2" xfId="17745"/>
    <cellStyle name="SAPBEXfilterDrill 3 2 2 2" xfId="17746"/>
    <cellStyle name="SAPBEXfilterDrill 3 2 2_Sheet1" xfId="17747"/>
    <cellStyle name="SAPBEXfilterDrill 3 2 3" xfId="17748"/>
    <cellStyle name="SAPBEXfilterDrill 3 2 3 2" xfId="17749"/>
    <cellStyle name="SAPBEXfilterDrill 3 2 3_Sheet1" xfId="17750"/>
    <cellStyle name="SAPBEXfilterDrill 3 2 4" xfId="17751"/>
    <cellStyle name="SAPBEXfilterDrill 3 2_Sheet1" xfId="17752"/>
    <cellStyle name="SAPBEXfilterDrill 3 3" xfId="17753"/>
    <cellStyle name="SAPBEXfilterDrill 3 3 2" xfId="17754"/>
    <cellStyle name="SAPBEXfilterDrill 3 3_Sheet1" xfId="17755"/>
    <cellStyle name="SAPBEXfilterDrill 3 4" xfId="17756"/>
    <cellStyle name="SAPBEXfilterDrill 3_Sheet1" xfId="17757"/>
    <cellStyle name="SAPBEXfilterDrill 4" xfId="17758"/>
    <cellStyle name="SAPBEXfilterDrill 4 2" xfId="17759"/>
    <cellStyle name="SAPBEXfilterDrill 4 2 2" xfId="17760"/>
    <cellStyle name="SAPBEXfilterDrill 4 2_Sheet1" xfId="17761"/>
    <cellStyle name="SAPBEXfilterDrill 4 3" xfId="17762"/>
    <cellStyle name="SAPBEXfilterDrill 4 3 2" xfId="17763"/>
    <cellStyle name="SAPBEXfilterDrill 4 3_Sheet1" xfId="17764"/>
    <cellStyle name="SAPBEXfilterDrill 4 4" xfId="17765"/>
    <cellStyle name="SAPBEXfilterDrill 4_Sheet1" xfId="17766"/>
    <cellStyle name="SAPBEXfilterDrill 5" xfId="17767"/>
    <cellStyle name="SAPBEXfilterDrill 5 2" xfId="17768"/>
    <cellStyle name="SAPBEXfilterDrill 5_Sheet1" xfId="17769"/>
    <cellStyle name="SAPBEXfilterDrill 6" xfId="17770"/>
    <cellStyle name="SAPBEXfilterDrill_Sheet1" xfId="17771"/>
    <cellStyle name="SAPBEXfilterItem" xfId="17772"/>
    <cellStyle name="SAPBEXfilterItem 2" xfId="17773"/>
    <cellStyle name="SAPBEXfilterItem_Sheet1" xfId="17774"/>
    <cellStyle name="SAPBEXfilterText" xfId="17775"/>
    <cellStyle name="SAPBEXfilterText 2" xfId="17776"/>
    <cellStyle name="SAPBEXfilterText 2 2" xfId="17777"/>
    <cellStyle name="SAPBEXfilterText 2_Sheet1" xfId="17778"/>
    <cellStyle name="SAPBEXfilterText 3" xfId="17779"/>
    <cellStyle name="SAPBEXfilterText 3 2" xfId="17780"/>
    <cellStyle name="SAPBEXfilterText 3 3" xfId="17781"/>
    <cellStyle name="SAPBEXfilterText 3_Sheet1" xfId="17782"/>
    <cellStyle name="SAPBEXfilterText 4" xfId="17783"/>
    <cellStyle name="SAPBEXfilterText 5" xfId="17784"/>
    <cellStyle name="SAPBEXfilterText 6" xfId="17785"/>
    <cellStyle name="SAPBEXfilterText 7" xfId="17786"/>
    <cellStyle name="SAPBEXfilterText 8" xfId="17787"/>
    <cellStyle name="SAPBEXfilterText_Sheet1" xfId="17788"/>
    <cellStyle name="SAPBEXformats" xfId="17789"/>
    <cellStyle name="SAPBEXformats 2" xfId="17790"/>
    <cellStyle name="SAPBEXformats 3" xfId="19244"/>
    <cellStyle name="SAPBEXformats_01_Category P&amp;L C&amp;G" xfId="19245"/>
    <cellStyle name="SAPBEXheaderData" xfId="17791"/>
    <cellStyle name="SAPBEXheaderItem" xfId="17792"/>
    <cellStyle name="SAPBEXheaderItem 2" xfId="17793"/>
    <cellStyle name="SAPBEXheaderItem 3" xfId="17794"/>
    <cellStyle name="SAPBEXheaderItem 3 2" xfId="17795"/>
    <cellStyle name="SAPBEXheaderItem 3_Sheet1" xfId="17796"/>
    <cellStyle name="SAPBEXheaderItem 4" xfId="17797"/>
    <cellStyle name="SAPBEXheaderItem 4 2" xfId="17798"/>
    <cellStyle name="SAPBEXheaderItem 4 3" xfId="17799"/>
    <cellStyle name="SAPBEXheaderItem 4_Sheet1" xfId="17800"/>
    <cellStyle name="SAPBEXheaderItem 5" xfId="17801"/>
    <cellStyle name="SAPBEXheaderItem 6" xfId="17802"/>
    <cellStyle name="SAPBEXheaderItem 7" xfId="17803"/>
    <cellStyle name="SAPBEXheaderItem 8" xfId="17804"/>
    <cellStyle name="SAPBEXheaderItem_Sheet1" xfId="17805"/>
    <cellStyle name="SAPBEXheaderRowOne" xfId="17806"/>
    <cellStyle name="SAPBEXheaderRowThree" xfId="17807"/>
    <cellStyle name="SAPBEXheaderRowTwo" xfId="17808"/>
    <cellStyle name="SAPBEXheaderSingleRow" xfId="17809"/>
    <cellStyle name="SAPBEXheaderText" xfId="17810"/>
    <cellStyle name="SAPBEXheaderText 2" xfId="17811"/>
    <cellStyle name="SAPBEXheaderText 3" xfId="17812"/>
    <cellStyle name="SAPBEXheaderText 3 2" xfId="17813"/>
    <cellStyle name="SAPBEXheaderText 3_Sheet1" xfId="17814"/>
    <cellStyle name="SAPBEXheaderText 4" xfId="17815"/>
    <cellStyle name="SAPBEXheaderText 4 2" xfId="17816"/>
    <cellStyle name="SAPBEXheaderText 4 3" xfId="17817"/>
    <cellStyle name="SAPBEXheaderText 4_Sheet1" xfId="17818"/>
    <cellStyle name="SAPBEXheaderText 5" xfId="17819"/>
    <cellStyle name="SAPBEXheaderText 6" xfId="17820"/>
    <cellStyle name="SAPBEXheaderText 7" xfId="17821"/>
    <cellStyle name="SAPBEXheaderText 8" xfId="17822"/>
    <cellStyle name="SAPBEXheaderText_Sheet1" xfId="17823"/>
    <cellStyle name="SAPBEXHLevel0" xfId="17824"/>
    <cellStyle name="SAPBEXHLevel0 2" xfId="17825"/>
    <cellStyle name="SAPBEXHLevel0 2 2" xfId="19246"/>
    <cellStyle name="SAPBEXHLevel0 2_VRN_CHE MTH" xfId="19247"/>
    <cellStyle name="SAPBEXHLevel0 3" xfId="17826"/>
    <cellStyle name="SAPBEXHLevel0 3 2" xfId="17827"/>
    <cellStyle name="SAPBEXHLevel0 3_Sheet1" xfId="17828"/>
    <cellStyle name="SAPBEXHLevel0 4" xfId="17829"/>
    <cellStyle name="SAPBEXHLevel0 4 2" xfId="17830"/>
    <cellStyle name="SAPBEXHLevel0 4 3" xfId="17831"/>
    <cellStyle name="SAPBEXHLevel0 4_Sheet1" xfId="17832"/>
    <cellStyle name="SAPBEXHLevel0 5" xfId="17833"/>
    <cellStyle name="SAPBEXHLevel0 6" xfId="17834"/>
    <cellStyle name="SAPBEXHLevel0 7" xfId="17835"/>
    <cellStyle name="SAPBEXHLevel0 8" xfId="17836"/>
    <cellStyle name="SAPBEXHLevel0_01_Category P&amp;L C&amp;G" xfId="19248"/>
    <cellStyle name="SAPBEXHLevel0X" xfId="17837"/>
    <cellStyle name="SAPBEXHLevel0X 2" xfId="17838"/>
    <cellStyle name="SAPBEXHLevel0X 2 2" xfId="19249"/>
    <cellStyle name="SAPBEXHLevel0X 2_VRN_CHE MTH" xfId="19250"/>
    <cellStyle name="SAPBEXHLevel0X 3" xfId="17839"/>
    <cellStyle name="SAPBEXHLevel0X 3 2" xfId="17840"/>
    <cellStyle name="SAPBEXHLevel0X 3_Sheet1" xfId="17841"/>
    <cellStyle name="SAPBEXHLevel0X 4" xfId="17842"/>
    <cellStyle name="SAPBEXHLevel0X 4 2" xfId="17843"/>
    <cellStyle name="SAPBEXHLevel0X 4 3" xfId="17844"/>
    <cellStyle name="SAPBEXHLevel0X 4_Sheet1" xfId="17845"/>
    <cellStyle name="SAPBEXHLevel0X 5" xfId="17846"/>
    <cellStyle name="SAPBEXHLevel0X 6" xfId="17847"/>
    <cellStyle name="SAPBEXHLevel0X 7" xfId="17848"/>
    <cellStyle name="SAPBEXHLevel0X 8" xfId="17849"/>
    <cellStyle name="SAPBEXHLevel0X_01_Category P&amp;L C&amp;G" xfId="19251"/>
    <cellStyle name="SAPBEXHLevel1" xfId="17850"/>
    <cellStyle name="SAPBEXHLevel1 2" xfId="17851"/>
    <cellStyle name="SAPBEXHLevel1 2 2" xfId="19252"/>
    <cellStyle name="SAPBEXHLevel1 2_VRN_CHE MTH" xfId="19253"/>
    <cellStyle name="SAPBEXHLevel1 3" xfId="17852"/>
    <cellStyle name="SAPBEXHLevel1 3 2" xfId="17853"/>
    <cellStyle name="SAPBEXHLevel1 3_Sheet1" xfId="17854"/>
    <cellStyle name="SAPBEXHLevel1 4" xfId="17855"/>
    <cellStyle name="SAPBEXHLevel1 4 2" xfId="17856"/>
    <cellStyle name="SAPBEXHLevel1 4 3" xfId="17857"/>
    <cellStyle name="SAPBEXHLevel1 4_Sheet1" xfId="17858"/>
    <cellStyle name="SAPBEXHLevel1 5" xfId="17859"/>
    <cellStyle name="SAPBEXHLevel1 6" xfId="17860"/>
    <cellStyle name="SAPBEXHLevel1 7" xfId="17861"/>
    <cellStyle name="SAPBEXHLevel1 8" xfId="17862"/>
    <cellStyle name="SAPBEXHLevel1_01_Category P&amp;L C&amp;G" xfId="19254"/>
    <cellStyle name="SAPBEXHLevel1X" xfId="17863"/>
    <cellStyle name="SAPBEXHLevel1X 2" xfId="17864"/>
    <cellStyle name="SAPBEXHLevel1X 2 2" xfId="19255"/>
    <cellStyle name="SAPBEXHLevel1X 2_VRN_CHE MTH" xfId="19256"/>
    <cellStyle name="SAPBEXHLevel1X 3" xfId="17865"/>
    <cellStyle name="SAPBEXHLevel1X 3 2" xfId="17866"/>
    <cellStyle name="SAPBEXHLevel1X 3_Sheet1" xfId="17867"/>
    <cellStyle name="SAPBEXHLevel1X 4" xfId="17868"/>
    <cellStyle name="SAPBEXHLevel1X 4 2" xfId="17869"/>
    <cellStyle name="SAPBEXHLevel1X 4 3" xfId="17870"/>
    <cellStyle name="SAPBEXHLevel1X 4_Sheet1" xfId="17871"/>
    <cellStyle name="SAPBEXHLevel1X 5" xfId="17872"/>
    <cellStyle name="SAPBEXHLevel1X 6" xfId="17873"/>
    <cellStyle name="SAPBEXHLevel1X 7" xfId="17874"/>
    <cellStyle name="SAPBEXHLevel1X 8" xfId="17875"/>
    <cellStyle name="SAPBEXHLevel1X_01_Category P&amp;L C&amp;G" xfId="19257"/>
    <cellStyle name="SAPBEXHLevel2" xfId="17876"/>
    <cellStyle name="SAPBEXHLevel2 2" xfId="17877"/>
    <cellStyle name="SAPBEXHLevel2 2 2" xfId="19258"/>
    <cellStyle name="SAPBEXHLevel2 2_VRN_CHE MTH" xfId="19259"/>
    <cellStyle name="SAPBEXHLevel2 3" xfId="17878"/>
    <cellStyle name="SAPBEXHLevel2 3 2" xfId="17879"/>
    <cellStyle name="SAPBEXHLevel2 3_Sheet1" xfId="17880"/>
    <cellStyle name="SAPBEXHLevel2 4" xfId="17881"/>
    <cellStyle name="SAPBEXHLevel2 4 2" xfId="17882"/>
    <cellStyle name="SAPBEXHLevel2 4 3" xfId="17883"/>
    <cellStyle name="SAPBEXHLevel2 4_Sheet1" xfId="17884"/>
    <cellStyle name="SAPBEXHLevel2 5" xfId="17885"/>
    <cellStyle name="SAPBEXHLevel2 6" xfId="17886"/>
    <cellStyle name="SAPBEXHLevel2 7" xfId="17887"/>
    <cellStyle name="SAPBEXHLevel2 8" xfId="17888"/>
    <cellStyle name="SAPBEXHLevel2_01_Category P&amp;L C&amp;G" xfId="19260"/>
    <cellStyle name="SAPBEXHLevel2X" xfId="17889"/>
    <cellStyle name="SAPBEXHLevel2X 2" xfId="17890"/>
    <cellStyle name="SAPBEXHLevel2X 2 2" xfId="19261"/>
    <cellStyle name="SAPBEXHLevel2X 2_VRN_CHE MTH" xfId="19262"/>
    <cellStyle name="SAPBEXHLevel2X 3" xfId="17891"/>
    <cellStyle name="SAPBEXHLevel2X 3 2" xfId="17892"/>
    <cellStyle name="SAPBEXHLevel2X 3_Sheet1" xfId="17893"/>
    <cellStyle name="SAPBEXHLevel2X 4" xfId="17894"/>
    <cellStyle name="SAPBEXHLevel2X 4 2" xfId="17895"/>
    <cellStyle name="SAPBEXHLevel2X 4 3" xfId="17896"/>
    <cellStyle name="SAPBEXHLevel2X 4_Sheet1" xfId="17897"/>
    <cellStyle name="SAPBEXHLevel2X 5" xfId="17898"/>
    <cellStyle name="SAPBEXHLevel2X 6" xfId="17899"/>
    <cellStyle name="SAPBEXHLevel2X 7" xfId="17900"/>
    <cellStyle name="SAPBEXHLevel2X 8" xfId="17901"/>
    <cellStyle name="SAPBEXHLevel2X_01_Category P&amp;L C&amp;G" xfId="19263"/>
    <cellStyle name="SAPBEXHLevel3" xfId="17902"/>
    <cellStyle name="SAPBEXHLevel3 2" xfId="17903"/>
    <cellStyle name="SAPBEXHLevel3 2 2" xfId="19264"/>
    <cellStyle name="SAPBEXHLevel3 2_VRN_CHE MTH" xfId="19265"/>
    <cellStyle name="SAPBEXHLevel3 3" xfId="17904"/>
    <cellStyle name="SAPBEXHLevel3 3 2" xfId="17905"/>
    <cellStyle name="SAPBEXHLevel3 3_Sheet1" xfId="17906"/>
    <cellStyle name="SAPBEXHLevel3 4" xfId="17907"/>
    <cellStyle name="SAPBEXHLevel3 4 2" xfId="17908"/>
    <cellStyle name="SAPBEXHLevel3 4 3" xfId="17909"/>
    <cellStyle name="SAPBEXHLevel3 4_Sheet1" xfId="17910"/>
    <cellStyle name="SAPBEXHLevel3 5" xfId="17911"/>
    <cellStyle name="SAPBEXHLevel3 6" xfId="17912"/>
    <cellStyle name="SAPBEXHLevel3 7" xfId="17913"/>
    <cellStyle name="SAPBEXHLevel3 8" xfId="17914"/>
    <cellStyle name="SAPBEXHLevel3_01_Category P&amp;L C&amp;G" xfId="19266"/>
    <cellStyle name="SAPBEXHLevel3X" xfId="17915"/>
    <cellStyle name="SAPBEXHLevel3X 2" xfId="17916"/>
    <cellStyle name="SAPBEXHLevel3X 2 2" xfId="19267"/>
    <cellStyle name="SAPBEXHLevel3X 2_VRN_CHE MTH" xfId="19268"/>
    <cellStyle name="SAPBEXHLevel3X 3" xfId="17917"/>
    <cellStyle name="SAPBEXHLevel3X 3 2" xfId="17918"/>
    <cellStyle name="SAPBEXHLevel3X 3_Sheet1" xfId="17919"/>
    <cellStyle name="SAPBEXHLevel3X 4" xfId="17920"/>
    <cellStyle name="SAPBEXHLevel3X 4 2" xfId="17921"/>
    <cellStyle name="SAPBEXHLevel3X 4 3" xfId="17922"/>
    <cellStyle name="SAPBEXHLevel3X 4_Sheet1" xfId="17923"/>
    <cellStyle name="SAPBEXHLevel3X 5" xfId="17924"/>
    <cellStyle name="SAPBEXHLevel3X 6" xfId="17925"/>
    <cellStyle name="SAPBEXHLevel3X 7" xfId="17926"/>
    <cellStyle name="SAPBEXHLevel3X 8" xfId="17927"/>
    <cellStyle name="SAPBEXHLevel3X_01_Category P&amp;L C&amp;G" xfId="19269"/>
    <cellStyle name="SAPBEXinputData" xfId="17928"/>
    <cellStyle name="SAPBEXinputData 2" xfId="17929"/>
    <cellStyle name="SAPBEXinputData 2 2" xfId="17930"/>
    <cellStyle name="SAPBEXinputData 3" xfId="17931"/>
    <cellStyle name="SAPBEXinputData 3 2" xfId="17932"/>
    <cellStyle name="SAPBEXinputData 4" xfId="17933"/>
    <cellStyle name="SAPBEXinputData 4 2" xfId="17934"/>
    <cellStyle name="SAPBEXinputData 4 3" xfId="17935"/>
    <cellStyle name="SAPBEXinputData 5" xfId="17936"/>
    <cellStyle name="SAPBEXinputData 6" xfId="17937"/>
    <cellStyle name="SAPBEXinputData 7" xfId="17938"/>
    <cellStyle name="SAPBEXinputData 8" xfId="17939"/>
    <cellStyle name="SAPBEXinputData 9" xfId="17940"/>
    <cellStyle name="SAPBEXinputData_MTH" xfId="19270"/>
    <cellStyle name="SAPBEXItemHeader" xfId="17941"/>
    <cellStyle name="SAPBEXItemHeader 2" xfId="17942"/>
    <cellStyle name="SAPBEXresData" xfId="17943"/>
    <cellStyle name="SAPBEXresData 2" xfId="17944"/>
    <cellStyle name="SAPBEXresData_Sheet1 (2)" xfId="19271"/>
    <cellStyle name="SAPBEXresDataEmph" xfId="17945"/>
    <cellStyle name="SAPBEXresDataEmph 2" xfId="17946"/>
    <cellStyle name="SAPBEXresDataEmph_Sheet1 (2)" xfId="19272"/>
    <cellStyle name="SAPBEXresExc1" xfId="17947"/>
    <cellStyle name="SAPBEXresExc1Emph" xfId="17948"/>
    <cellStyle name="SAPBEXresExc2" xfId="17949"/>
    <cellStyle name="SAPBEXresExc2Emph" xfId="17950"/>
    <cellStyle name="SAPBEXresItem" xfId="17951"/>
    <cellStyle name="SAPBEXresItem 2" xfId="17952"/>
    <cellStyle name="SAPBEXresItem_Sheet1" xfId="17953"/>
    <cellStyle name="SAPBEXresItemX" xfId="17954"/>
    <cellStyle name="SAPBEXresItemX 2" xfId="17955"/>
    <cellStyle name="SAPBEXresItemX_Sheet1 (2)" xfId="19273"/>
    <cellStyle name="SAPBEXstdData" xfId="17956"/>
    <cellStyle name="SAPBEXstdData 2" xfId="17957"/>
    <cellStyle name="SAPBEXstdData_Sheet1 (2)" xfId="19274"/>
    <cellStyle name="SAPBEXstdDataEmph" xfId="17958"/>
    <cellStyle name="SAPBEXstdDataEmph 2" xfId="17959"/>
    <cellStyle name="SAPBEXstdDataEmph_Sheet1 (2)" xfId="19275"/>
    <cellStyle name="SAPBEXstdExc1" xfId="17960"/>
    <cellStyle name="SAPBEXstdExc1Emph" xfId="17961"/>
    <cellStyle name="SAPBEXstdExc2" xfId="17962"/>
    <cellStyle name="SAPBEXstdExc2Emph" xfId="17963"/>
    <cellStyle name="SAPBEXstdItem" xfId="17964"/>
    <cellStyle name="SAPBEXstdItem 2" xfId="17965"/>
    <cellStyle name="SAPBEXstdItem_Sheet1" xfId="17966"/>
    <cellStyle name="SAPBEXstdItemHeader" xfId="17967"/>
    <cellStyle name="SAPBEXstdItemLeft" xfId="17968"/>
    <cellStyle name="SAPBEXstdItemLeftChart" xfId="17969"/>
    <cellStyle name="SAPBEXstdItemX" xfId="17970"/>
    <cellStyle name="SAPBEXstdItemX 2" xfId="17971"/>
    <cellStyle name="SAPBEXstdItemX_Sheet1 (2)" xfId="19276"/>
    <cellStyle name="SAPBEXsubData" xfId="17972"/>
    <cellStyle name="SAPBEXsubDataEmph" xfId="17973"/>
    <cellStyle name="SAPBEXsubExc1" xfId="17974"/>
    <cellStyle name="SAPBEXsubExc1Emph" xfId="17975"/>
    <cellStyle name="SAPBEXsubExc2" xfId="17976"/>
    <cellStyle name="SAPBEXsubExc2Emph" xfId="17977"/>
    <cellStyle name="SAPBEXsubItem" xfId="17978"/>
    <cellStyle name="SAPBEXtitle" xfId="17979"/>
    <cellStyle name="SAPBEXtitle 2" xfId="17980"/>
    <cellStyle name="SAPBEXtitle 2 2" xfId="17981"/>
    <cellStyle name="SAPBEXtitle 2_Sheet1" xfId="17982"/>
    <cellStyle name="SAPBEXtitle 3" xfId="17983"/>
    <cellStyle name="SAPBEXtitle 3 2" xfId="17984"/>
    <cellStyle name="SAPBEXtitle 3 3" xfId="17985"/>
    <cellStyle name="SAPBEXtitle 3_Sheet1" xfId="17986"/>
    <cellStyle name="SAPBEXtitle 4" xfId="17987"/>
    <cellStyle name="SAPBEXtitle 5" xfId="17988"/>
    <cellStyle name="SAPBEXtitle 6" xfId="17989"/>
    <cellStyle name="SAPBEXtitle 7" xfId="17990"/>
    <cellStyle name="SAPBEXtitle 8" xfId="17991"/>
    <cellStyle name="SAPBEXtitle_Sheet1" xfId="17992"/>
    <cellStyle name="SAPBEXunassignedItem" xfId="17993"/>
    <cellStyle name="SAPBEXundefined" xfId="17994"/>
    <cellStyle name="SAPBEXundefined 2" xfId="17995"/>
    <cellStyle name="SAPBEXundefined_Sheet1 (2)" xfId="19277"/>
    <cellStyle name="Satisfaisant" xfId="17996"/>
    <cellStyle name="Schlecht" xfId="17997"/>
    <cellStyle name="SCRITTE" xfId="17998"/>
    <cellStyle name="Separador de milhares [0]_2000-2001 Dry Mixes Volumes per Category" xfId="17999"/>
    <cellStyle name="Separador de milhares_0_CRFIS_12" xfId="18000"/>
    <cellStyle name="SeparatorBar" xfId="18001"/>
    <cellStyle name="SeparatorBar 2" xfId="18002"/>
    <cellStyle name="SeparatorBar_04_Power Brands" xfId="18003"/>
    <cellStyle name="shade" xfId="18004"/>
    <cellStyle name="shade 2" xfId="18005"/>
    <cellStyle name="shadebody" xfId="18006"/>
    <cellStyle name="Shaded" xfId="18007"/>
    <cellStyle name="SHADEDSTORES" xfId="18008"/>
    <cellStyle name="Shares" xfId="18009"/>
    <cellStyle name="Sheet Title" xfId="18010"/>
    <cellStyle name="Sheet Title 2" xfId="19278"/>
    <cellStyle name="Sheet Title_Sheet1 (2)" xfId="19279"/>
    <cellStyle name="Short $" xfId="18011"/>
    <cellStyle name="Short $ 2" xfId="18012"/>
    <cellStyle name="Sledovaný hypertextový odkaz_1202P" xfId="18013"/>
    <cellStyle name="sonhead" xfId="18014"/>
    <cellStyle name="sonscript" xfId="18015"/>
    <cellStyle name="sontitle" xfId="18016"/>
    <cellStyle name="Sortie" xfId="18017"/>
    <cellStyle name="Source Hed" xfId="18018"/>
    <cellStyle name="Source Letter" xfId="18019"/>
    <cellStyle name="Source Superscript" xfId="18020"/>
    <cellStyle name="Source Text" xfId="18021"/>
    <cellStyle name="SpecSheet" xfId="18022"/>
    <cellStyle name="specstores" xfId="18023"/>
    <cellStyle name="Spelling 1033,0" xfId="18024"/>
    <cellStyle name="Standa - Formatvorlage1" xfId="18025"/>
    <cellStyle name="Standaard_A6b-ROP9798" xfId="18026"/>
    <cellStyle name="Standard 10" xfId="18027"/>
    <cellStyle name="Standard 12" xfId="18028"/>
    <cellStyle name="Standard 2" xfId="18029"/>
    <cellStyle name="Standard 4" xfId="18030"/>
    <cellStyle name="Standard__OB 2006_Final_2" xfId="18031"/>
    <cellStyle name="State" xfId="18032"/>
    <cellStyle name="Stil 1" xfId="18033"/>
    <cellStyle name="Strohý" xfId="18034"/>
    <cellStyle name="STYL1 - Style1" xfId="18035"/>
    <cellStyle name="STYL2 - Style2" xfId="18036"/>
    <cellStyle name="STYL2 - Style2 2" xfId="18037"/>
    <cellStyle name="STYL2 - Style2_04_Power Brands" xfId="18038"/>
    <cellStyle name="STYLE - Style1" xfId="18039"/>
    <cellStyle name="STYLE - Style2" xfId="18040"/>
    <cellStyle name="STYLE - Style3" xfId="18041"/>
    <cellStyle name="STYLE - Style4" xfId="18042"/>
    <cellStyle name="Style 1" xfId="18043"/>
    <cellStyle name="Style 1 2" xfId="18044"/>
    <cellStyle name="Style 10" xfId="18045"/>
    <cellStyle name="Style 11" xfId="18046"/>
    <cellStyle name="Style 12" xfId="18047"/>
    <cellStyle name="Style 13" xfId="18048"/>
    <cellStyle name="Style 14" xfId="18049"/>
    <cellStyle name="Style 15" xfId="18050"/>
    <cellStyle name="Style 2" xfId="18051"/>
    <cellStyle name="Style 21" xfId="18052"/>
    <cellStyle name="Style 27" xfId="18053"/>
    <cellStyle name="Style 28" xfId="18054"/>
    <cellStyle name="Style 3" xfId="18055"/>
    <cellStyle name="Style 4" xfId="18056"/>
    <cellStyle name="Style 5" xfId="18057"/>
    <cellStyle name="Style 6" xfId="18058"/>
    <cellStyle name="Style 7" xfId="18059"/>
    <cellStyle name="Style 8" xfId="18060"/>
    <cellStyle name="Style 9" xfId="18061"/>
    <cellStyle name="STYLE1 - Formatvorlage1" xfId="18062"/>
    <cellStyle name="STYLE1 - Style1" xfId="18063"/>
    <cellStyle name="STYLE2 - Formatvorlage2" xfId="18064"/>
    <cellStyle name="STYLE2 - Style2" xfId="18065"/>
    <cellStyle name="STYLE3 - Formatvorlage3" xfId="18066"/>
    <cellStyle name="STYLE3 - Style3" xfId="18067"/>
    <cellStyle name="STYLE4 - Formatvorlage4" xfId="18068"/>
    <cellStyle name="STYLE4 - Style4" xfId="18069"/>
    <cellStyle name="subhead" xfId="18070"/>
    <cellStyle name="Subtitle" xfId="18071"/>
    <cellStyle name="Subtotal" xfId="18072"/>
    <cellStyle name="Subtotal 2" xfId="18073"/>
    <cellStyle name="Sum" xfId="18074"/>
    <cellStyle name="Sum %of HV" xfId="18075"/>
    <cellStyle name="Summe" xfId="18076"/>
    <cellStyle name="Superscript" xfId="18077"/>
    <cellStyle name="Superscript- regular" xfId="18078"/>
    <cellStyle name="Superscript_1-1A-Regular" xfId="18079"/>
    <cellStyle name="t/a" xfId="18080"/>
    <cellStyle name="Table Data" xfId="18081"/>
    <cellStyle name="Table Head Top" xfId="18082"/>
    <cellStyle name="Table Heading" xfId="18083"/>
    <cellStyle name="Table Hed Side" xfId="18084"/>
    <cellStyle name="Table Title" xfId="18085"/>
    <cellStyle name="Table Units" xfId="18086"/>
    <cellStyle name="Table Units 2" xfId="18087"/>
    <cellStyle name="TDM" xfId="18088"/>
    <cellStyle name="TDM 2" xfId="18089"/>
    <cellStyle name="test" xfId="18090"/>
    <cellStyle name="test2" xfId="18091"/>
    <cellStyle name="TEXT" xfId="18092"/>
    <cellStyle name="TEXT 2" xfId="18093"/>
    <cellStyle name="Text Indent A" xfId="18094"/>
    <cellStyle name="Text Indent A 2" xfId="18095"/>
    <cellStyle name="Text Indent B" xfId="18096"/>
    <cellStyle name="Text Indent B 2" xfId="18097"/>
    <cellStyle name="Text Indent C" xfId="18098"/>
    <cellStyle name="Text Indent C 2" xfId="18099"/>
    <cellStyle name="TEXT_060302 !River Chill" xfId="18100"/>
    <cellStyle name="Texte explicatif" xfId="18101"/>
    <cellStyle name="Texto de advertencia" xfId="18102"/>
    <cellStyle name="Texto de Aviso" xfId="18103"/>
    <cellStyle name="Texto explicativo" xfId="18104"/>
    <cellStyle name="þ_x001d_ð+&amp;¨û›&amp;¡ûG_x0008_Ç Ÿ_x000a__x0007__x0001__x0001_" xfId="18105"/>
    <cellStyle name="þ_x001d_ð+&amp;¨û›&amp;¡ûG_x0008_Ç Ÿ_x000a__x0007__x0001__x0001_ 2" xfId="18106"/>
    <cellStyle name="þ_x001d_ð+&amp;¨û›&amp;¡ûG_x0008_Ç_x0009_Ÿ_x000a__x0007__x0001__x0001_" xfId="18107"/>
    <cellStyle name="Time" xfId="18108"/>
    <cellStyle name="Time 2" xfId="18109"/>
    <cellStyle name="times" xfId="18110"/>
    <cellStyle name="Times New Roman" xfId="18111"/>
    <cellStyle name="times_01_Philadelphia P&amp;L" xfId="19280"/>
    <cellStyle name="Title 2" xfId="19281"/>
    <cellStyle name="Title 3" xfId="19282"/>
    <cellStyle name="TITOLI" xfId="18112"/>
    <cellStyle name="Titolo1" xfId="18113"/>
    <cellStyle name="Titolo2" xfId="18114"/>
    <cellStyle name="Título" xfId="18115"/>
    <cellStyle name="Título 1" xfId="18116"/>
    <cellStyle name="Título 2" xfId="18117"/>
    <cellStyle name="Título 3" xfId="18118"/>
    <cellStyle name="Título_01_Philadelphia P&amp;L" xfId="19283"/>
    <cellStyle name="Total - Style2" xfId="18119"/>
    <cellStyle name="Total - Style2 2" xfId="18120"/>
    <cellStyle name="Total 10" xfId="19284"/>
    <cellStyle name="Total 100" xfId="19285"/>
    <cellStyle name="Total 101" xfId="19286"/>
    <cellStyle name="Total 102" xfId="19287"/>
    <cellStyle name="Total 103" xfId="19288"/>
    <cellStyle name="Total 104" xfId="19289"/>
    <cellStyle name="Total 105" xfId="19290"/>
    <cellStyle name="Total 106" xfId="19291"/>
    <cellStyle name="Total 107" xfId="19292"/>
    <cellStyle name="Total 108" xfId="19293"/>
    <cellStyle name="Total 109" xfId="19294"/>
    <cellStyle name="Total 11" xfId="19295"/>
    <cellStyle name="Total 110" xfId="19296"/>
    <cellStyle name="Total 111" xfId="19297"/>
    <cellStyle name="Total 112" xfId="19298"/>
    <cellStyle name="Total 113" xfId="19299"/>
    <cellStyle name="Total 114" xfId="19300"/>
    <cellStyle name="Total 115" xfId="19301"/>
    <cellStyle name="Total 116" xfId="19302"/>
    <cellStyle name="Total 117" xfId="19303"/>
    <cellStyle name="Total 118" xfId="19304"/>
    <cellStyle name="Total 119" xfId="19305"/>
    <cellStyle name="Total 12" xfId="19306"/>
    <cellStyle name="Total 120" xfId="19307"/>
    <cellStyle name="Total 121" xfId="19308"/>
    <cellStyle name="Total 122" xfId="19309"/>
    <cellStyle name="Total 123" xfId="19310"/>
    <cellStyle name="Total 124" xfId="19311"/>
    <cellStyle name="Total 125" xfId="19312"/>
    <cellStyle name="Total 126" xfId="19313"/>
    <cellStyle name="Total 127" xfId="19314"/>
    <cellStyle name="Total 128" xfId="19315"/>
    <cellStyle name="Total 129" xfId="19316"/>
    <cellStyle name="Total 13" xfId="19317"/>
    <cellStyle name="Total 130" xfId="19318"/>
    <cellStyle name="Total 131" xfId="19319"/>
    <cellStyle name="Total 132" xfId="19320"/>
    <cellStyle name="Total 133" xfId="19321"/>
    <cellStyle name="Total 134" xfId="19322"/>
    <cellStyle name="Total 135" xfId="19323"/>
    <cellStyle name="Total 136" xfId="19324"/>
    <cellStyle name="Total 137" xfId="19325"/>
    <cellStyle name="Total 138" xfId="19326"/>
    <cellStyle name="Total 139" xfId="19327"/>
    <cellStyle name="Total 14" xfId="19328"/>
    <cellStyle name="Total 140" xfId="19329"/>
    <cellStyle name="Total 141" xfId="19330"/>
    <cellStyle name="Total 142" xfId="19331"/>
    <cellStyle name="Total 143" xfId="19332"/>
    <cellStyle name="Total 144" xfId="19333"/>
    <cellStyle name="Total 15" xfId="19334"/>
    <cellStyle name="Total 16" xfId="19335"/>
    <cellStyle name="Total 17" xfId="19336"/>
    <cellStyle name="Total 18" xfId="19337"/>
    <cellStyle name="Total 19" xfId="19338"/>
    <cellStyle name="Total 2" xfId="18121"/>
    <cellStyle name="Total 20" xfId="19339"/>
    <cellStyle name="Total 21" xfId="19340"/>
    <cellStyle name="Total 22" xfId="19341"/>
    <cellStyle name="Total 23" xfId="19342"/>
    <cellStyle name="Total 24" xfId="19343"/>
    <cellStyle name="Total 25" xfId="19344"/>
    <cellStyle name="Total 26" xfId="19345"/>
    <cellStyle name="Total 27" xfId="19346"/>
    <cellStyle name="Total 28" xfId="19347"/>
    <cellStyle name="Total 29" xfId="19348"/>
    <cellStyle name="Total 3" xfId="18122"/>
    <cellStyle name="Total 30" xfId="19349"/>
    <cellStyle name="Total 31" xfId="19350"/>
    <cellStyle name="Total 32" xfId="19351"/>
    <cellStyle name="Total 33" xfId="19352"/>
    <cellStyle name="Total 34" xfId="19353"/>
    <cellStyle name="Total 35" xfId="19354"/>
    <cellStyle name="Total 36" xfId="19355"/>
    <cellStyle name="Total 37" xfId="19356"/>
    <cellStyle name="Total 38" xfId="19357"/>
    <cellStyle name="Total 39" xfId="19358"/>
    <cellStyle name="Total 4" xfId="19359"/>
    <cellStyle name="Total 40" xfId="19360"/>
    <cellStyle name="Total 41" xfId="19361"/>
    <cellStyle name="Total 42" xfId="19362"/>
    <cellStyle name="Total 43" xfId="19363"/>
    <cellStyle name="Total 44" xfId="19364"/>
    <cellStyle name="Total 45" xfId="19365"/>
    <cellStyle name="Total 46" xfId="19366"/>
    <cellStyle name="Total 47" xfId="19367"/>
    <cellStyle name="Total 48" xfId="19368"/>
    <cellStyle name="Total 49" xfId="19369"/>
    <cellStyle name="Total 5" xfId="19370"/>
    <cellStyle name="Total 50" xfId="19371"/>
    <cellStyle name="Total 51" xfId="19372"/>
    <cellStyle name="Total 52" xfId="19373"/>
    <cellStyle name="Total 53" xfId="19374"/>
    <cellStyle name="Total 54" xfId="19375"/>
    <cellStyle name="Total 55" xfId="19376"/>
    <cellStyle name="Total 56" xfId="19377"/>
    <cellStyle name="Total 57" xfId="19378"/>
    <cellStyle name="Total 58" xfId="19379"/>
    <cellStyle name="Total 59" xfId="19380"/>
    <cellStyle name="Total 6" xfId="19381"/>
    <cellStyle name="Total 60" xfId="19382"/>
    <cellStyle name="Total 61" xfId="19383"/>
    <cellStyle name="Total 62" xfId="19384"/>
    <cellStyle name="Total 63" xfId="19385"/>
    <cellStyle name="Total 64" xfId="19386"/>
    <cellStyle name="Total 65" xfId="19387"/>
    <cellStyle name="Total 66" xfId="19388"/>
    <cellStyle name="Total 67" xfId="19389"/>
    <cellStyle name="Total 68" xfId="19390"/>
    <cellStyle name="Total 69" xfId="19391"/>
    <cellStyle name="Total 7" xfId="19392"/>
    <cellStyle name="Total 70" xfId="19393"/>
    <cellStyle name="Total 71" xfId="19394"/>
    <cellStyle name="Total 72" xfId="19395"/>
    <cellStyle name="Total 73" xfId="19396"/>
    <cellStyle name="Total 74" xfId="19397"/>
    <cellStyle name="Total 75" xfId="19398"/>
    <cellStyle name="Total 76" xfId="19399"/>
    <cellStyle name="Total 77" xfId="19400"/>
    <cellStyle name="Total 78" xfId="19401"/>
    <cellStyle name="Total 79" xfId="19402"/>
    <cellStyle name="Total 8" xfId="19403"/>
    <cellStyle name="Total 80" xfId="19404"/>
    <cellStyle name="Total 81" xfId="19405"/>
    <cellStyle name="Total 82" xfId="19406"/>
    <cellStyle name="Total 83" xfId="19407"/>
    <cellStyle name="Total 84" xfId="19408"/>
    <cellStyle name="Total 85" xfId="19409"/>
    <cellStyle name="Total 86" xfId="19410"/>
    <cellStyle name="Total 87" xfId="19411"/>
    <cellStyle name="Total 88" xfId="19412"/>
    <cellStyle name="Total 89" xfId="19413"/>
    <cellStyle name="Total 9" xfId="19414"/>
    <cellStyle name="Total 90" xfId="19415"/>
    <cellStyle name="Total 91" xfId="19416"/>
    <cellStyle name="Total 92" xfId="19417"/>
    <cellStyle name="Total 93" xfId="19418"/>
    <cellStyle name="Total 94" xfId="19419"/>
    <cellStyle name="Total 95" xfId="19420"/>
    <cellStyle name="Total 96" xfId="19421"/>
    <cellStyle name="Total 97" xfId="19422"/>
    <cellStyle name="Total 98" xfId="19423"/>
    <cellStyle name="Total 99" xfId="19424"/>
    <cellStyle name="Totale" xfId="18123"/>
    <cellStyle name="Totalsumme" xfId="18124"/>
    <cellStyle name="Tusental (0)_pldt" xfId="18125"/>
    <cellStyle name="Tusental_pldt" xfId="18126"/>
    <cellStyle name="Überschrift" xfId="18127"/>
    <cellStyle name="Überschrift 1" xfId="18128"/>
    <cellStyle name="Überschrift 2" xfId="18129"/>
    <cellStyle name="Überschrift 3" xfId="18130"/>
    <cellStyle name="Überschrift 4" xfId="18131"/>
    <cellStyle name="Überschrift_01_Category P&amp;L C&amp;G" xfId="19425"/>
    <cellStyle name="Undefiniert" xfId="18132"/>
    <cellStyle name="UnderMultiple" xfId="18133"/>
    <cellStyle name="úrove?_riadka_1_Ibr SRF01 Draft" xfId="18134"/>
    <cellStyle name="úroveň_riadka_1_Ibr SRF01 Draft" xfId="18135"/>
    <cellStyle name="values($ 0.000)" xfId="18136"/>
    <cellStyle name="values(0.000)" xfId="18137"/>
    <cellStyle name="Valuta (0)_~0060717" xfId="18138"/>
    <cellStyle name="Valuta [0]_~0040393" xfId="18139"/>
    <cellStyle name="Valuta_~0040393" xfId="18140"/>
    <cellStyle name="Valutario" xfId="18141"/>
    <cellStyle name="Variablenbez12" xfId="18142"/>
    <cellStyle name="Variablenbez6" xfId="18143"/>
    <cellStyle name="VENDOR" xfId="18144"/>
    <cellStyle name="VENDOR 2" xfId="18145"/>
    <cellStyle name="VENDOR_01_Philadelphia P&amp;L" xfId="19426"/>
    <cellStyle name="Verificar Célula" xfId="18146"/>
    <cellStyle name="Verknüpfte Zelle" xfId="18147"/>
    <cellStyle name="Vírgula_Topline Vol SepMu309 AOP2010(FINAL)" xfId="18148"/>
    <cellStyle name="VISION" xfId="18149"/>
    <cellStyle name="vs OB_UKCON" xfId="18150"/>
    <cellStyle name="Währung [0]_AR Display Challenge Germany " xfId="18151"/>
    <cellStyle name="Währung_AR Display Challenge Germany " xfId="18152"/>
    <cellStyle name="Walutowy [0]_15A-Raws OB'99 vs TRF'98" xfId="18153"/>
    <cellStyle name="Walutowy_15A-Raws OB'99 vs TRF'98" xfId="18154"/>
    <cellStyle name="Warnender Text" xfId="18155"/>
    <cellStyle name="Warning Text 2" xfId="18156"/>
    <cellStyle name="Warning Text 3" xfId="18157"/>
    <cellStyle name="Weekdays" xfId="18158"/>
    <cellStyle name="WP" xfId="18159"/>
    <cellStyle name="WP&amp;Co." xfId="18160"/>
    <cellStyle name="WP__P09 - Key Drivers KBE" xfId="18161"/>
    <cellStyle name="WPname" xfId="18162"/>
    <cellStyle name="WPname 2" xfId="18163"/>
    <cellStyle name="x Men" xfId="18164"/>
    <cellStyle name="X's (1)" xfId="18165"/>
    <cellStyle name="X's (1) 2" xfId="18166"/>
    <cellStyle name="X's (1)_01_Philadelphia P&amp;L" xfId="19427"/>
    <cellStyle name="Zahlen_Sales" xfId="18167"/>
    <cellStyle name="Zelle überprüfen" xfId="18168"/>
    <cellStyle name="Zwischensumme" xfId="18169"/>
    <cellStyle name="Βασικό_Analyse Trimestrielle E0" xfId="18170"/>
    <cellStyle name="Обычный_A- Package Budget 2005 - envoi CBU v2" xfId="18171"/>
    <cellStyle name="Тысячи_28-31" xfId="18172"/>
    <cellStyle name="표준_Sheet1" xfId="18173"/>
    <cellStyle name="一般_06 SBP" xfId="18174"/>
    <cellStyle name="千位[0]_option (2)" xfId="18175"/>
    <cellStyle name="千位_option (2)" xfId="18176"/>
    <cellStyle name="千位分隔[0]_1" xfId="18177"/>
    <cellStyle name="千位分隔_1" xfId="18178"/>
    <cellStyle name="千分位[0]" xfId="18179"/>
    <cellStyle name="千分位_06 SBP" xfId="18180"/>
    <cellStyle name="后继超级链接_EastRegionSalesData" xfId="18181"/>
    <cellStyle name="常规_04masterplan_0524-DM-EX-JF-CA" xfId="18182"/>
    <cellStyle name="普通_500Org JAR" xfId="18183"/>
    <cellStyle name="桁区切り_Confectionery0410" xfId="18184"/>
    <cellStyle name="標準_Confectionery0410" xfId="18185"/>
    <cellStyle name="貨幣 [0]" xfId="18186"/>
    <cellStyle name="貨幣_Book1" xfId="18187"/>
    <cellStyle name="货币[0]_1" xfId="18188"/>
    <cellStyle name="货币_1" xfId="18189"/>
    <cellStyle name="超级链接_EastRegionSalesData" xfId="1819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agora/Dept%20Shares/32_Finance/Kew_Server/FPA/2011/07_Actual%20Reporting/Actuals/P08/Actual%20Deck/KFE_FiT_PCDET_Actual_Deck_L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Dept%20Shares/32_Finance/Kew_Server/FPA/2012/08_Weekly_Posting/Consolidation/NR_WP_Countr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Documents%20and%20Settings/sonmi01/Local%20Settings/Temporary%20Internet%20Files/OLK25/Kraft%20Business%20Report%202007%20Feb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AGORA/Dept%20Shares/32_Finance/Kew_Server/FPA/2012/AC%202012/04_Backups/KFE_FiT_Factbook_Planning_V2_EVA%20add%20up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Dept%20Shares/32_Finance/Kew_Server/FPA/2010/09_Actual%20Reporting/Actuals/P12/Actual%20Deck/02_KFE%20NC%20Drivers%20Cat_Cnty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agora/32_Finance/Kew_Server/FPA/2011/16_EPM%20Reports/EPM%20KFE%20Deck/PLN/DECK_Planning_v1_KF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01_KFE_P&amp;L"/>
      <sheetName val="07_KFE_P&amp;L by Rpt Lvl"/>
      <sheetName val="02_CHO_P&amp;L"/>
      <sheetName val="02_BIS_P&amp;L"/>
      <sheetName val="02_GNC_P&amp;L"/>
      <sheetName val="02_COF_P&amp;L"/>
      <sheetName val="02_CnG_P&amp;L"/>
      <sheetName val="03_VRNO"/>
      <sheetName val="03_VRNO_QTD"/>
      <sheetName val="03_VRNO_YTD"/>
      <sheetName val="04_Power Brands"/>
      <sheetName val="05_KFE_RIG_vs_PY"/>
      <sheetName val="06_KFE_NC_Driver"/>
      <sheetName val="05_RIG_vs_PY"/>
      <sheetName val="06_Countries_NC_Driver_vs_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"/>
      <sheetName val="Menu"/>
      <sheetName val="DTC"/>
      <sheetName val="Forex"/>
      <sheetName val="Data"/>
      <sheetName val="Final_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 SB Top 20"/>
      <sheetName val="Share of segment calculation"/>
      <sheetName val="Data Original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Menu"/>
      <sheetName val="P&amp;L"/>
      <sheetName val="P&amp;L_Bridge"/>
      <sheetName val="Key_Metrics"/>
      <sheetName val="Key_Metrics_by_Brand"/>
      <sheetName val="Key_Metrics_by_Entity"/>
      <sheetName val="RIG_Total Products"/>
      <sheetName val="RIG_C&amp;G"/>
      <sheetName val="RIG"/>
      <sheetName val="RIG_by_Brand"/>
      <sheetName val="OI_Drivers"/>
      <sheetName val="OI_Driver_Total Products"/>
      <sheetName val="OI_Driver_C&amp;G"/>
      <sheetName val="Key_Metrics_Chocolate"/>
      <sheetName val="Key_Metrics_Biscuits"/>
      <sheetName val="Key_Metrics_Gum&amp;Candy"/>
      <sheetName val="Key_Metrics_Coffee"/>
      <sheetName val="Key_Metrics_Cheese&amp;Groce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NC Drv. vsAOP Cat"/>
      <sheetName val="NC Drv. vsLY Cat"/>
      <sheetName val="NC Drv. vsAug Cat"/>
      <sheetName val="EVA Mnt vs AOP_Cnty"/>
      <sheetName val="EVA YTD vs AOP_Cnty"/>
      <sheetName val="EVA Mnt vs PY_Cnty"/>
      <sheetName val="EVA YTD vs PY_Cn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01_KFE_P&amp;L"/>
      <sheetName val="02_Category P&amp;L"/>
      <sheetName val="01_CHO_P&amp;L"/>
      <sheetName val="01_BIS_P&amp;L"/>
      <sheetName val="01_GNC_P&amp;L"/>
      <sheetName val="01_COF_P&amp;L"/>
      <sheetName val="01_CHE_P&amp;L"/>
      <sheetName val="03_VRNO (2)"/>
      <sheetName val="03_VRNO"/>
      <sheetName val="03_VRO"/>
      <sheetName val="03_VRN"/>
      <sheetName val="04_Power Brands"/>
      <sheetName val="05_KFE_RIG_vs_PY"/>
      <sheetName val="06_KFE_NC_Driver_vs_PY"/>
      <sheetName val="05_RIG_vs_PY"/>
      <sheetName val="06_NC_Driver_vs_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49"/>
  <sheetViews>
    <sheetView showGridLines="0" zoomScale="80" zoomScaleNormal="80" workbookViewId="0">
      <pane xSplit="10" ySplit="2" topLeftCell="K3" activePane="bottomRight" state="frozen"/>
      <selection pane="topRight" activeCell="G1" sqref="G1"/>
      <selection pane="bottomLeft" activeCell="A3" sqref="A3"/>
      <selection pane="bottomRight" activeCell="N4" sqref="N4"/>
    </sheetView>
  </sheetViews>
  <sheetFormatPr defaultRowHeight="13.8"/>
  <cols>
    <col min="1" max="1" width="46.7265625" bestFit="1" customWidth="1"/>
    <col min="2" max="2" width="6.6328125" bestFit="1" customWidth="1"/>
    <col min="3" max="3" width="7.1796875" bestFit="1" customWidth="1"/>
    <col min="4" max="4" width="8.453125" bestFit="1" customWidth="1"/>
    <col min="5" max="5" width="12.6328125" bestFit="1" customWidth="1"/>
    <col min="6" max="6" width="11.1796875" style="2" bestFit="1" customWidth="1"/>
    <col min="7" max="7" width="7.08984375" style="2" customWidth="1"/>
    <col min="8" max="8" width="5.36328125" bestFit="1" customWidth="1"/>
    <col min="9" max="9" width="9.90625" customWidth="1"/>
    <col min="10" max="10" width="14.1796875" customWidth="1"/>
    <col min="11" max="11" width="8.1796875" customWidth="1"/>
    <col min="12" max="12" width="6.81640625" customWidth="1"/>
    <col min="13" max="13" width="5.1796875" customWidth="1"/>
    <col min="14" max="14" width="8.453125" bestFit="1" customWidth="1"/>
    <col min="15" max="15" width="6.453125" customWidth="1"/>
    <col min="16" max="16" width="9.453125" bestFit="1" customWidth="1"/>
    <col min="17" max="17" width="8" customWidth="1"/>
  </cols>
  <sheetData>
    <row r="2" spans="1:17">
      <c r="B2" s="5" t="s">
        <v>0</v>
      </c>
      <c r="C2" s="5" t="s">
        <v>1</v>
      </c>
      <c r="D2" s="5" t="s">
        <v>2</v>
      </c>
      <c r="E2" s="7" t="s">
        <v>3</v>
      </c>
      <c r="F2" s="6" t="s">
        <v>4</v>
      </c>
      <c r="G2" s="19"/>
      <c r="H2" s="5" t="s">
        <v>1</v>
      </c>
      <c r="I2" s="5" t="s">
        <v>3</v>
      </c>
      <c r="J2" s="7" t="s">
        <v>4</v>
      </c>
      <c r="N2" s="24" t="s">
        <v>5</v>
      </c>
      <c r="O2" s="50"/>
      <c r="P2" s="50"/>
      <c r="Q2" s="30" t="s">
        <v>6</v>
      </c>
    </row>
    <row r="3" spans="1:17">
      <c r="B3" s="12"/>
      <c r="C3" s="12"/>
      <c r="D3" s="12"/>
      <c r="E3" s="14"/>
      <c r="F3" s="20"/>
      <c r="G3" s="19"/>
      <c r="H3" s="12"/>
      <c r="I3" s="12"/>
      <c r="J3" s="17"/>
      <c r="N3" s="26" t="s">
        <v>7</v>
      </c>
      <c r="O3" s="27" t="s">
        <v>8</v>
      </c>
      <c r="P3" s="28" t="s">
        <v>9</v>
      </c>
      <c r="Q3" s="14"/>
    </row>
    <row r="4" spans="1:17">
      <c r="B4" s="8" t="s">
        <v>10</v>
      </c>
      <c r="C4" s="8" t="s">
        <v>11</v>
      </c>
      <c r="D4" s="8" t="s">
        <v>7</v>
      </c>
      <c r="E4" s="15" t="str">
        <f>VLOOKUP(C4,$H$4:$I$14,2,0)</f>
        <v>Chocolate</v>
      </c>
      <c r="F4" s="9">
        <v>105</v>
      </c>
      <c r="H4" s="8" t="s">
        <v>11</v>
      </c>
      <c r="I4" s="8" t="s">
        <v>12</v>
      </c>
      <c r="J4" s="18">
        <f>SUMIF(C4:C48,H4,F4:F48)</f>
        <v>1609.43208</v>
      </c>
      <c r="M4" s="23" t="s">
        <v>13</v>
      </c>
      <c r="N4" s="25">
        <f>SUMIFS(F4:$F$48,$B$4:$B$48,M4,$D$4:$D$48,"Q1")</f>
        <v>32.302080000000004</v>
      </c>
      <c r="O4" s="25">
        <f>SUMIFS($F$4:$F$48,$B$4:$B$48,M4,$D$4:$D$48,"Q2")</f>
        <v>201.40669600000001</v>
      </c>
      <c r="P4" s="22">
        <f t="shared" ref="P4:P16" si="0">SUMIFS($F$4:$F$48,$B$4:$B$48,M4,$D$4:$D$48,"Q3") + SUMIFS($F$4:$F$48,$B$4:$B$48,M4,$D$4:$D$48,"Q4")</f>
        <v>443.63256000000001</v>
      </c>
      <c r="Q4" s="9">
        <f t="shared" ref="Q4:Q17" si="1">SUM(N4:P4)</f>
        <v>677.34133599999996</v>
      </c>
    </row>
    <row r="5" spans="1:17">
      <c r="A5" t="s">
        <v>14</v>
      </c>
      <c r="B5" s="8" t="s">
        <v>15</v>
      </c>
      <c r="C5" s="8" t="s">
        <v>16</v>
      </c>
      <c r="D5" s="8" t="s">
        <v>8</v>
      </c>
      <c r="E5" s="15" t="str">
        <f t="shared" ref="E5:E48" si="2">VLOOKUP(C5,$H$4:$I$14,2,0)</f>
        <v>Biscuits</v>
      </c>
      <c r="F5" s="9">
        <v>102</v>
      </c>
      <c r="H5" s="8" t="s">
        <v>16</v>
      </c>
      <c r="I5" s="8" t="s">
        <v>17</v>
      </c>
      <c r="J5" s="18">
        <f>SUMIF(C4:C48,H5,F4:F48)</f>
        <v>310.89206999999999</v>
      </c>
      <c r="M5" s="8" t="s">
        <v>18</v>
      </c>
      <c r="N5" s="25">
        <f>SUMIFS(F4:F48,B4:$B$48,M5,$D$4:$D$48,"Q1")</f>
        <v>87.795599999999993</v>
      </c>
      <c r="O5" s="25">
        <f>SUMIFS(F4:F48,$B$4:$B$48,M5,$D$4:$D$48,"Q2")</f>
        <v>76.181070000000005</v>
      </c>
      <c r="P5" s="22">
        <f t="shared" si="0"/>
        <v>30.11712</v>
      </c>
      <c r="Q5" s="9">
        <f t="shared" si="1"/>
        <v>194.09379000000001</v>
      </c>
    </row>
    <row r="6" spans="1:17">
      <c r="A6" t="s">
        <v>19</v>
      </c>
      <c r="B6" s="8" t="s">
        <v>20</v>
      </c>
      <c r="C6" s="8" t="s">
        <v>11</v>
      </c>
      <c r="D6" s="8" t="s">
        <v>21</v>
      </c>
      <c r="E6" s="15" t="str">
        <f t="shared" si="2"/>
        <v>Chocolate</v>
      </c>
      <c r="F6" s="9">
        <v>541.43207999999993</v>
      </c>
      <c r="H6" s="8" t="s">
        <v>22</v>
      </c>
      <c r="I6" s="8" t="s">
        <v>23</v>
      </c>
      <c r="J6" s="18">
        <f>SUMIF(C4:C48,H6,F4:F48)</f>
        <v>251.41996</v>
      </c>
      <c r="M6" s="8" t="s">
        <v>24</v>
      </c>
      <c r="N6" s="25">
        <f>SUMIFS($F$4:$F$48,$B$4:$B$48,M6,$D$4:$D$48,"Q1")</f>
        <v>51.496019999999994</v>
      </c>
      <c r="O6" s="25">
        <f>SUMIFS($F$4:$F$48,$B$4:$B$48,M6,D$4:D$48,"Q2")</f>
        <v>0</v>
      </c>
      <c r="P6" s="22">
        <f t="shared" si="0"/>
        <v>0</v>
      </c>
      <c r="Q6" s="9">
        <f t="shared" si="1"/>
        <v>51.496019999999994</v>
      </c>
    </row>
    <row r="7" spans="1:17">
      <c r="A7" t="s">
        <v>25</v>
      </c>
      <c r="B7" s="8" t="s">
        <v>20</v>
      </c>
      <c r="C7" s="8" t="s">
        <v>26</v>
      </c>
      <c r="D7" s="8" t="s">
        <v>8</v>
      </c>
      <c r="E7" s="15" t="str">
        <f t="shared" si="2"/>
        <v>G&amp;C</v>
      </c>
      <c r="F7" s="9">
        <v>481.60840000000002</v>
      </c>
      <c r="H7" s="8" t="s">
        <v>27</v>
      </c>
      <c r="I7" s="8" t="s">
        <v>28</v>
      </c>
      <c r="J7" s="18">
        <f>SUMIF(C4:C48,H7,F4:F48)</f>
        <v>842.85364000000004</v>
      </c>
      <c r="M7" s="8" t="s">
        <v>20</v>
      </c>
      <c r="N7" s="25">
        <f>SUMIFS($F$4:$F$48,$B$4:$B$48,M7,$D$4:$D$48,"Q1")</f>
        <v>0</v>
      </c>
      <c r="O7" s="25">
        <f>SUMIFS($F$4:$F$48,$B$4:$B$48,M7,$D$4:$D$48,"Q2")</f>
        <v>657.62044000000003</v>
      </c>
      <c r="P7" s="22">
        <f t="shared" si="0"/>
        <v>1037.2266</v>
      </c>
      <c r="Q7" s="9">
        <f t="shared" si="1"/>
        <v>1694.8470400000001</v>
      </c>
    </row>
    <row r="8" spans="1:17">
      <c r="B8" s="8" t="s">
        <v>15</v>
      </c>
      <c r="C8" s="8" t="s">
        <v>27</v>
      </c>
      <c r="D8" s="8" t="s">
        <v>29</v>
      </c>
      <c r="E8" s="15" t="str">
        <f t="shared" si="2"/>
        <v>Coffee</v>
      </c>
      <c r="F8" s="9">
        <v>439.50959999999998</v>
      </c>
      <c r="H8" s="8" t="s">
        <v>30</v>
      </c>
      <c r="I8" s="8" t="s">
        <v>23</v>
      </c>
      <c r="J8" s="18">
        <f>SUMIF(C4:C48,H8,F4:F48)</f>
        <v>205.30068800000001</v>
      </c>
      <c r="M8" s="8" t="s">
        <v>31</v>
      </c>
      <c r="N8" s="25">
        <f>SUMIFS($F$4:$F$48,$B$4:$B$48,M8,$D$4:$D$48,"Q1")</f>
        <v>0</v>
      </c>
      <c r="O8" s="25">
        <f>SUMIFS(F4:$F$48,B4:$B$48,M8,$D$4:$D$48,"Q4")</f>
        <v>0</v>
      </c>
      <c r="P8" s="22">
        <f t="shared" si="0"/>
        <v>81.02619</v>
      </c>
      <c r="Q8" s="9">
        <f t="shared" si="1"/>
        <v>81.02619</v>
      </c>
    </row>
    <row r="9" spans="1:17">
      <c r="B9" s="8" t="s">
        <v>32</v>
      </c>
      <c r="C9" s="8" t="s">
        <v>33</v>
      </c>
      <c r="D9" s="8" t="s">
        <v>8</v>
      </c>
      <c r="E9" s="15" t="str">
        <f t="shared" si="2"/>
        <v>Coffee</v>
      </c>
      <c r="F9" s="9">
        <v>200</v>
      </c>
      <c r="H9" s="8" t="s">
        <v>34</v>
      </c>
      <c r="I9" s="8" t="s">
        <v>35</v>
      </c>
      <c r="J9" s="18">
        <f>SUMIF(C4:C48,H9,F4:F48)</f>
        <v>388.00622999999996</v>
      </c>
      <c r="M9" s="8" t="s">
        <v>15</v>
      </c>
      <c r="N9" s="25">
        <f>SUMIFS(F4:$F$48,$B$4:$B$48,M9,$D$4:$D$48,"Q1")</f>
        <v>0</v>
      </c>
      <c r="O9" s="25">
        <f t="shared" ref="O9:O16" si="3">SUMIFS($F$4:$F$48,$B$4:$B$48,M9,$D$4:$D$48,"Q2")</f>
        <v>102</v>
      </c>
      <c r="P9" s="22">
        <f t="shared" si="0"/>
        <v>439.50959999999998</v>
      </c>
      <c r="Q9" s="9">
        <f>SUM(N9:P9)</f>
        <v>541.50959999999998</v>
      </c>
    </row>
    <row r="10" spans="1:17">
      <c r="B10" s="8" t="s">
        <v>20</v>
      </c>
      <c r="C10" s="8" t="s">
        <v>33</v>
      </c>
      <c r="D10" s="8" t="s">
        <v>29</v>
      </c>
      <c r="E10" s="15" t="str">
        <f t="shared" si="2"/>
        <v>Coffee</v>
      </c>
      <c r="F10" s="9">
        <v>393.00552000000005</v>
      </c>
      <c r="H10" s="8" t="s">
        <v>36</v>
      </c>
      <c r="I10" s="8" t="s">
        <v>12</v>
      </c>
      <c r="J10" s="18">
        <f>SUMIF(C4:C48,H10,F4:F48)</f>
        <v>376.57109599999995</v>
      </c>
      <c r="M10" s="8" t="s">
        <v>37</v>
      </c>
      <c r="N10" s="25">
        <f t="shared" ref="N10:N16" si="4">SUMIFS($F$4:$F$48,$B$4:$B$48,M10,$D$4:$D$48,"Q1")</f>
        <v>35.700000000000003</v>
      </c>
      <c r="O10" s="25">
        <f t="shared" si="3"/>
        <v>996.61512000000005</v>
      </c>
      <c r="P10" s="22">
        <f t="shared" si="0"/>
        <v>21.449503999998793</v>
      </c>
      <c r="Q10" s="9">
        <f t="shared" si="1"/>
        <v>1053.7646239999988</v>
      </c>
    </row>
    <row r="11" spans="1:17">
      <c r="B11" s="8" t="s">
        <v>32</v>
      </c>
      <c r="C11" s="8" t="s">
        <v>26</v>
      </c>
      <c r="D11" s="8" t="s">
        <v>29</v>
      </c>
      <c r="E11" s="15" t="str">
        <f t="shared" si="2"/>
        <v>G&amp;C</v>
      </c>
      <c r="F11" s="9">
        <v>391.35</v>
      </c>
      <c r="H11" s="8" t="s">
        <v>33</v>
      </c>
      <c r="I11" s="8" t="s">
        <v>28</v>
      </c>
      <c r="J11" s="18">
        <f>SUMIF(C4:C48,H11,F4:F48)</f>
        <v>1333.880895999999</v>
      </c>
      <c r="M11" s="8" t="s">
        <v>10</v>
      </c>
      <c r="N11" s="25">
        <f t="shared" si="4"/>
        <v>105</v>
      </c>
      <c r="O11" s="25">
        <f t="shared" si="3"/>
        <v>0</v>
      </c>
      <c r="P11" s="22">
        <f t="shared" si="0"/>
        <v>0</v>
      </c>
      <c r="Q11" s="9">
        <f t="shared" si="1"/>
        <v>105</v>
      </c>
    </row>
    <row r="12" spans="1:17">
      <c r="B12" s="8" t="s">
        <v>32</v>
      </c>
      <c r="C12" s="8" t="s">
        <v>33</v>
      </c>
      <c r="D12" s="8" t="s">
        <v>7</v>
      </c>
      <c r="E12" s="15" t="str">
        <f t="shared" si="2"/>
        <v>Coffee</v>
      </c>
      <c r="F12" s="9">
        <v>312.09570000000002</v>
      </c>
      <c r="H12" s="8" t="s">
        <v>26</v>
      </c>
      <c r="I12" s="8" t="s">
        <v>23</v>
      </c>
      <c r="J12" s="18">
        <f>SUMIF(C4:C48,H12,F4:F48)</f>
        <v>1137.9380200000001</v>
      </c>
      <c r="M12" s="8" t="s">
        <v>38</v>
      </c>
      <c r="N12" s="25">
        <f t="shared" si="4"/>
        <v>0</v>
      </c>
      <c r="O12" s="25">
        <f t="shared" si="3"/>
        <v>230</v>
      </c>
      <c r="P12" s="22">
        <f t="shared" si="0"/>
        <v>32.133000000000003</v>
      </c>
      <c r="Q12" s="9">
        <f t="shared" si="1"/>
        <v>262.13299999999998</v>
      </c>
    </row>
    <row r="13" spans="1:17">
      <c r="B13" s="8" t="s">
        <v>38</v>
      </c>
      <c r="C13" s="8" t="s">
        <v>39</v>
      </c>
      <c r="D13" s="8" t="s">
        <v>8</v>
      </c>
      <c r="E13" s="15" t="str">
        <f t="shared" si="2"/>
        <v>Biscuits</v>
      </c>
      <c r="F13" s="9">
        <v>230</v>
      </c>
      <c r="H13" s="8" t="s">
        <v>40</v>
      </c>
      <c r="I13" s="8" t="s">
        <v>12</v>
      </c>
      <c r="J13" s="18">
        <f>SUMIF(C4:C48,H13,F4:F48)</f>
        <v>336.74916000000002</v>
      </c>
      <c r="M13" s="8" t="s">
        <v>32</v>
      </c>
      <c r="N13" s="25">
        <f t="shared" si="4"/>
        <v>560.40120000000002</v>
      </c>
      <c r="O13" s="25">
        <f t="shared" si="3"/>
        <v>337.11199999999997</v>
      </c>
      <c r="P13" s="22">
        <f t="shared" si="0"/>
        <v>894.2470679999999</v>
      </c>
      <c r="Q13" s="9">
        <f t="shared" si="1"/>
        <v>1791.760268</v>
      </c>
    </row>
    <row r="14" spans="1:17">
      <c r="B14" s="8" t="s">
        <v>13</v>
      </c>
      <c r="C14" s="8" t="s">
        <v>36</v>
      </c>
      <c r="D14" s="8" t="s">
        <v>21</v>
      </c>
      <c r="E14" s="15" t="str">
        <f t="shared" si="2"/>
        <v>Chocolate</v>
      </c>
      <c r="F14" s="9">
        <v>291.18979999999999</v>
      </c>
      <c r="H14" s="11" t="s">
        <v>39</v>
      </c>
      <c r="I14" s="11" t="s">
        <v>17</v>
      </c>
      <c r="J14" s="18">
        <f>SUMIF(C4:C48,H14,F4:F48)</f>
        <v>352.61750000000001</v>
      </c>
      <c r="M14" s="8" t="s">
        <v>41</v>
      </c>
      <c r="N14" s="25">
        <f t="shared" si="4"/>
        <v>166.40748000000002</v>
      </c>
      <c r="O14" s="25">
        <f t="shared" si="3"/>
        <v>0</v>
      </c>
      <c r="P14" s="22">
        <f t="shared" si="0"/>
        <v>200.34504000000001</v>
      </c>
      <c r="Q14" s="9">
        <f t="shared" si="1"/>
        <v>366.75252</v>
      </c>
    </row>
    <row r="15" spans="1:17">
      <c r="B15" s="8" t="s">
        <v>41</v>
      </c>
      <c r="C15" s="8" t="s">
        <v>40</v>
      </c>
      <c r="D15" s="8" t="s">
        <v>21</v>
      </c>
      <c r="E15" s="15" t="str">
        <f t="shared" si="2"/>
        <v>Chocolate</v>
      </c>
      <c r="F15" s="9">
        <v>200.34504000000001</v>
      </c>
      <c r="I15" s="1"/>
      <c r="J15" s="16">
        <f>SUM(J4:J14)</f>
        <v>7145.6613399999997</v>
      </c>
      <c r="M15" s="8" t="s">
        <v>42</v>
      </c>
      <c r="N15" s="25">
        <f t="shared" si="4"/>
        <v>0</v>
      </c>
      <c r="O15" s="25">
        <f t="shared" si="3"/>
        <v>0</v>
      </c>
      <c r="P15" s="22">
        <f t="shared" si="0"/>
        <v>36.287519999999994</v>
      </c>
      <c r="Q15" s="9">
        <f t="shared" si="1"/>
        <v>36.287519999999994</v>
      </c>
    </row>
    <row r="16" spans="1:17">
      <c r="B16" s="8" t="s">
        <v>32</v>
      </c>
      <c r="C16" s="8" t="s">
        <v>33</v>
      </c>
      <c r="D16" s="8" t="s">
        <v>29</v>
      </c>
      <c r="E16" s="15" t="str">
        <f t="shared" si="2"/>
        <v>Coffee</v>
      </c>
      <c r="F16" s="9">
        <v>196.74549999999999</v>
      </c>
      <c r="I16" s="1" t="s">
        <v>43</v>
      </c>
      <c r="J16" s="2">
        <f>J15-F49</f>
        <v>0</v>
      </c>
      <c r="M16" s="8" t="s">
        <v>44</v>
      </c>
      <c r="N16" s="25">
        <f t="shared" si="4"/>
        <v>0</v>
      </c>
      <c r="O16" s="25">
        <f t="shared" si="3"/>
        <v>192.63843199999997</v>
      </c>
      <c r="P16" s="22">
        <f t="shared" si="0"/>
        <v>97.010999999999996</v>
      </c>
      <c r="Q16" s="9">
        <f t="shared" si="1"/>
        <v>289.64943199999993</v>
      </c>
    </row>
    <row r="17" spans="1:17">
      <c r="B17" s="8" t="s">
        <v>32</v>
      </c>
      <c r="C17" s="8" t="s">
        <v>26</v>
      </c>
      <c r="D17" s="8" t="s">
        <v>7</v>
      </c>
      <c r="E17" s="15" t="str">
        <f t="shared" si="2"/>
        <v>G&amp;C</v>
      </c>
      <c r="F17" s="9">
        <v>180</v>
      </c>
      <c r="M17" s="5" t="s">
        <v>6</v>
      </c>
      <c r="N17" s="10">
        <f>SUM(N4:N16)</f>
        <v>1039.10238</v>
      </c>
      <c r="O17" s="10">
        <f>SUM(O4:O16)</f>
        <v>2793.5737580000005</v>
      </c>
      <c r="P17" s="10">
        <f>SUM(P4:P16)</f>
        <v>3312.9852019999985</v>
      </c>
      <c r="Q17" s="3">
        <f t="shared" si="1"/>
        <v>7145.6613399999987</v>
      </c>
    </row>
    <row r="18" spans="1:17">
      <c r="B18" s="8" t="s">
        <v>32</v>
      </c>
      <c r="C18" s="8" t="s">
        <v>30</v>
      </c>
      <c r="D18" s="8" t="s">
        <v>29</v>
      </c>
      <c r="E18" s="15" t="str">
        <f t="shared" si="2"/>
        <v>G&amp;C</v>
      </c>
      <c r="F18" s="9">
        <v>152.78</v>
      </c>
      <c r="P18" t="s">
        <v>43</v>
      </c>
      <c r="Q18" s="4">
        <f>Q17-F49</f>
        <v>0</v>
      </c>
    </row>
    <row r="19" spans="1:17">
      <c r="B19" s="8" t="s">
        <v>13</v>
      </c>
      <c r="C19" s="8" t="s">
        <v>27</v>
      </c>
      <c r="D19" s="8" t="s">
        <v>8</v>
      </c>
      <c r="E19" s="15" t="str">
        <f t="shared" si="2"/>
        <v>Coffee</v>
      </c>
      <c r="F19" s="9">
        <v>148.1584</v>
      </c>
    </row>
    <row r="20" spans="1:17" s="1" customFormat="1">
      <c r="A20"/>
      <c r="B20" s="8" t="s">
        <v>32</v>
      </c>
      <c r="C20" s="8" t="s">
        <v>33</v>
      </c>
      <c r="D20" s="8" t="s">
        <v>8</v>
      </c>
      <c r="E20" s="15" t="str">
        <f t="shared" si="2"/>
        <v>Coffee</v>
      </c>
      <c r="F20" s="9">
        <v>137.11199999999999</v>
      </c>
      <c r="G20" s="2"/>
      <c r="H20"/>
      <c r="I20"/>
      <c r="J20"/>
      <c r="K20"/>
      <c r="L20"/>
      <c r="M20"/>
      <c r="N20"/>
      <c r="O20"/>
      <c r="P20"/>
      <c r="Q20"/>
    </row>
    <row r="21" spans="1:17">
      <c r="B21" s="8" t="s">
        <v>20</v>
      </c>
      <c r="C21" s="8" t="s">
        <v>34</v>
      </c>
      <c r="D21" s="8" t="s">
        <v>8</v>
      </c>
      <c r="E21" s="15" t="str">
        <f t="shared" si="2"/>
        <v>C&amp;G</v>
      </c>
      <c r="F21" s="9">
        <v>119.41968</v>
      </c>
    </row>
    <row r="22" spans="1:17">
      <c r="B22" s="8" t="s">
        <v>44</v>
      </c>
      <c r="C22" s="8" t="s">
        <v>27</v>
      </c>
      <c r="D22" s="8" t="s">
        <v>8</v>
      </c>
      <c r="E22" s="15" t="str">
        <f t="shared" si="2"/>
        <v>Coffee</v>
      </c>
      <c r="F22" s="9">
        <v>119.16575999999999</v>
      </c>
    </row>
    <row r="23" spans="1:17">
      <c r="B23" s="8" t="s">
        <v>41</v>
      </c>
      <c r="C23" s="8" t="s">
        <v>22</v>
      </c>
      <c r="D23" s="8" t="s">
        <v>7</v>
      </c>
      <c r="E23" s="15" t="str">
        <f t="shared" si="2"/>
        <v>G&amp;C</v>
      </c>
      <c r="F23" s="9">
        <v>110.79288000000001</v>
      </c>
    </row>
    <row r="24" spans="1:17">
      <c r="B24" s="8" t="s">
        <v>13</v>
      </c>
      <c r="C24" s="8" t="s">
        <v>22</v>
      </c>
      <c r="D24" s="8" t="s">
        <v>21</v>
      </c>
      <c r="E24" s="15" t="str">
        <f t="shared" si="2"/>
        <v>G&amp;C</v>
      </c>
      <c r="F24" s="9">
        <v>104.33955999999999</v>
      </c>
    </row>
    <row r="25" spans="1:17">
      <c r="B25" s="8" t="s">
        <v>20</v>
      </c>
      <c r="C25" s="8" t="s">
        <v>40</v>
      </c>
      <c r="D25" s="8" t="s">
        <v>29</v>
      </c>
      <c r="E25" s="15" t="str">
        <f t="shared" si="2"/>
        <v>Chocolate</v>
      </c>
      <c r="F25" s="9">
        <v>102.789</v>
      </c>
      <c r="N25" s="13"/>
    </row>
    <row r="26" spans="1:17">
      <c r="B26" s="8" t="s">
        <v>32</v>
      </c>
      <c r="C26" s="8" t="s">
        <v>34</v>
      </c>
      <c r="D26" s="8" t="s">
        <v>21</v>
      </c>
      <c r="E26" s="15" t="str">
        <f t="shared" si="2"/>
        <v>C&amp;G</v>
      </c>
      <c r="F26" s="9">
        <v>100.85088</v>
      </c>
    </row>
    <row r="27" spans="1:17">
      <c r="B27" s="8" t="s">
        <v>44</v>
      </c>
      <c r="C27" s="8" t="s">
        <v>16</v>
      </c>
      <c r="D27" s="8" t="s">
        <v>29</v>
      </c>
      <c r="E27" s="15" t="str">
        <f t="shared" si="2"/>
        <v>Biscuits</v>
      </c>
      <c r="F27" s="9">
        <v>97.010999999999996</v>
      </c>
    </row>
    <row r="28" spans="1:17">
      <c r="B28" s="8" t="s">
        <v>31</v>
      </c>
      <c r="C28" s="8" t="s">
        <v>34</v>
      </c>
      <c r="D28" s="8" t="s">
        <v>29</v>
      </c>
      <c r="E28" s="15" t="str">
        <f t="shared" si="2"/>
        <v>C&amp;G</v>
      </c>
      <c r="F28" s="9">
        <v>81.02619</v>
      </c>
    </row>
    <row r="29" spans="1:17">
      <c r="B29" s="8" t="s">
        <v>18</v>
      </c>
      <c r="C29" s="8" t="s">
        <v>16</v>
      </c>
      <c r="D29" s="8" t="s">
        <v>8</v>
      </c>
      <c r="E29" s="15" t="str">
        <f t="shared" si="2"/>
        <v>Biscuits</v>
      </c>
      <c r="F29" s="9">
        <v>76.181070000000005</v>
      </c>
    </row>
    <row r="30" spans="1:17">
      <c r="B30" s="8" t="s">
        <v>32</v>
      </c>
      <c r="C30" s="8" t="s">
        <v>39</v>
      </c>
      <c r="D30" s="8" t="s">
        <v>7</v>
      </c>
      <c r="E30" s="15" t="str">
        <f t="shared" si="2"/>
        <v>Biscuits</v>
      </c>
      <c r="F30" s="9">
        <v>68.305499999999995</v>
      </c>
    </row>
    <row r="31" spans="1:17">
      <c r="B31" s="8" t="s">
        <v>44</v>
      </c>
      <c r="C31" s="8" t="s">
        <v>33</v>
      </c>
      <c r="D31" s="8" t="s">
        <v>8</v>
      </c>
      <c r="E31" s="15" t="str">
        <f t="shared" si="2"/>
        <v>Coffee</v>
      </c>
      <c r="F31" s="9">
        <v>20</v>
      </c>
    </row>
    <row r="32" spans="1:17">
      <c r="B32" s="8" t="s">
        <v>20</v>
      </c>
      <c r="C32" s="8" t="s">
        <v>34</v>
      </c>
      <c r="D32" s="8" t="s">
        <v>8</v>
      </c>
      <c r="E32" s="15" t="str">
        <f t="shared" si="2"/>
        <v>C&amp;G</v>
      </c>
      <c r="F32" s="9">
        <v>56.592359999999999</v>
      </c>
    </row>
    <row r="33" spans="2:6">
      <c r="B33" s="8" t="s">
        <v>41</v>
      </c>
      <c r="C33" s="8" t="s">
        <v>27</v>
      </c>
      <c r="D33" s="8" t="s">
        <v>7</v>
      </c>
      <c r="E33" s="15" t="str">
        <f t="shared" si="2"/>
        <v>Coffee</v>
      </c>
      <c r="F33" s="9">
        <v>55.614599999999996</v>
      </c>
    </row>
    <row r="34" spans="2:6">
      <c r="B34" s="8" t="s">
        <v>18</v>
      </c>
      <c r="C34" s="8" t="s">
        <v>39</v>
      </c>
      <c r="D34" s="8" t="s">
        <v>7</v>
      </c>
      <c r="E34" s="15" t="str">
        <f t="shared" si="2"/>
        <v>Biscuits</v>
      </c>
      <c r="F34" s="9">
        <v>54.311999999999998</v>
      </c>
    </row>
    <row r="35" spans="2:6">
      <c r="B35" s="8" t="s">
        <v>44</v>
      </c>
      <c r="C35" s="8" t="s">
        <v>33</v>
      </c>
      <c r="D35" s="8" t="s">
        <v>8</v>
      </c>
      <c r="E35" s="15" t="str">
        <f t="shared" si="2"/>
        <v>Coffee</v>
      </c>
      <c r="F35" s="9">
        <v>53.472671999999996</v>
      </c>
    </row>
    <row r="36" spans="2:6">
      <c r="B36" s="8" t="s">
        <v>13</v>
      </c>
      <c r="C36" s="8" t="s">
        <v>36</v>
      </c>
      <c r="D36" s="8" t="s">
        <v>8</v>
      </c>
      <c r="E36" s="15" t="str">
        <f t="shared" si="2"/>
        <v>Chocolate</v>
      </c>
      <c r="F36" s="9">
        <v>53.248296000000003</v>
      </c>
    </row>
    <row r="37" spans="2:6">
      <c r="B37" s="8" t="s">
        <v>32</v>
      </c>
      <c r="C37" s="8" t="s">
        <v>30</v>
      </c>
      <c r="D37" s="8" t="s">
        <v>29</v>
      </c>
      <c r="E37" s="15" t="str">
        <f t="shared" si="2"/>
        <v>G&amp;C</v>
      </c>
      <c r="F37" s="9">
        <v>52.520688</v>
      </c>
    </row>
    <row r="38" spans="2:6">
      <c r="B38" s="8" t="s">
        <v>24</v>
      </c>
      <c r="C38" s="8" t="s">
        <v>26</v>
      </c>
      <c r="D38" s="8" t="s">
        <v>7</v>
      </c>
      <c r="E38" s="15" t="str">
        <f t="shared" si="2"/>
        <v>G&amp;C</v>
      </c>
      <c r="F38" s="9">
        <v>51.496019999999994</v>
      </c>
    </row>
    <row r="39" spans="2:6">
      <c r="B39" s="8" t="s">
        <v>13</v>
      </c>
      <c r="C39" s="8" t="s">
        <v>27</v>
      </c>
      <c r="D39" s="8" t="s">
        <v>29</v>
      </c>
      <c r="E39" s="15" t="str">
        <f t="shared" si="2"/>
        <v>Coffee</v>
      </c>
      <c r="F39" s="9">
        <v>48.103199999999994</v>
      </c>
    </row>
    <row r="40" spans="2:6">
      <c r="B40" s="8" t="s">
        <v>42</v>
      </c>
      <c r="C40" s="8" t="s">
        <v>22</v>
      </c>
      <c r="D40" s="8" t="s">
        <v>21</v>
      </c>
      <c r="E40" s="15" t="str">
        <f t="shared" si="2"/>
        <v>G&amp;C</v>
      </c>
      <c r="F40" s="9">
        <v>36.287519999999994</v>
      </c>
    </row>
    <row r="41" spans="2:6">
      <c r="B41" s="8" t="s">
        <v>37</v>
      </c>
      <c r="C41" s="8" t="s">
        <v>16</v>
      </c>
      <c r="D41" s="8" t="s">
        <v>7</v>
      </c>
      <c r="E41" s="15" t="str">
        <f t="shared" si="2"/>
        <v>Biscuits</v>
      </c>
      <c r="F41" s="9">
        <v>35.700000000000003</v>
      </c>
    </row>
    <row r="42" spans="2:6">
      <c r="B42" s="8" t="s">
        <v>37</v>
      </c>
      <c r="C42" s="8" t="s">
        <v>40</v>
      </c>
      <c r="D42" s="8" t="s">
        <v>8</v>
      </c>
      <c r="E42" s="15" t="str">
        <f t="shared" si="2"/>
        <v>Chocolate</v>
      </c>
      <c r="F42" s="9">
        <v>33.615120000000005</v>
      </c>
    </row>
    <row r="43" spans="2:6">
      <c r="B43" s="8" t="s">
        <v>18</v>
      </c>
      <c r="C43" s="8" t="s">
        <v>26</v>
      </c>
      <c r="D43" s="8" t="s">
        <v>7</v>
      </c>
      <c r="E43" s="15" t="str">
        <f t="shared" si="2"/>
        <v>G&amp;C</v>
      </c>
      <c r="F43" s="9">
        <v>33.483599999999996</v>
      </c>
    </row>
    <row r="44" spans="2:6">
      <c r="B44" s="8" t="s">
        <v>13</v>
      </c>
      <c r="C44" s="8" t="s">
        <v>27</v>
      </c>
      <c r="D44" s="8" t="s">
        <v>7</v>
      </c>
      <c r="E44" s="15" t="str">
        <f t="shared" si="2"/>
        <v>Coffee</v>
      </c>
      <c r="F44" s="9">
        <v>32.302080000000004</v>
      </c>
    </row>
    <row r="45" spans="2:6">
      <c r="B45" s="8" t="s">
        <v>38</v>
      </c>
      <c r="C45" s="8" t="s">
        <v>36</v>
      </c>
      <c r="D45" s="8" t="s">
        <v>21</v>
      </c>
      <c r="E45" s="15" t="str">
        <f t="shared" si="2"/>
        <v>Chocolate</v>
      </c>
      <c r="F45" s="9">
        <v>32.133000000000003</v>
      </c>
    </row>
    <row r="46" spans="2:6">
      <c r="B46" s="8" t="s">
        <v>37</v>
      </c>
      <c r="C46" s="8" t="s">
        <v>11</v>
      </c>
      <c r="D46" s="8" t="s">
        <v>8</v>
      </c>
      <c r="E46" s="15" t="str">
        <f t="shared" si="2"/>
        <v>Chocolate</v>
      </c>
      <c r="F46" s="9">
        <v>963</v>
      </c>
    </row>
    <row r="47" spans="2:6">
      <c r="B47" s="8" t="s">
        <v>18</v>
      </c>
      <c r="C47" s="8" t="s">
        <v>34</v>
      </c>
      <c r="D47" s="8" t="s">
        <v>21</v>
      </c>
      <c r="E47" s="15" t="str">
        <f t="shared" si="2"/>
        <v>C&amp;G</v>
      </c>
      <c r="F47" s="9">
        <v>30.11712</v>
      </c>
    </row>
    <row r="48" spans="2:6">
      <c r="B48" s="11" t="s">
        <v>37</v>
      </c>
      <c r="C48" s="11" t="s">
        <v>33</v>
      </c>
      <c r="D48" s="11" t="s">
        <v>21</v>
      </c>
      <c r="E48" s="15" t="str">
        <f t="shared" si="2"/>
        <v>Coffee</v>
      </c>
      <c r="F48" s="21">
        <v>21.449503999998793</v>
      </c>
    </row>
    <row r="49" spans="6:7">
      <c r="F49" s="3">
        <f>SUM(F4:F48)</f>
        <v>7145.661339999996</v>
      </c>
      <c r="G49" s="16"/>
    </row>
  </sheetData>
  <autoFilter ref="B2:F49"/>
  <sortState ref="B4:H294">
    <sortCondition descending="1" ref="F4:F294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23"/>
  <sheetViews>
    <sheetView showGridLines="0" tabSelected="1" zoomScaleNormal="100" workbookViewId="0">
      <selection activeCell="F11" sqref="F11"/>
    </sheetView>
  </sheetViews>
  <sheetFormatPr defaultRowHeight="13.8"/>
  <cols>
    <col min="1" max="1" width="1.7265625" customWidth="1"/>
    <col min="2" max="2" width="5.36328125" bestFit="1" customWidth="1"/>
    <col min="3" max="3" width="18" customWidth="1"/>
    <col min="4" max="4" width="9.7265625" bestFit="1" customWidth="1"/>
    <col min="5" max="5" width="13.81640625" customWidth="1"/>
    <col min="6" max="6" width="13.1796875" customWidth="1"/>
    <col min="7" max="7" width="9" bestFit="1" customWidth="1"/>
    <col min="9" max="9" width="9.26953125" bestFit="1" customWidth="1"/>
  </cols>
  <sheetData>
    <row r="2" spans="2:12">
      <c r="B2" s="29" t="s">
        <v>1</v>
      </c>
      <c r="C2" s="29" t="s">
        <v>3</v>
      </c>
      <c r="D2" s="30" t="s">
        <v>45</v>
      </c>
      <c r="E2" s="34" t="s">
        <v>46</v>
      </c>
      <c r="F2" s="37" t="s">
        <v>47</v>
      </c>
    </row>
    <row r="3" spans="2:12">
      <c r="B3" s="12"/>
      <c r="C3" s="12"/>
      <c r="D3" s="12"/>
      <c r="E3" s="35"/>
      <c r="F3" s="12"/>
    </row>
    <row r="4" spans="2:12">
      <c r="B4" s="8" t="s">
        <v>11</v>
      </c>
      <c r="C4" s="8" t="s">
        <v>12</v>
      </c>
      <c r="D4" s="31">
        <v>1609.43208</v>
      </c>
      <c r="E4" s="36">
        <v>1600</v>
      </c>
      <c r="F4" s="48">
        <f>IF(E4=0,"100",IF(((D4-E4)/E4)*100&gt;100,"++",IF(((D4-E4)/E4)*100&lt;0,"--",((D4-E4)/E4))))</f>
        <v>5.8950500000000258E-3</v>
      </c>
      <c r="G4" s="44"/>
      <c r="H4" s="45"/>
      <c r="I4" s="42"/>
    </row>
    <row r="5" spans="2:12">
      <c r="B5" s="8" t="s">
        <v>16</v>
      </c>
      <c r="C5" s="8" t="s">
        <v>17</v>
      </c>
      <c r="D5" s="31">
        <v>311</v>
      </c>
      <c r="E5" s="36">
        <v>-10</v>
      </c>
      <c r="F5" s="48" t="str">
        <f t="shared" ref="F5:F14" si="0">IF(E5=0,"100",IF(((D5-E5)/E5)*100&gt;100,"++",IF(((D5-E5)/E5)*100&lt;0,"--",((D5-E5)/E5))))</f>
        <v>--</v>
      </c>
      <c r="G5" s="44"/>
      <c r="H5" s="45"/>
    </row>
    <row r="6" spans="2:12">
      <c r="B6" s="8" t="s">
        <v>22</v>
      </c>
      <c r="C6" s="8" t="s">
        <v>23</v>
      </c>
      <c r="D6" s="31">
        <v>251.41996</v>
      </c>
      <c r="E6" s="36">
        <v>225</v>
      </c>
      <c r="F6" s="48">
        <f t="shared" si="0"/>
        <v>0.11742204444444446</v>
      </c>
      <c r="G6" s="44"/>
      <c r="H6" s="45"/>
      <c r="J6" s="46"/>
    </row>
    <row r="7" spans="2:12">
      <c r="B7" s="8" t="s">
        <v>27</v>
      </c>
      <c r="C7" s="8" t="s">
        <v>28</v>
      </c>
      <c r="D7" s="31">
        <v>842.85364000000004</v>
      </c>
      <c r="E7" s="36">
        <v>500</v>
      </c>
      <c r="F7" s="48">
        <f t="shared" si="0"/>
        <v>0.68570728000000003</v>
      </c>
      <c r="G7" s="44"/>
      <c r="H7" s="45"/>
    </row>
    <row r="8" spans="2:12">
      <c r="B8" s="8" t="s">
        <v>30</v>
      </c>
      <c r="C8" s="8" t="s">
        <v>23</v>
      </c>
      <c r="D8" s="31">
        <v>205</v>
      </c>
      <c r="E8" s="36">
        <v>0</v>
      </c>
      <c r="F8" s="48" t="str">
        <f t="shared" si="0"/>
        <v>100</v>
      </c>
      <c r="G8" s="44"/>
      <c r="H8" s="45"/>
      <c r="L8" s="43"/>
    </row>
    <row r="9" spans="2:12">
      <c r="B9" s="8" t="s">
        <v>34</v>
      </c>
      <c r="C9" s="8" t="s">
        <v>35</v>
      </c>
      <c r="D9" s="31">
        <v>388.00622999999996</v>
      </c>
      <c r="E9" s="36">
        <v>500</v>
      </c>
      <c r="F9" s="48" t="str">
        <f t="shared" si="0"/>
        <v>--</v>
      </c>
      <c r="G9" s="44"/>
      <c r="H9" s="45"/>
    </row>
    <row r="10" spans="2:12">
      <c r="B10" s="8" t="s">
        <v>36</v>
      </c>
      <c r="C10" s="8" t="s">
        <v>12</v>
      </c>
      <c r="D10" s="31">
        <v>376.57109599999995</v>
      </c>
      <c r="E10" s="36">
        <v>200</v>
      </c>
      <c r="F10" s="48">
        <f t="shared" si="0"/>
        <v>0.8828554799999998</v>
      </c>
      <c r="G10" s="44"/>
      <c r="H10" s="45"/>
    </row>
    <row r="11" spans="2:12">
      <c r="B11" s="8" t="s">
        <v>33</v>
      </c>
      <c r="C11" s="8" t="s">
        <v>28</v>
      </c>
      <c r="D11" s="31">
        <v>1333.880895999999</v>
      </c>
      <c r="E11" s="36">
        <v>1368</v>
      </c>
      <c r="F11" s="48" t="str">
        <f t="shared" si="0"/>
        <v>--</v>
      </c>
      <c r="G11" s="44"/>
      <c r="H11" s="45"/>
    </row>
    <row r="12" spans="2:12">
      <c r="B12" s="8" t="s">
        <v>26</v>
      </c>
      <c r="C12" s="8" t="s">
        <v>23</v>
      </c>
      <c r="D12" s="31">
        <v>1137.9380200000001</v>
      </c>
      <c r="E12" s="36">
        <v>500</v>
      </c>
      <c r="F12" s="48" t="str">
        <f t="shared" si="0"/>
        <v>++</v>
      </c>
      <c r="G12" s="44"/>
      <c r="H12" s="45"/>
    </row>
    <row r="13" spans="2:12">
      <c r="B13" s="8" t="s">
        <v>40</v>
      </c>
      <c r="C13" s="8" t="s">
        <v>12</v>
      </c>
      <c r="D13" s="31">
        <v>336.74916000000002</v>
      </c>
      <c r="E13" s="36">
        <v>379</v>
      </c>
      <c r="F13" s="48" t="str">
        <f t="shared" si="0"/>
        <v>--</v>
      </c>
      <c r="G13" s="44"/>
      <c r="H13" s="45"/>
    </row>
    <row r="14" spans="2:12">
      <c r="B14" s="11" t="s">
        <v>39</v>
      </c>
      <c r="C14" s="11" t="s">
        <v>17</v>
      </c>
      <c r="D14" s="32">
        <v>352.61750000000001</v>
      </c>
      <c r="E14" s="33">
        <v>498</v>
      </c>
      <c r="F14" s="48" t="str">
        <f t="shared" si="0"/>
        <v>--</v>
      </c>
      <c r="G14" s="44"/>
      <c r="H14" s="45"/>
    </row>
    <row r="15" spans="2:12">
      <c r="D15" s="2"/>
      <c r="E15" s="2"/>
    </row>
    <row r="18" spans="2:2">
      <c r="B18" s="1" t="s">
        <v>48</v>
      </c>
    </row>
    <row r="20" spans="2:2">
      <c r="B20" t="s">
        <v>49</v>
      </c>
    </row>
    <row r="21" spans="2:2">
      <c r="B21" t="s">
        <v>50</v>
      </c>
    </row>
    <row r="22" spans="2:2">
      <c r="B22" t="s">
        <v>51</v>
      </c>
    </row>
    <row r="23" spans="2:2">
      <c r="B23" t="s">
        <v>52</v>
      </c>
    </row>
  </sheetData>
  <pageMargins left="0.70866141732283472" right="0.70866141732283472" top="0.74803149606299213" bottom="0.74803149606299213" header="0.31496062992125984" footer="0.31496062992125984"/>
  <pageSetup paperSize="9" scale="5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showGridLines="0" topLeftCell="A5" zoomScale="85" zoomScaleNormal="85" workbookViewId="0">
      <selection activeCell="G26" sqref="G26"/>
    </sheetView>
  </sheetViews>
  <sheetFormatPr defaultRowHeight="13.8"/>
  <cols>
    <col min="2" max="2" width="14.453125" customWidth="1"/>
    <col min="3" max="3" width="2.1796875" customWidth="1"/>
    <col min="4" max="4" width="10.36328125" customWidth="1"/>
    <col min="5" max="5" width="17.453125" bestFit="1" customWidth="1"/>
    <col min="6" max="6" width="15.81640625" customWidth="1"/>
    <col min="7" max="7" width="12.81640625" bestFit="1" customWidth="1"/>
    <col min="8" max="8" width="14.453125" bestFit="1" customWidth="1"/>
  </cols>
  <sheetData>
    <row r="1" spans="1:9">
      <c r="A1" t="s">
        <v>53</v>
      </c>
    </row>
    <row r="5" spans="1:9">
      <c r="E5" s="40" t="s">
        <v>54</v>
      </c>
    </row>
    <row r="6" spans="1:9">
      <c r="B6" t="s">
        <v>55</v>
      </c>
      <c r="E6" s="41" t="s">
        <v>56</v>
      </c>
      <c r="F6" t="s">
        <v>57</v>
      </c>
      <c r="I6" s="1" t="s">
        <v>58</v>
      </c>
    </row>
    <row r="7" spans="1:9">
      <c r="A7" t="s">
        <v>59</v>
      </c>
      <c r="B7" s="1" t="s">
        <v>60</v>
      </c>
      <c r="D7" t="s">
        <v>17</v>
      </c>
      <c r="E7" s="38">
        <v>500000</v>
      </c>
      <c r="F7" s="49">
        <f>E7/VLOOKUP(B7,$H$7:$I$12,2,0)</f>
        <v>561797.75280898879</v>
      </c>
      <c r="G7" s="1" t="s">
        <v>61</v>
      </c>
      <c r="H7" s="1" t="s">
        <v>62</v>
      </c>
      <c r="I7">
        <v>0.66</v>
      </c>
    </row>
    <row r="8" spans="1:9">
      <c r="A8" t="s">
        <v>63</v>
      </c>
      <c r="B8" s="1" t="s">
        <v>60</v>
      </c>
      <c r="D8" t="s">
        <v>64</v>
      </c>
      <c r="E8" s="38">
        <v>750000</v>
      </c>
      <c r="F8" s="49">
        <f t="shared" ref="F8:F22" si="0">E8/VLOOKUP(B8,$H$7:$I$12,2,0)</f>
        <v>842696.62921348319</v>
      </c>
      <c r="G8" s="1" t="s">
        <v>65</v>
      </c>
      <c r="H8" s="1" t="s">
        <v>66</v>
      </c>
      <c r="I8">
        <v>66</v>
      </c>
    </row>
    <row r="9" spans="1:9">
      <c r="A9" t="s">
        <v>67</v>
      </c>
      <c r="B9" s="1" t="s">
        <v>60</v>
      </c>
      <c r="D9" t="s">
        <v>12</v>
      </c>
      <c r="E9" s="38">
        <v>2300000</v>
      </c>
      <c r="F9" s="49">
        <f t="shared" si="0"/>
        <v>2584269.6629213481</v>
      </c>
      <c r="G9" s="1" t="s">
        <v>68</v>
      </c>
      <c r="H9" s="1" t="s">
        <v>60</v>
      </c>
      <c r="I9">
        <v>0.89</v>
      </c>
    </row>
    <row r="10" spans="1:9">
      <c r="A10" t="s">
        <v>69</v>
      </c>
      <c r="B10" s="1" t="str">
        <f>VLOOKUP(A10,$G$7:$H$12,2,0)</f>
        <v>Chinese Yuan</v>
      </c>
      <c r="D10" t="s">
        <v>12</v>
      </c>
      <c r="E10" s="38">
        <v>4500000</v>
      </c>
      <c r="F10" s="49">
        <f t="shared" si="0"/>
        <v>703125</v>
      </c>
      <c r="G10" s="1" t="s">
        <v>70</v>
      </c>
      <c r="H10" s="1" t="s">
        <v>71</v>
      </c>
      <c r="I10">
        <v>24</v>
      </c>
    </row>
    <row r="11" spans="1:9">
      <c r="A11" t="s">
        <v>65</v>
      </c>
      <c r="B11" s="1" t="str">
        <f>VLOOKUP(A11,$G$7:$H$12,2,0)</f>
        <v>Indian Rupee</v>
      </c>
      <c r="D11" t="s">
        <v>72</v>
      </c>
      <c r="E11" s="38">
        <v>66000000</v>
      </c>
      <c r="F11" s="49">
        <f t="shared" si="0"/>
        <v>1000000</v>
      </c>
      <c r="G11" s="1" t="s">
        <v>73</v>
      </c>
      <c r="H11" s="1" t="s">
        <v>74</v>
      </c>
      <c r="I11">
        <v>1.42</v>
      </c>
    </row>
    <row r="12" spans="1:9">
      <c r="A12" t="s">
        <v>73</v>
      </c>
      <c r="B12" s="1" t="str">
        <f>VLOOKUP(A12,$G$7:$H$12,2,0)</f>
        <v>Australian Dollar</v>
      </c>
      <c r="D12" t="s">
        <v>64</v>
      </c>
      <c r="E12" s="38">
        <v>1250000</v>
      </c>
      <c r="F12" s="49">
        <f t="shared" si="0"/>
        <v>880281.69014084514</v>
      </c>
      <c r="G12" s="1" t="s">
        <v>69</v>
      </c>
      <c r="H12" s="1" t="s">
        <v>75</v>
      </c>
      <c r="I12">
        <v>6.4</v>
      </c>
    </row>
    <row r="13" spans="1:9">
      <c r="A13" t="s">
        <v>70</v>
      </c>
      <c r="B13" s="1" t="str">
        <f>VLOOKUP(A13,$G$7:$H$12,2,0)</f>
        <v>Czeck Koruna</v>
      </c>
      <c r="D13" t="s">
        <v>76</v>
      </c>
      <c r="E13" s="38">
        <v>33000000</v>
      </c>
      <c r="F13" s="49">
        <f t="shared" si="0"/>
        <v>1375000</v>
      </c>
      <c r="G13" s="1"/>
      <c r="H13" s="1"/>
    </row>
    <row r="14" spans="1:9">
      <c r="A14" t="s">
        <v>61</v>
      </c>
      <c r="B14" s="1" t="str">
        <f>VLOOKUP(A14,$G$7:$H$12,2,0)</f>
        <v>British Pounds</v>
      </c>
      <c r="D14" t="s">
        <v>76</v>
      </c>
      <c r="E14" s="38">
        <v>2300000</v>
      </c>
      <c r="F14" s="49">
        <f t="shared" si="0"/>
        <v>3484848.4848484849</v>
      </c>
      <c r="G14" s="1"/>
      <c r="H14" s="1"/>
    </row>
    <row r="15" spans="1:9">
      <c r="A15" t="s">
        <v>59</v>
      </c>
      <c r="B15" s="1" t="s">
        <v>60</v>
      </c>
      <c r="D15" t="s">
        <v>64</v>
      </c>
      <c r="E15" s="38">
        <v>500000</v>
      </c>
      <c r="F15" s="49">
        <f t="shared" si="0"/>
        <v>561797.75280898879</v>
      </c>
      <c r="G15" s="1"/>
      <c r="H15" s="1"/>
    </row>
    <row r="16" spans="1:9">
      <c r="A16" t="s">
        <v>63</v>
      </c>
      <c r="B16" s="1" t="s">
        <v>60</v>
      </c>
      <c r="D16" t="s">
        <v>72</v>
      </c>
      <c r="E16" s="38">
        <v>750000</v>
      </c>
      <c r="F16" s="49">
        <f t="shared" si="0"/>
        <v>842696.62921348319</v>
      </c>
    </row>
    <row r="17" spans="1:7">
      <c r="A17" t="s">
        <v>67</v>
      </c>
      <c r="B17" s="1" t="s">
        <v>60</v>
      </c>
      <c r="D17" t="s">
        <v>64</v>
      </c>
      <c r="E17" s="38">
        <v>2300000</v>
      </c>
      <c r="F17" s="49">
        <f t="shared" si="0"/>
        <v>2584269.6629213481</v>
      </c>
    </row>
    <row r="18" spans="1:7">
      <c r="A18" t="s">
        <v>69</v>
      </c>
      <c r="B18" s="1" t="str">
        <f>VLOOKUP(A18,$G$7:$H$12,2,0)</f>
        <v>Chinese Yuan</v>
      </c>
      <c r="D18" t="s">
        <v>12</v>
      </c>
      <c r="E18" s="38">
        <v>4500000</v>
      </c>
      <c r="F18" s="49">
        <f t="shared" si="0"/>
        <v>703125</v>
      </c>
    </row>
    <row r="19" spans="1:7">
      <c r="A19" t="s">
        <v>65</v>
      </c>
      <c r="B19" s="1" t="str">
        <f>VLOOKUP(A19,$G$7:$H$12,2,0)</f>
        <v>Indian Rupee</v>
      </c>
      <c r="D19" t="s">
        <v>17</v>
      </c>
      <c r="E19" s="38">
        <v>66000000</v>
      </c>
      <c r="F19" s="49">
        <f t="shared" si="0"/>
        <v>1000000</v>
      </c>
      <c r="G19" s="42"/>
    </row>
    <row r="20" spans="1:7">
      <c r="A20" t="s">
        <v>73</v>
      </c>
      <c r="B20" s="1" t="str">
        <f>VLOOKUP(A20,$G$7:$H$12,2,0)</f>
        <v>Australian Dollar</v>
      </c>
      <c r="D20" t="s">
        <v>64</v>
      </c>
      <c r="E20" s="38">
        <v>1250000</v>
      </c>
      <c r="F20" s="49">
        <f t="shared" si="0"/>
        <v>880281.69014084514</v>
      </c>
      <c r="G20" s="42"/>
    </row>
    <row r="21" spans="1:7">
      <c r="A21" t="s">
        <v>70</v>
      </c>
      <c r="B21" s="1" t="str">
        <f>VLOOKUP(A21,$G$7:$H$12,2,0)</f>
        <v>Czeck Koruna</v>
      </c>
      <c r="D21" t="s">
        <v>28</v>
      </c>
      <c r="E21" s="38">
        <v>33000000</v>
      </c>
      <c r="F21" s="49">
        <f t="shared" si="0"/>
        <v>1375000</v>
      </c>
    </row>
    <row r="22" spans="1:7">
      <c r="A22" t="s">
        <v>61</v>
      </c>
      <c r="B22" s="1" t="str">
        <f>VLOOKUP(A22,$G$7:$H$12,2,0)</f>
        <v>British Pounds</v>
      </c>
      <c r="D22" t="s">
        <v>28</v>
      </c>
      <c r="E22" s="38">
        <v>2300000</v>
      </c>
      <c r="F22" s="49">
        <f t="shared" si="0"/>
        <v>3484848.4848484849</v>
      </c>
    </row>
    <row r="23" spans="1:7">
      <c r="F23" s="47"/>
    </row>
    <row r="24" spans="1:7">
      <c r="A24" s="1" t="s">
        <v>77</v>
      </c>
      <c r="E24" s="39"/>
    </row>
    <row r="25" spans="1:7">
      <c r="A25" t="s">
        <v>17</v>
      </c>
      <c r="E25" s="39">
        <f t="shared" ref="E25:E30" si="1">SUMIF($D$7:$D$22,A25,$F$7:$F$22)</f>
        <v>1561797.7528089888</v>
      </c>
    </row>
    <row r="26" spans="1:7">
      <c r="A26" t="s">
        <v>64</v>
      </c>
      <c r="E26" s="39">
        <f t="shared" si="1"/>
        <v>5749327.4252255112</v>
      </c>
    </row>
    <row r="27" spans="1:7">
      <c r="A27" t="s">
        <v>12</v>
      </c>
      <c r="E27" s="39">
        <f t="shared" si="1"/>
        <v>3990519.6629213481</v>
      </c>
    </row>
    <row r="28" spans="1:7">
      <c r="A28" t="s">
        <v>72</v>
      </c>
      <c r="E28" s="39">
        <f t="shared" si="1"/>
        <v>1842696.6292134831</v>
      </c>
    </row>
    <row r="29" spans="1:7">
      <c r="A29" t="s">
        <v>76</v>
      </c>
      <c r="E29" s="39">
        <f t="shared" si="1"/>
        <v>4859848.4848484844</v>
      </c>
    </row>
    <row r="30" spans="1:7">
      <c r="A30" t="s">
        <v>28</v>
      </c>
      <c r="E30" s="39">
        <f t="shared" si="1"/>
        <v>4859848.4848484844</v>
      </c>
    </row>
    <row r="31" spans="1:7">
      <c r="E31" s="42">
        <f>SUM(E25:E30)</f>
        <v>22864038.439866301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576AF4D40468449E6E370B643AAE8A" ma:contentTypeVersion="15" ma:contentTypeDescription="Create a new document." ma:contentTypeScope="" ma:versionID="26b95c58cd0d4b7bfbe344e866e29b61">
  <xsd:schema xmlns:xsd="http://www.w3.org/2001/XMLSchema" xmlns:xs="http://www.w3.org/2001/XMLSchema" xmlns:p="http://schemas.microsoft.com/office/2006/metadata/properties" xmlns:ns2="beae2c4f-c1a3-4d3e-a4c3-e7a422e215a6" xmlns:ns3="4f93c509-de1f-4818-bcd9-ed775d41b15b" targetNamespace="http://schemas.microsoft.com/office/2006/metadata/properties" ma:root="true" ma:fieldsID="ac26e382dd2272c9ba992cf05fa2cb83" ns2:_="" ns3:_="">
    <xsd:import namespace="beae2c4f-c1a3-4d3e-a4c3-e7a422e215a6"/>
    <xsd:import namespace="4f93c509-de1f-4818-bcd9-ed775d41b1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ae2c4f-c1a3-4d3e-a4c3-e7a422e215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82216baa-abc0-42d9-9928-4412661d61d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3c509-de1f-4818-bcd9-ed775d41b15b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5194fd27-b876-4c74-aa25-8f814f017c6f}" ma:internalName="TaxCatchAll" ma:showField="CatchAllData" ma:web="4f93c509-de1f-4818-bcd9-ed775d41b15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eae2c4f-c1a3-4d3e-a4c3-e7a422e215a6">
      <Terms xmlns="http://schemas.microsoft.com/office/infopath/2007/PartnerControls"/>
    </lcf76f155ced4ddcb4097134ff3c332f>
    <TaxCatchAll xmlns="4f93c509-de1f-4818-bcd9-ed775d41b15b" xsi:nil="true"/>
  </documentManagement>
</p:properties>
</file>

<file path=customXml/itemProps1.xml><?xml version="1.0" encoding="utf-8"?>
<ds:datastoreItem xmlns:ds="http://schemas.openxmlformats.org/officeDocument/2006/customXml" ds:itemID="{B26AFCF6-9CA2-4EEA-9A96-2D74761FBB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ae2c4f-c1a3-4d3e-a4c3-e7a422e215a6"/>
    <ds:schemaRef ds:uri="4f93c509-de1f-4818-bcd9-ed775d41b1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B145D2-1DAB-4555-BBFC-F56B0E1C5D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C8766-E266-4BCE-B78B-0787CF1586D0}">
  <ds:schemaRefs>
    <ds:schemaRef ds:uri="4f93c509-de1f-4818-bcd9-ed775d41b15b"/>
    <ds:schemaRef ds:uri="http://purl.org/dc/dcmitype/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beae2c4f-c1a3-4d3e-a4c3-e7a422e215a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Volume</vt:lpstr>
      <vt:lpstr>Growth</vt:lpstr>
      <vt:lpstr>NR Consolidation</vt:lpstr>
      <vt:lpstr>Growth!Extract</vt:lpstr>
      <vt:lpstr>Growth!Print_Area</vt:lpstr>
      <vt:lpstr>Volume!Print_Area</vt:lpstr>
    </vt:vector>
  </TitlesOfParts>
  <Manager/>
  <Company>Mondelēz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gianluca.puzzello@mdlz.com</dc:creator>
  <cp:keywords/>
  <dc:description/>
  <cp:lastModifiedBy>sansk</cp:lastModifiedBy>
  <cp:revision/>
  <dcterms:created xsi:type="dcterms:W3CDTF">2014-01-23T14:39:38Z</dcterms:created>
  <dcterms:modified xsi:type="dcterms:W3CDTF">2025-03-05T14:05:35Z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0x010100E8576AF4D40468449E6E370B643AAE8A</vt:lpwstr>
  </property>
</Properties>
</file>